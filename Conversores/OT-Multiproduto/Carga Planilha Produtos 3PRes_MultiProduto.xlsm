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victor.motta.d.lucas\OneDrive - Accenture\NBA\Ofertas\Ofertas  683- Ofertas OiT - Substituição Aquisição e Ajuste preço Migração\DTs multiproduto\Conversor OT-3P\"/>
    </mc:Choice>
  </mc:AlternateContent>
  <bookViews>
    <workbookView xWindow="0" yWindow="0" windowWidth="20490" windowHeight="7530"/>
  </bookViews>
  <sheets>
    <sheet name="3PRes Com Fidelidade" sheetId="2" r:id="rId1"/>
    <sheet name="Erro" sheetId="4" r:id="rId2"/>
    <sheet name="3PRes Sem Fidelidade" sheetId="3" r:id="rId3"/>
  </sheets>
  <functionGroups builtInGroupCount="18"/>
  <externalReferences>
    <externalReference r:id="rId4"/>
    <externalReference r:id="rId5"/>
    <externalReference r:id="rId6"/>
  </externalReferences>
  <definedNames>
    <definedName name="_xlnm._FilterDatabase" localSheetId="0" hidden="1">'3PRes Com Fidelidade'!$A$4:$AY$189</definedName>
    <definedName name="_xlnm._FilterDatabase" localSheetId="2" hidden="1">'3PRes Sem Fidelidade'!$A$4:$AY$62</definedName>
    <definedName name="validValues">[1]Settings!$A$1</definedName>
  </definedNames>
  <calcPr calcId="171027"/>
</workbook>
</file>

<file path=xl/calcChain.xml><?xml version="1.0" encoding="utf-8"?>
<calcChain xmlns="http://schemas.openxmlformats.org/spreadsheetml/2006/main">
  <c r="KM19" i="4" l="1"/>
  <c r="KL19" i="4"/>
  <c r="KK19" i="4"/>
  <c r="KC19" i="4"/>
  <c r="KD19" i="4" s="1"/>
  <c r="JZ19" i="4"/>
  <c r="KA19" i="4" s="1"/>
  <c r="JW19" i="4"/>
  <c r="JX19" i="4" s="1"/>
  <c r="JT19" i="4"/>
  <c r="JU19" i="4" s="1"/>
  <c r="JQ19" i="4"/>
  <c r="JR19" i="4" s="1"/>
  <c r="JN19" i="4"/>
  <c r="JO19" i="4" s="1"/>
  <c r="JK19" i="4"/>
  <c r="JL19" i="4" s="1"/>
  <c r="JH19" i="4"/>
  <c r="JI19" i="4" s="1"/>
  <c r="JE19" i="4"/>
  <c r="JF19" i="4" s="1"/>
  <c r="JB19" i="4"/>
  <c r="JC19" i="4" s="1"/>
  <c r="IY19" i="4"/>
  <c r="IZ19" i="4" s="1"/>
  <c r="IV19" i="4"/>
  <c r="IW19" i="4" s="1"/>
  <c r="IS19" i="4"/>
  <c r="IT19" i="4" s="1"/>
  <c r="IP19" i="4"/>
  <c r="IQ19" i="4" s="1"/>
  <c r="IE19" i="4"/>
  <c r="IF19" i="4" s="1"/>
  <c r="IA19" i="4"/>
  <c r="HX19" i="4"/>
  <c r="HU19" i="4"/>
  <c r="HC19" i="4"/>
  <c r="GZ19" i="4"/>
  <c r="GW19" i="4"/>
  <c r="GT19" i="4"/>
  <c r="GQ19" i="4"/>
  <c r="GN19" i="4"/>
  <c r="GK19" i="4"/>
  <c r="GL19" i="4" s="1"/>
  <c r="GH19" i="4"/>
  <c r="GI19" i="4" s="1"/>
  <c r="GE19" i="4"/>
  <c r="GF19" i="4" s="1"/>
  <c r="GB19" i="4"/>
  <c r="GC19" i="4" s="1"/>
  <c r="FY19" i="4"/>
  <c r="FZ19" i="4" s="1"/>
  <c r="FV19" i="4"/>
  <c r="FW19" i="4" s="1"/>
  <c r="FS19" i="4"/>
  <c r="FT19" i="4" s="1"/>
  <c r="FP19" i="4"/>
  <c r="FQ19" i="4" s="1"/>
  <c r="FM19" i="4"/>
  <c r="FN19" i="4" s="1"/>
  <c r="FJ19" i="4"/>
  <c r="FK19" i="4" s="1"/>
  <c r="FG19" i="4"/>
  <c r="FH19" i="4" s="1"/>
  <c r="FD19" i="4"/>
  <c r="FE19" i="4" s="1"/>
  <c r="FA19" i="4"/>
  <c r="FB19" i="4" s="1"/>
  <c r="EX19" i="4"/>
  <c r="EY19" i="4" s="1"/>
  <c r="EU19" i="4"/>
  <c r="EV19" i="4" s="1"/>
  <c r="ER19" i="4"/>
  <c r="ES19" i="4" s="1"/>
  <c r="EO19" i="4"/>
  <c r="EP19" i="4" s="1"/>
  <c r="EH19" i="4"/>
  <c r="EL19" i="4" s="1"/>
  <c r="EE19" i="4"/>
  <c r="EF19" i="4" s="1"/>
  <c r="DX19" i="4"/>
  <c r="DY19" i="4" s="1"/>
  <c r="DT19" i="4"/>
  <c r="DU19" i="4" s="1"/>
  <c r="DP19" i="4"/>
  <c r="DQ19" i="4" s="1"/>
  <c r="DH19" i="4"/>
  <c r="DI19" i="4" s="1"/>
  <c r="CZ19" i="4"/>
  <c r="DA19" i="4" s="1"/>
  <c r="CV19" i="4"/>
  <c r="CW19" i="4" s="1"/>
  <c r="CR19" i="4"/>
  <c r="CS19" i="4" s="1"/>
  <c r="CN19" i="4"/>
  <c r="CO19" i="4" s="1"/>
  <c r="CJ19" i="4"/>
  <c r="CK19" i="4" s="1"/>
  <c r="CF19" i="4"/>
  <c r="CG19" i="4" s="1"/>
  <c r="CB19" i="4"/>
  <c r="CC19" i="4" s="1"/>
  <c r="BX19" i="4"/>
  <c r="BY19" i="4" s="1"/>
  <c r="BS19" i="4"/>
  <c r="BM19" i="4"/>
  <c r="BK19" i="4"/>
  <c r="BO19" i="4" s="1"/>
  <c r="BH19" i="4"/>
  <c r="BF19" i="4"/>
  <c r="BI19" i="4" s="1"/>
  <c r="BB19" i="4"/>
  <c r="AZ19" i="4"/>
  <c r="HY19" i="4" s="1"/>
  <c r="KM18" i="4"/>
  <c r="KL18" i="4"/>
  <c r="KK18" i="4"/>
  <c r="KC18" i="4"/>
  <c r="KD18" i="4" s="1"/>
  <c r="JZ18" i="4"/>
  <c r="KA18" i="4" s="1"/>
  <c r="JW18" i="4"/>
  <c r="JX18" i="4" s="1"/>
  <c r="JT18" i="4"/>
  <c r="JU18" i="4" s="1"/>
  <c r="JQ18" i="4"/>
  <c r="JR18" i="4" s="1"/>
  <c r="JN18" i="4"/>
  <c r="JO18" i="4" s="1"/>
  <c r="JK18" i="4"/>
  <c r="JL18" i="4" s="1"/>
  <c r="JH18" i="4"/>
  <c r="JI18" i="4" s="1"/>
  <c r="JE18" i="4"/>
  <c r="JF18" i="4" s="1"/>
  <c r="JB18" i="4"/>
  <c r="JC18" i="4" s="1"/>
  <c r="IY18" i="4"/>
  <c r="IZ18" i="4" s="1"/>
  <c r="IV18" i="4"/>
  <c r="IW18" i="4" s="1"/>
  <c r="IS18" i="4"/>
  <c r="IT18" i="4" s="1"/>
  <c r="IP18" i="4"/>
  <c r="IQ18" i="4" s="1"/>
  <c r="IE18" i="4"/>
  <c r="IF18" i="4" s="1"/>
  <c r="IA18" i="4"/>
  <c r="HX18" i="4"/>
  <c r="HU18" i="4"/>
  <c r="HC18" i="4"/>
  <c r="GZ18" i="4"/>
  <c r="GW18" i="4"/>
  <c r="GT18" i="4"/>
  <c r="GQ18" i="4"/>
  <c r="GN18" i="4"/>
  <c r="GK18" i="4"/>
  <c r="GL18" i="4" s="1"/>
  <c r="GH18" i="4"/>
  <c r="GI18" i="4" s="1"/>
  <c r="GE18" i="4"/>
  <c r="GF18" i="4" s="1"/>
  <c r="GB18" i="4"/>
  <c r="GC18" i="4" s="1"/>
  <c r="FY18" i="4"/>
  <c r="FZ18" i="4" s="1"/>
  <c r="FV18" i="4"/>
  <c r="FW18" i="4" s="1"/>
  <c r="FS18" i="4"/>
  <c r="FT18" i="4" s="1"/>
  <c r="FP18" i="4"/>
  <c r="FQ18" i="4" s="1"/>
  <c r="FM18" i="4"/>
  <c r="FN18" i="4" s="1"/>
  <c r="FJ18" i="4"/>
  <c r="FK18" i="4" s="1"/>
  <c r="FG18" i="4"/>
  <c r="FH18" i="4" s="1"/>
  <c r="FD18" i="4"/>
  <c r="FE18" i="4" s="1"/>
  <c r="FA18" i="4"/>
  <c r="FB18" i="4" s="1"/>
  <c r="EX18" i="4"/>
  <c r="EY18" i="4" s="1"/>
  <c r="EU18" i="4"/>
  <c r="EV18" i="4" s="1"/>
  <c r="ER18" i="4"/>
  <c r="ES18" i="4" s="1"/>
  <c r="EO18" i="4"/>
  <c r="EP18" i="4" s="1"/>
  <c r="EH18" i="4"/>
  <c r="EL18" i="4" s="1"/>
  <c r="EE18" i="4"/>
  <c r="EF18" i="4" s="1"/>
  <c r="DX18" i="4"/>
  <c r="DY18" i="4" s="1"/>
  <c r="DP18" i="4"/>
  <c r="DQ18" i="4" s="1"/>
  <c r="DH18" i="4"/>
  <c r="DI18" i="4" s="1"/>
  <c r="CZ18" i="4"/>
  <c r="DA18" i="4" s="1"/>
  <c r="CV18" i="4"/>
  <c r="CW18" i="4" s="1"/>
  <c r="CR18" i="4"/>
  <c r="CS18" i="4" s="1"/>
  <c r="CN18" i="4"/>
  <c r="CO18" i="4" s="1"/>
  <c r="CJ18" i="4"/>
  <c r="CK18" i="4" s="1"/>
  <c r="CF18" i="4"/>
  <c r="CG18" i="4" s="1"/>
  <c r="CB18" i="4"/>
  <c r="CC18" i="4" s="1"/>
  <c r="BX18" i="4"/>
  <c r="BY18" i="4" s="1"/>
  <c r="BS18" i="4"/>
  <c r="BM18" i="4"/>
  <c r="BK18" i="4"/>
  <c r="BO18" i="4" s="1"/>
  <c r="BH18" i="4"/>
  <c r="BF18" i="4"/>
  <c r="BI18" i="4" s="1"/>
  <c r="BB18" i="4"/>
  <c r="AZ18" i="4"/>
  <c r="HY18" i="4" s="1"/>
  <c r="KM17" i="4"/>
  <c r="KL17" i="4"/>
  <c r="KK17" i="4"/>
  <c r="KC17" i="4"/>
  <c r="KD17" i="4" s="1"/>
  <c r="JZ17" i="4"/>
  <c r="KA17" i="4" s="1"/>
  <c r="JW17" i="4"/>
  <c r="JX17" i="4" s="1"/>
  <c r="JT17" i="4"/>
  <c r="JU17" i="4" s="1"/>
  <c r="JQ17" i="4"/>
  <c r="JR17" i="4" s="1"/>
  <c r="JN17" i="4"/>
  <c r="JO17" i="4" s="1"/>
  <c r="JK17" i="4"/>
  <c r="JL17" i="4" s="1"/>
  <c r="JH17" i="4"/>
  <c r="JI17" i="4" s="1"/>
  <c r="JE17" i="4"/>
  <c r="JF17" i="4" s="1"/>
  <c r="JB17" i="4"/>
  <c r="JC17" i="4" s="1"/>
  <c r="IY17" i="4"/>
  <c r="IZ17" i="4" s="1"/>
  <c r="IV17" i="4"/>
  <c r="IW17" i="4" s="1"/>
  <c r="IS17" i="4"/>
  <c r="IT17" i="4" s="1"/>
  <c r="IP17" i="4"/>
  <c r="IQ17" i="4" s="1"/>
  <c r="IE17" i="4"/>
  <c r="IF17" i="4" s="1"/>
  <c r="IA17" i="4"/>
  <c r="HX17" i="4"/>
  <c r="HU17" i="4"/>
  <c r="HC17" i="4"/>
  <c r="GZ17" i="4"/>
  <c r="GW17" i="4"/>
  <c r="GT17" i="4"/>
  <c r="GQ17" i="4"/>
  <c r="GN17" i="4"/>
  <c r="GK17" i="4"/>
  <c r="GL17" i="4" s="1"/>
  <c r="GH17" i="4"/>
  <c r="GI17" i="4" s="1"/>
  <c r="GE17" i="4"/>
  <c r="GF17" i="4" s="1"/>
  <c r="GB17" i="4"/>
  <c r="GC17" i="4" s="1"/>
  <c r="FY17" i="4"/>
  <c r="FZ17" i="4" s="1"/>
  <c r="FV17" i="4"/>
  <c r="FW17" i="4" s="1"/>
  <c r="FS17" i="4"/>
  <c r="FT17" i="4" s="1"/>
  <c r="FP17" i="4"/>
  <c r="FQ17" i="4" s="1"/>
  <c r="FM17" i="4"/>
  <c r="FN17" i="4" s="1"/>
  <c r="FJ17" i="4"/>
  <c r="FK17" i="4" s="1"/>
  <c r="FG17" i="4"/>
  <c r="FH17" i="4" s="1"/>
  <c r="FD17" i="4"/>
  <c r="FE17" i="4" s="1"/>
  <c r="FA17" i="4"/>
  <c r="FB17" i="4" s="1"/>
  <c r="EX17" i="4"/>
  <c r="EY17" i="4" s="1"/>
  <c r="EU17" i="4"/>
  <c r="EV17" i="4" s="1"/>
  <c r="ER17" i="4"/>
  <c r="ES17" i="4" s="1"/>
  <c r="EO17" i="4"/>
  <c r="EP17" i="4" s="1"/>
  <c r="EH17" i="4"/>
  <c r="EL17" i="4" s="1"/>
  <c r="EE17" i="4"/>
  <c r="EF17" i="4" s="1"/>
  <c r="DX17" i="4"/>
  <c r="DY17" i="4" s="1"/>
  <c r="DP17" i="4"/>
  <c r="DQ17" i="4" s="1"/>
  <c r="DH17" i="4"/>
  <c r="DI17" i="4" s="1"/>
  <c r="CZ17" i="4"/>
  <c r="DA17" i="4" s="1"/>
  <c r="CV17" i="4"/>
  <c r="CW17" i="4" s="1"/>
  <c r="CR17" i="4"/>
  <c r="CS17" i="4" s="1"/>
  <c r="CN17" i="4"/>
  <c r="CO17" i="4" s="1"/>
  <c r="CJ17" i="4"/>
  <c r="CK17" i="4" s="1"/>
  <c r="CF17" i="4"/>
  <c r="CG17" i="4" s="1"/>
  <c r="CB17" i="4"/>
  <c r="CC17" i="4" s="1"/>
  <c r="BX17" i="4"/>
  <c r="BY17" i="4" s="1"/>
  <c r="BS17" i="4"/>
  <c r="BM17" i="4"/>
  <c r="BK17" i="4"/>
  <c r="BO17" i="4" s="1"/>
  <c r="BH17" i="4"/>
  <c r="BF17" i="4"/>
  <c r="BI17" i="4" s="1"/>
  <c r="BB17" i="4"/>
  <c r="AZ17" i="4"/>
  <c r="HY17" i="4" s="1"/>
  <c r="KM16" i="4"/>
  <c r="KL16" i="4"/>
  <c r="KK16" i="4"/>
  <c r="KC16" i="4"/>
  <c r="KD16" i="4" s="1"/>
  <c r="JZ16" i="4"/>
  <c r="KA16" i="4" s="1"/>
  <c r="JW16" i="4"/>
  <c r="JX16" i="4" s="1"/>
  <c r="JT16" i="4"/>
  <c r="JU16" i="4" s="1"/>
  <c r="JQ16" i="4"/>
  <c r="JR16" i="4" s="1"/>
  <c r="JN16" i="4"/>
  <c r="JO16" i="4" s="1"/>
  <c r="JK16" i="4"/>
  <c r="JL16" i="4" s="1"/>
  <c r="JH16" i="4"/>
  <c r="JI16" i="4" s="1"/>
  <c r="JE16" i="4"/>
  <c r="JF16" i="4" s="1"/>
  <c r="JB16" i="4"/>
  <c r="JC16" i="4" s="1"/>
  <c r="IY16" i="4"/>
  <c r="IZ16" i="4" s="1"/>
  <c r="IV16" i="4"/>
  <c r="IW16" i="4" s="1"/>
  <c r="IS16" i="4"/>
  <c r="IT16" i="4" s="1"/>
  <c r="IP16" i="4"/>
  <c r="IQ16" i="4" s="1"/>
  <c r="IE16" i="4"/>
  <c r="IF16" i="4" s="1"/>
  <c r="IA16" i="4"/>
  <c r="HX16" i="4"/>
  <c r="HU16" i="4"/>
  <c r="HC16" i="4"/>
  <c r="GZ16" i="4"/>
  <c r="GW16" i="4"/>
  <c r="GT16" i="4"/>
  <c r="GQ16" i="4"/>
  <c r="GN16" i="4"/>
  <c r="GK16" i="4"/>
  <c r="GL16" i="4" s="1"/>
  <c r="GH16" i="4"/>
  <c r="GI16" i="4" s="1"/>
  <c r="GE16" i="4"/>
  <c r="GF16" i="4" s="1"/>
  <c r="GB16" i="4"/>
  <c r="GC16" i="4" s="1"/>
  <c r="FY16" i="4"/>
  <c r="FZ16" i="4" s="1"/>
  <c r="FV16" i="4"/>
  <c r="FW16" i="4" s="1"/>
  <c r="FS16" i="4"/>
  <c r="FT16" i="4" s="1"/>
  <c r="FP16" i="4"/>
  <c r="FQ16" i="4" s="1"/>
  <c r="FM16" i="4"/>
  <c r="FN16" i="4" s="1"/>
  <c r="FJ16" i="4"/>
  <c r="FK16" i="4" s="1"/>
  <c r="FG16" i="4"/>
  <c r="FH16" i="4" s="1"/>
  <c r="FD16" i="4"/>
  <c r="FE16" i="4" s="1"/>
  <c r="FA16" i="4"/>
  <c r="FB16" i="4" s="1"/>
  <c r="EX16" i="4"/>
  <c r="EY16" i="4" s="1"/>
  <c r="EU16" i="4"/>
  <c r="EV16" i="4" s="1"/>
  <c r="ER16" i="4"/>
  <c r="ES16" i="4" s="1"/>
  <c r="EO16" i="4"/>
  <c r="EP16" i="4" s="1"/>
  <c r="EH16" i="4"/>
  <c r="EL16" i="4" s="1"/>
  <c r="EE16" i="4"/>
  <c r="EF16" i="4" s="1"/>
  <c r="DX16" i="4"/>
  <c r="DY16" i="4" s="1"/>
  <c r="DP16" i="4"/>
  <c r="DQ16" i="4" s="1"/>
  <c r="DH16" i="4"/>
  <c r="DI16" i="4" s="1"/>
  <c r="CZ16" i="4"/>
  <c r="DA16" i="4" s="1"/>
  <c r="CV16" i="4"/>
  <c r="CW16" i="4" s="1"/>
  <c r="CR16" i="4"/>
  <c r="CS16" i="4" s="1"/>
  <c r="CN16" i="4"/>
  <c r="CO16" i="4" s="1"/>
  <c r="CJ16" i="4"/>
  <c r="CK16" i="4" s="1"/>
  <c r="CF16" i="4"/>
  <c r="CG16" i="4" s="1"/>
  <c r="CB16" i="4"/>
  <c r="CC16" i="4" s="1"/>
  <c r="BX16" i="4"/>
  <c r="BY16" i="4" s="1"/>
  <c r="BS16" i="4"/>
  <c r="BM16" i="4"/>
  <c r="BK16" i="4"/>
  <c r="BO16" i="4" s="1"/>
  <c r="BH16" i="4"/>
  <c r="BF16" i="4"/>
  <c r="BI16" i="4" s="1"/>
  <c r="BB16" i="4"/>
  <c r="AZ16" i="4"/>
  <c r="HY16" i="4" s="1"/>
  <c r="KM15" i="4"/>
  <c r="KL15" i="4"/>
  <c r="KK15" i="4"/>
  <c r="KC15" i="4"/>
  <c r="KD15" i="4" s="1"/>
  <c r="JZ15" i="4"/>
  <c r="KA15" i="4" s="1"/>
  <c r="JW15" i="4"/>
  <c r="JX15" i="4" s="1"/>
  <c r="JT15" i="4"/>
  <c r="JU15" i="4" s="1"/>
  <c r="JQ15" i="4"/>
  <c r="JR15" i="4" s="1"/>
  <c r="JN15" i="4"/>
  <c r="JO15" i="4" s="1"/>
  <c r="JK15" i="4"/>
  <c r="JL15" i="4" s="1"/>
  <c r="JH15" i="4"/>
  <c r="JI15" i="4" s="1"/>
  <c r="JE15" i="4"/>
  <c r="JF15" i="4" s="1"/>
  <c r="JB15" i="4"/>
  <c r="JC15" i="4" s="1"/>
  <c r="IY15" i="4"/>
  <c r="IZ15" i="4" s="1"/>
  <c r="IV15" i="4"/>
  <c r="IW15" i="4" s="1"/>
  <c r="IS15" i="4"/>
  <c r="IT15" i="4" s="1"/>
  <c r="IP15" i="4"/>
  <c r="IQ15" i="4" s="1"/>
  <c r="IE15" i="4"/>
  <c r="IF15" i="4" s="1"/>
  <c r="IA15" i="4"/>
  <c r="HX15" i="4"/>
  <c r="HU15" i="4"/>
  <c r="HC15" i="4"/>
  <c r="GZ15" i="4"/>
  <c r="GW15" i="4"/>
  <c r="GT15" i="4"/>
  <c r="GQ15" i="4"/>
  <c r="GN15" i="4"/>
  <c r="GK15" i="4"/>
  <c r="GL15" i="4" s="1"/>
  <c r="GH15" i="4"/>
  <c r="GI15" i="4" s="1"/>
  <c r="GE15" i="4"/>
  <c r="GF15" i="4" s="1"/>
  <c r="GB15" i="4"/>
  <c r="GC15" i="4" s="1"/>
  <c r="FY15" i="4"/>
  <c r="FZ15" i="4" s="1"/>
  <c r="FV15" i="4"/>
  <c r="FW15" i="4" s="1"/>
  <c r="FS15" i="4"/>
  <c r="FT15" i="4" s="1"/>
  <c r="FP15" i="4"/>
  <c r="FQ15" i="4" s="1"/>
  <c r="FM15" i="4"/>
  <c r="FN15" i="4" s="1"/>
  <c r="FJ15" i="4"/>
  <c r="FK15" i="4" s="1"/>
  <c r="FG15" i="4"/>
  <c r="FH15" i="4" s="1"/>
  <c r="FD15" i="4"/>
  <c r="FE15" i="4" s="1"/>
  <c r="FA15" i="4"/>
  <c r="FB15" i="4" s="1"/>
  <c r="EX15" i="4"/>
  <c r="EY15" i="4" s="1"/>
  <c r="EU15" i="4"/>
  <c r="EV15" i="4" s="1"/>
  <c r="ER15" i="4"/>
  <c r="ES15" i="4" s="1"/>
  <c r="EO15" i="4"/>
  <c r="EP15" i="4" s="1"/>
  <c r="EH15" i="4"/>
  <c r="EL15" i="4" s="1"/>
  <c r="EE15" i="4"/>
  <c r="EF15" i="4" s="1"/>
  <c r="DX15" i="4"/>
  <c r="DY15" i="4" s="1"/>
  <c r="DP15" i="4"/>
  <c r="DQ15" i="4" s="1"/>
  <c r="DH15" i="4"/>
  <c r="DI15" i="4" s="1"/>
  <c r="CZ15" i="4"/>
  <c r="DA15" i="4" s="1"/>
  <c r="CV15" i="4"/>
  <c r="CW15" i="4" s="1"/>
  <c r="CR15" i="4"/>
  <c r="CS15" i="4" s="1"/>
  <c r="CN15" i="4"/>
  <c r="CO15" i="4" s="1"/>
  <c r="CJ15" i="4"/>
  <c r="CK15" i="4" s="1"/>
  <c r="CF15" i="4"/>
  <c r="CG15" i="4" s="1"/>
  <c r="CB15" i="4"/>
  <c r="CC15" i="4" s="1"/>
  <c r="BX15" i="4"/>
  <c r="BY15" i="4" s="1"/>
  <c r="BS15" i="4"/>
  <c r="BM15" i="4"/>
  <c r="BK15" i="4"/>
  <c r="BO15" i="4" s="1"/>
  <c r="BH15" i="4"/>
  <c r="BF15" i="4"/>
  <c r="BI15" i="4" s="1"/>
  <c r="BB15" i="4"/>
  <c r="AZ15" i="4"/>
  <c r="HY15" i="4" s="1"/>
  <c r="KM14" i="4"/>
  <c r="KL14" i="4"/>
  <c r="KK14" i="4"/>
  <c r="KC14" i="4"/>
  <c r="KD14" i="4" s="1"/>
  <c r="JZ14" i="4"/>
  <c r="KA14" i="4" s="1"/>
  <c r="JW14" i="4"/>
  <c r="JX14" i="4" s="1"/>
  <c r="JT14" i="4"/>
  <c r="JU14" i="4" s="1"/>
  <c r="JQ14" i="4"/>
  <c r="JR14" i="4" s="1"/>
  <c r="JN14" i="4"/>
  <c r="JO14" i="4" s="1"/>
  <c r="JK14" i="4"/>
  <c r="JL14" i="4" s="1"/>
  <c r="JH14" i="4"/>
  <c r="JI14" i="4" s="1"/>
  <c r="JE14" i="4"/>
  <c r="JF14" i="4" s="1"/>
  <c r="JB14" i="4"/>
  <c r="JC14" i="4" s="1"/>
  <c r="IY14" i="4"/>
  <c r="IZ14" i="4" s="1"/>
  <c r="IV14" i="4"/>
  <c r="IW14" i="4" s="1"/>
  <c r="IS14" i="4"/>
  <c r="IT14" i="4" s="1"/>
  <c r="IP14" i="4"/>
  <c r="IQ14" i="4" s="1"/>
  <c r="IE14" i="4"/>
  <c r="IF14" i="4" s="1"/>
  <c r="IA14" i="4"/>
  <c r="HX14" i="4"/>
  <c r="HU14" i="4"/>
  <c r="HC14" i="4"/>
  <c r="GZ14" i="4"/>
  <c r="GW14" i="4"/>
  <c r="GT14" i="4"/>
  <c r="GQ14" i="4"/>
  <c r="GN14" i="4"/>
  <c r="GK14" i="4"/>
  <c r="GL14" i="4" s="1"/>
  <c r="GH14" i="4"/>
  <c r="GI14" i="4" s="1"/>
  <c r="GE14" i="4"/>
  <c r="GF14" i="4" s="1"/>
  <c r="GB14" i="4"/>
  <c r="GC14" i="4" s="1"/>
  <c r="FY14" i="4"/>
  <c r="FZ14" i="4" s="1"/>
  <c r="FV14" i="4"/>
  <c r="FW14" i="4" s="1"/>
  <c r="FS14" i="4"/>
  <c r="FT14" i="4" s="1"/>
  <c r="FP14" i="4"/>
  <c r="FQ14" i="4" s="1"/>
  <c r="FM14" i="4"/>
  <c r="FN14" i="4" s="1"/>
  <c r="FJ14" i="4"/>
  <c r="FK14" i="4" s="1"/>
  <c r="FG14" i="4"/>
  <c r="FH14" i="4" s="1"/>
  <c r="FD14" i="4"/>
  <c r="FE14" i="4" s="1"/>
  <c r="FA14" i="4"/>
  <c r="FB14" i="4" s="1"/>
  <c r="EX14" i="4"/>
  <c r="EY14" i="4" s="1"/>
  <c r="EU14" i="4"/>
  <c r="EV14" i="4" s="1"/>
  <c r="ER14" i="4"/>
  <c r="ES14" i="4" s="1"/>
  <c r="EO14" i="4"/>
  <c r="EP14" i="4" s="1"/>
  <c r="EL14" i="4"/>
  <c r="EM14" i="4" s="1"/>
  <c r="EH14" i="4"/>
  <c r="EE14" i="4"/>
  <c r="EF14" i="4" s="1"/>
  <c r="EB14" i="4"/>
  <c r="EC14" i="4" s="1"/>
  <c r="DX14" i="4"/>
  <c r="DY14" i="4" s="1"/>
  <c r="DT14" i="4"/>
  <c r="DU14" i="4" s="1"/>
  <c r="DP14" i="4"/>
  <c r="DQ14" i="4" s="1"/>
  <c r="DL14" i="4"/>
  <c r="DM14" i="4" s="1"/>
  <c r="DH14" i="4"/>
  <c r="DI14" i="4" s="1"/>
  <c r="DD14" i="4"/>
  <c r="DE14" i="4" s="1"/>
  <c r="CZ14" i="4"/>
  <c r="DA14" i="4" s="1"/>
  <c r="CV14" i="4"/>
  <c r="CW14" i="4" s="1"/>
  <c r="CR14" i="4"/>
  <c r="CS14" i="4" s="1"/>
  <c r="CN14" i="4"/>
  <c r="CO14" i="4" s="1"/>
  <c r="CJ14" i="4"/>
  <c r="CK14" i="4" s="1"/>
  <c r="CF14" i="4"/>
  <c r="CG14" i="4" s="1"/>
  <c r="CB14" i="4"/>
  <c r="CC14" i="4" s="1"/>
  <c r="BX14" i="4"/>
  <c r="BY14" i="4" s="1"/>
  <c r="BS14" i="4"/>
  <c r="BO14" i="4"/>
  <c r="BM14" i="4"/>
  <c r="BK14" i="4"/>
  <c r="BH14" i="4"/>
  <c r="BF14" i="4"/>
  <c r="BI14" i="4" s="1"/>
  <c r="BB14" i="4"/>
  <c r="AZ14" i="4"/>
  <c r="HY14" i="4" s="1"/>
  <c r="KM13" i="4"/>
  <c r="KL13" i="4"/>
  <c r="KK13" i="4"/>
  <c r="KC13" i="4"/>
  <c r="KD13" i="4" s="1"/>
  <c r="JZ13" i="4"/>
  <c r="KA13" i="4" s="1"/>
  <c r="JW13" i="4"/>
  <c r="JX13" i="4" s="1"/>
  <c r="JT13" i="4"/>
  <c r="JU13" i="4" s="1"/>
  <c r="JQ13" i="4"/>
  <c r="JR13" i="4" s="1"/>
  <c r="JN13" i="4"/>
  <c r="JO13" i="4" s="1"/>
  <c r="JK13" i="4"/>
  <c r="JL13" i="4" s="1"/>
  <c r="JH13" i="4"/>
  <c r="JI13" i="4" s="1"/>
  <c r="JE13" i="4"/>
  <c r="JF13" i="4" s="1"/>
  <c r="JB13" i="4"/>
  <c r="JC13" i="4" s="1"/>
  <c r="IY13" i="4"/>
  <c r="IZ13" i="4" s="1"/>
  <c r="IV13" i="4"/>
  <c r="IW13" i="4" s="1"/>
  <c r="IS13" i="4"/>
  <c r="IT13" i="4" s="1"/>
  <c r="IP13" i="4"/>
  <c r="IQ13" i="4" s="1"/>
  <c r="IE13" i="4"/>
  <c r="IF13" i="4" s="1"/>
  <c r="IA13" i="4"/>
  <c r="HX13" i="4"/>
  <c r="HU13" i="4"/>
  <c r="HC13" i="4"/>
  <c r="GZ13" i="4"/>
  <c r="GW13" i="4"/>
  <c r="GT13" i="4"/>
  <c r="GQ13" i="4"/>
  <c r="GN13" i="4"/>
  <c r="GK13" i="4"/>
  <c r="GL13" i="4" s="1"/>
  <c r="GH13" i="4"/>
  <c r="GI13" i="4" s="1"/>
  <c r="GE13" i="4"/>
  <c r="GF13" i="4" s="1"/>
  <c r="GB13" i="4"/>
  <c r="GC13" i="4" s="1"/>
  <c r="FY13" i="4"/>
  <c r="FZ13" i="4" s="1"/>
  <c r="FV13" i="4"/>
  <c r="FW13" i="4" s="1"/>
  <c r="FS13" i="4"/>
  <c r="FT13" i="4" s="1"/>
  <c r="FP13" i="4"/>
  <c r="FQ13" i="4" s="1"/>
  <c r="FM13" i="4"/>
  <c r="FN13" i="4" s="1"/>
  <c r="FJ13" i="4"/>
  <c r="FK13" i="4" s="1"/>
  <c r="FG13" i="4"/>
  <c r="FH13" i="4" s="1"/>
  <c r="FD13" i="4"/>
  <c r="FE13" i="4" s="1"/>
  <c r="FA13" i="4"/>
  <c r="FB13" i="4" s="1"/>
  <c r="EX13" i="4"/>
  <c r="EY13" i="4" s="1"/>
  <c r="EU13" i="4"/>
  <c r="EV13" i="4" s="1"/>
  <c r="ER13" i="4"/>
  <c r="ES13" i="4" s="1"/>
  <c r="EO13" i="4"/>
  <c r="EP13" i="4" s="1"/>
  <c r="EL13" i="4"/>
  <c r="EM13" i="4" s="1"/>
  <c r="EH13" i="4"/>
  <c r="EE13" i="4"/>
  <c r="EF13" i="4" s="1"/>
  <c r="EB13" i="4"/>
  <c r="EC13" i="4" s="1"/>
  <c r="DX13" i="4"/>
  <c r="DY13" i="4" s="1"/>
  <c r="DT13" i="4"/>
  <c r="DU13" i="4" s="1"/>
  <c r="DP13" i="4"/>
  <c r="DQ13" i="4" s="1"/>
  <c r="DL13" i="4"/>
  <c r="DM13" i="4" s="1"/>
  <c r="DH13" i="4"/>
  <c r="DI13" i="4" s="1"/>
  <c r="DD13" i="4"/>
  <c r="DE13" i="4" s="1"/>
  <c r="CZ13" i="4"/>
  <c r="DA13" i="4" s="1"/>
  <c r="CV13" i="4"/>
  <c r="CW13" i="4" s="1"/>
  <c r="CR13" i="4"/>
  <c r="CS13" i="4" s="1"/>
  <c r="CN13" i="4"/>
  <c r="CO13" i="4" s="1"/>
  <c r="CJ13" i="4"/>
  <c r="CK13" i="4" s="1"/>
  <c r="CF13" i="4"/>
  <c r="CG13" i="4" s="1"/>
  <c r="CB13" i="4"/>
  <c r="CC13" i="4" s="1"/>
  <c r="BX13" i="4"/>
  <c r="BY13" i="4" s="1"/>
  <c r="BS13" i="4"/>
  <c r="BO13" i="4"/>
  <c r="BM13" i="4"/>
  <c r="BK13" i="4"/>
  <c r="BH13" i="4"/>
  <c r="BF13" i="4"/>
  <c r="BI13" i="4" s="1"/>
  <c r="BB13" i="4"/>
  <c r="AZ13" i="4"/>
  <c r="HY13" i="4" s="1"/>
  <c r="KM12" i="4"/>
  <c r="KL12" i="4"/>
  <c r="KK12" i="4"/>
  <c r="KC12" i="4"/>
  <c r="KD12" i="4" s="1"/>
  <c r="JZ12" i="4"/>
  <c r="KA12" i="4" s="1"/>
  <c r="JW12" i="4"/>
  <c r="JX12" i="4" s="1"/>
  <c r="JT12" i="4"/>
  <c r="JU12" i="4" s="1"/>
  <c r="JQ12" i="4"/>
  <c r="JR12" i="4" s="1"/>
  <c r="JN12" i="4"/>
  <c r="JO12" i="4" s="1"/>
  <c r="JK12" i="4"/>
  <c r="JL12" i="4" s="1"/>
  <c r="JH12" i="4"/>
  <c r="JI12" i="4" s="1"/>
  <c r="JE12" i="4"/>
  <c r="JF12" i="4" s="1"/>
  <c r="JB12" i="4"/>
  <c r="JC12" i="4" s="1"/>
  <c r="IY12" i="4"/>
  <c r="IZ12" i="4" s="1"/>
  <c r="IV12" i="4"/>
  <c r="IW12" i="4" s="1"/>
  <c r="IS12" i="4"/>
  <c r="IT12" i="4" s="1"/>
  <c r="IP12" i="4"/>
  <c r="IQ12" i="4" s="1"/>
  <c r="IE12" i="4"/>
  <c r="IF12" i="4" s="1"/>
  <c r="IA12" i="4"/>
  <c r="HX12" i="4"/>
  <c r="HU12" i="4"/>
  <c r="HC12" i="4"/>
  <c r="GZ12" i="4"/>
  <c r="GW12" i="4"/>
  <c r="GT12" i="4"/>
  <c r="GQ12" i="4"/>
  <c r="GN12" i="4"/>
  <c r="GK12" i="4"/>
  <c r="GL12" i="4" s="1"/>
  <c r="GH12" i="4"/>
  <c r="GI12" i="4" s="1"/>
  <c r="GE12" i="4"/>
  <c r="GF12" i="4" s="1"/>
  <c r="GB12" i="4"/>
  <c r="GC12" i="4" s="1"/>
  <c r="FY12" i="4"/>
  <c r="FZ12" i="4" s="1"/>
  <c r="FV12" i="4"/>
  <c r="FW12" i="4" s="1"/>
  <c r="FS12" i="4"/>
  <c r="FT12" i="4" s="1"/>
  <c r="FP12" i="4"/>
  <c r="FQ12" i="4" s="1"/>
  <c r="FM12" i="4"/>
  <c r="FN12" i="4" s="1"/>
  <c r="FJ12" i="4"/>
  <c r="FK12" i="4" s="1"/>
  <c r="FG12" i="4"/>
  <c r="FH12" i="4" s="1"/>
  <c r="FD12" i="4"/>
  <c r="FE12" i="4" s="1"/>
  <c r="FA12" i="4"/>
  <c r="FB12" i="4" s="1"/>
  <c r="EX12" i="4"/>
  <c r="EY12" i="4" s="1"/>
  <c r="EU12" i="4"/>
  <c r="EV12" i="4" s="1"/>
  <c r="ER12" i="4"/>
  <c r="ES12" i="4" s="1"/>
  <c r="EO12" i="4"/>
  <c r="EP12" i="4" s="1"/>
  <c r="EL12" i="4"/>
  <c r="EM12" i="4" s="1"/>
  <c r="EH12" i="4"/>
  <c r="EE12" i="4"/>
  <c r="EF12" i="4" s="1"/>
  <c r="EB12" i="4"/>
  <c r="EC12" i="4" s="1"/>
  <c r="DX12" i="4"/>
  <c r="DY12" i="4" s="1"/>
  <c r="DT12" i="4"/>
  <c r="DU12" i="4" s="1"/>
  <c r="DP12" i="4"/>
  <c r="DQ12" i="4" s="1"/>
  <c r="DL12" i="4"/>
  <c r="DM12" i="4" s="1"/>
  <c r="DH12" i="4"/>
  <c r="DI12" i="4" s="1"/>
  <c r="DD12" i="4"/>
  <c r="DE12" i="4" s="1"/>
  <c r="CZ12" i="4"/>
  <c r="DA12" i="4" s="1"/>
  <c r="CV12" i="4"/>
  <c r="CW12" i="4" s="1"/>
  <c r="CR12" i="4"/>
  <c r="CS12" i="4" s="1"/>
  <c r="CN12" i="4"/>
  <c r="CO12" i="4" s="1"/>
  <c r="CJ12" i="4"/>
  <c r="CK12" i="4" s="1"/>
  <c r="CF12" i="4"/>
  <c r="CG12" i="4" s="1"/>
  <c r="CB12" i="4"/>
  <c r="CC12" i="4" s="1"/>
  <c r="BX12" i="4"/>
  <c r="BY12" i="4" s="1"/>
  <c r="BS12" i="4"/>
  <c r="BO12" i="4"/>
  <c r="BM12" i="4"/>
  <c r="BK12" i="4"/>
  <c r="BH12" i="4"/>
  <c r="BF12" i="4"/>
  <c r="BI12" i="4" s="1"/>
  <c r="BB12" i="4"/>
  <c r="AZ12" i="4"/>
  <c r="HY12" i="4" s="1"/>
  <c r="KM11" i="4"/>
  <c r="KL11" i="4"/>
  <c r="KK11" i="4"/>
  <c r="KC11" i="4"/>
  <c r="KD11" i="4" s="1"/>
  <c r="JZ11" i="4"/>
  <c r="KA11" i="4" s="1"/>
  <c r="JW11" i="4"/>
  <c r="JX11" i="4" s="1"/>
  <c r="JT11" i="4"/>
  <c r="JU11" i="4" s="1"/>
  <c r="JQ11" i="4"/>
  <c r="JR11" i="4" s="1"/>
  <c r="JN11" i="4"/>
  <c r="JO11" i="4" s="1"/>
  <c r="JK11" i="4"/>
  <c r="JL11" i="4" s="1"/>
  <c r="JH11" i="4"/>
  <c r="JI11" i="4" s="1"/>
  <c r="JE11" i="4"/>
  <c r="JF11" i="4" s="1"/>
  <c r="JB11" i="4"/>
  <c r="JC11" i="4" s="1"/>
  <c r="IY11" i="4"/>
  <c r="IZ11" i="4" s="1"/>
  <c r="IV11" i="4"/>
  <c r="IW11" i="4" s="1"/>
  <c r="IS11" i="4"/>
  <c r="IT11" i="4" s="1"/>
  <c r="IP11" i="4"/>
  <c r="IQ11" i="4" s="1"/>
  <c r="IE11" i="4"/>
  <c r="IF11" i="4" s="1"/>
  <c r="IA11" i="4"/>
  <c r="HX11" i="4"/>
  <c r="HU11" i="4"/>
  <c r="HC11" i="4"/>
  <c r="GZ11" i="4"/>
  <c r="GW11" i="4"/>
  <c r="GT11" i="4"/>
  <c r="GQ11" i="4"/>
  <c r="GN11" i="4"/>
  <c r="GK11" i="4"/>
  <c r="GL11" i="4" s="1"/>
  <c r="GH11" i="4"/>
  <c r="GI11" i="4" s="1"/>
  <c r="GE11" i="4"/>
  <c r="GF11" i="4" s="1"/>
  <c r="GB11" i="4"/>
  <c r="GC11" i="4" s="1"/>
  <c r="FY11" i="4"/>
  <c r="FZ11" i="4" s="1"/>
  <c r="FV11" i="4"/>
  <c r="FW11" i="4" s="1"/>
  <c r="FS11" i="4"/>
  <c r="FT11" i="4" s="1"/>
  <c r="FP11" i="4"/>
  <c r="FQ11" i="4" s="1"/>
  <c r="FM11" i="4"/>
  <c r="FN11" i="4" s="1"/>
  <c r="FJ11" i="4"/>
  <c r="FK11" i="4" s="1"/>
  <c r="FG11" i="4"/>
  <c r="FH11" i="4" s="1"/>
  <c r="FD11" i="4"/>
  <c r="FE11" i="4" s="1"/>
  <c r="FA11" i="4"/>
  <c r="FB11" i="4" s="1"/>
  <c r="EX11" i="4"/>
  <c r="EY11" i="4" s="1"/>
  <c r="EU11" i="4"/>
  <c r="EV11" i="4" s="1"/>
  <c r="ER11" i="4"/>
  <c r="ES11" i="4" s="1"/>
  <c r="EO11" i="4"/>
  <c r="EP11" i="4" s="1"/>
  <c r="EL11" i="4"/>
  <c r="EM11" i="4" s="1"/>
  <c r="EH11" i="4"/>
  <c r="EE11" i="4"/>
  <c r="EF11" i="4" s="1"/>
  <c r="EB11" i="4"/>
  <c r="EC11" i="4" s="1"/>
  <c r="DX11" i="4"/>
  <c r="DY11" i="4" s="1"/>
  <c r="DT11" i="4"/>
  <c r="DU11" i="4" s="1"/>
  <c r="DP11" i="4"/>
  <c r="DQ11" i="4" s="1"/>
  <c r="DL11" i="4"/>
  <c r="DM11" i="4" s="1"/>
  <c r="DH11" i="4"/>
  <c r="DI11" i="4" s="1"/>
  <c r="DD11" i="4"/>
  <c r="DE11" i="4" s="1"/>
  <c r="CZ11" i="4"/>
  <c r="DA11" i="4" s="1"/>
  <c r="CV11" i="4"/>
  <c r="CW11" i="4" s="1"/>
  <c r="CR11" i="4"/>
  <c r="CS11" i="4" s="1"/>
  <c r="CN11" i="4"/>
  <c r="CO11" i="4" s="1"/>
  <c r="CJ11" i="4"/>
  <c r="CK11" i="4" s="1"/>
  <c r="CF11" i="4"/>
  <c r="CG11" i="4" s="1"/>
  <c r="CB11" i="4"/>
  <c r="CC11" i="4" s="1"/>
  <c r="BX11" i="4"/>
  <c r="BY11" i="4" s="1"/>
  <c r="BS11" i="4"/>
  <c r="BO11" i="4"/>
  <c r="BM11" i="4"/>
  <c r="BK11" i="4"/>
  <c r="BH11" i="4"/>
  <c r="BF11" i="4"/>
  <c r="BI11" i="4" s="1"/>
  <c r="BB11" i="4"/>
  <c r="AZ11" i="4"/>
  <c r="HY11" i="4" s="1"/>
  <c r="KM10" i="4"/>
  <c r="KL10" i="4"/>
  <c r="KK10" i="4"/>
  <c r="KC10" i="4"/>
  <c r="KD10" i="4" s="1"/>
  <c r="JZ10" i="4"/>
  <c r="KA10" i="4" s="1"/>
  <c r="JW10" i="4"/>
  <c r="JX10" i="4" s="1"/>
  <c r="JT10" i="4"/>
  <c r="JU10" i="4" s="1"/>
  <c r="JQ10" i="4"/>
  <c r="JR10" i="4" s="1"/>
  <c r="JN10" i="4"/>
  <c r="JO10" i="4" s="1"/>
  <c r="JK10" i="4"/>
  <c r="JL10" i="4" s="1"/>
  <c r="JH10" i="4"/>
  <c r="JI10" i="4" s="1"/>
  <c r="JE10" i="4"/>
  <c r="JF10" i="4" s="1"/>
  <c r="JB10" i="4"/>
  <c r="JC10" i="4" s="1"/>
  <c r="IY10" i="4"/>
  <c r="IZ10" i="4" s="1"/>
  <c r="IV10" i="4"/>
  <c r="IW10" i="4" s="1"/>
  <c r="IS10" i="4"/>
  <c r="IT10" i="4" s="1"/>
  <c r="IP10" i="4"/>
  <c r="IQ10" i="4" s="1"/>
  <c r="IE10" i="4"/>
  <c r="IF10" i="4" s="1"/>
  <c r="IA10" i="4"/>
  <c r="HX10" i="4"/>
  <c r="HU10" i="4"/>
  <c r="HC10" i="4"/>
  <c r="GZ10" i="4"/>
  <c r="GW10" i="4"/>
  <c r="GT10" i="4"/>
  <c r="GQ10" i="4"/>
  <c r="GN10" i="4"/>
  <c r="GK10" i="4"/>
  <c r="GL10" i="4" s="1"/>
  <c r="GH10" i="4"/>
  <c r="GI10" i="4" s="1"/>
  <c r="GE10" i="4"/>
  <c r="GF10" i="4" s="1"/>
  <c r="GB10" i="4"/>
  <c r="GC10" i="4" s="1"/>
  <c r="FY10" i="4"/>
  <c r="FZ10" i="4" s="1"/>
  <c r="FV10" i="4"/>
  <c r="FW10" i="4" s="1"/>
  <c r="FS10" i="4"/>
  <c r="FT10" i="4" s="1"/>
  <c r="FP10" i="4"/>
  <c r="FQ10" i="4" s="1"/>
  <c r="FM10" i="4"/>
  <c r="FN10" i="4" s="1"/>
  <c r="FJ10" i="4"/>
  <c r="FK10" i="4" s="1"/>
  <c r="FG10" i="4"/>
  <c r="FH10" i="4" s="1"/>
  <c r="FD10" i="4"/>
  <c r="FE10" i="4" s="1"/>
  <c r="FA10" i="4"/>
  <c r="FB10" i="4" s="1"/>
  <c r="EX10" i="4"/>
  <c r="EY10" i="4" s="1"/>
  <c r="EU10" i="4"/>
  <c r="EV10" i="4" s="1"/>
  <c r="ER10" i="4"/>
  <c r="ES10" i="4" s="1"/>
  <c r="EO10" i="4"/>
  <c r="EP10" i="4" s="1"/>
  <c r="EL10" i="4"/>
  <c r="EM10" i="4" s="1"/>
  <c r="EH10" i="4"/>
  <c r="EE10" i="4"/>
  <c r="EF10" i="4" s="1"/>
  <c r="EB10" i="4"/>
  <c r="EC10" i="4" s="1"/>
  <c r="DX10" i="4"/>
  <c r="DY10" i="4" s="1"/>
  <c r="DT10" i="4"/>
  <c r="DU10" i="4" s="1"/>
  <c r="DP10" i="4"/>
  <c r="DQ10" i="4" s="1"/>
  <c r="DL10" i="4"/>
  <c r="DM10" i="4" s="1"/>
  <c r="DH10" i="4"/>
  <c r="DI10" i="4" s="1"/>
  <c r="DD10" i="4"/>
  <c r="DE10" i="4" s="1"/>
  <c r="CZ10" i="4"/>
  <c r="DA10" i="4" s="1"/>
  <c r="CV10" i="4"/>
  <c r="CW10" i="4" s="1"/>
  <c r="CR10" i="4"/>
  <c r="CS10" i="4" s="1"/>
  <c r="CN10" i="4"/>
  <c r="CO10" i="4" s="1"/>
  <c r="CJ10" i="4"/>
  <c r="CK10" i="4" s="1"/>
  <c r="CF10" i="4"/>
  <c r="CG10" i="4" s="1"/>
  <c r="CB10" i="4"/>
  <c r="CC10" i="4" s="1"/>
  <c r="BX10" i="4"/>
  <c r="BY10" i="4" s="1"/>
  <c r="BS10" i="4"/>
  <c r="BO10" i="4"/>
  <c r="BM10" i="4"/>
  <c r="BK10" i="4"/>
  <c r="BH10" i="4"/>
  <c r="BF10" i="4"/>
  <c r="BI10" i="4" s="1"/>
  <c r="BB10" i="4"/>
  <c r="AZ10" i="4"/>
  <c r="HY10" i="4" s="1"/>
  <c r="KM9" i="4"/>
  <c r="KL9" i="4"/>
  <c r="KK9" i="4"/>
  <c r="KC9" i="4"/>
  <c r="KD9" i="4" s="1"/>
  <c r="JZ9" i="4"/>
  <c r="KA9" i="4" s="1"/>
  <c r="JW9" i="4"/>
  <c r="JX9" i="4" s="1"/>
  <c r="JT9" i="4"/>
  <c r="JU9" i="4" s="1"/>
  <c r="JQ9" i="4"/>
  <c r="JR9" i="4" s="1"/>
  <c r="JN9" i="4"/>
  <c r="JO9" i="4" s="1"/>
  <c r="JK9" i="4"/>
  <c r="JL9" i="4" s="1"/>
  <c r="JH9" i="4"/>
  <c r="JI9" i="4" s="1"/>
  <c r="JE9" i="4"/>
  <c r="JF9" i="4" s="1"/>
  <c r="JB9" i="4"/>
  <c r="JC9" i="4" s="1"/>
  <c r="IY9" i="4"/>
  <c r="IZ9" i="4" s="1"/>
  <c r="IV9" i="4"/>
  <c r="IW9" i="4" s="1"/>
  <c r="IS9" i="4"/>
  <c r="IT9" i="4" s="1"/>
  <c r="IP9" i="4"/>
  <c r="IQ9" i="4" s="1"/>
  <c r="IE9" i="4"/>
  <c r="IF9" i="4" s="1"/>
  <c r="IA9" i="4"/>
  <c r="HX9" i="4"/>
  <c r="HU9" i="4"/>
  <c r="HC9" i="4"/>
  <c r="GZ9" i="4"/>
  <c r="GW9" i="4"/>
  <c r="GT9" i="4"/>
  <c r="GQ9" i="4"/>
  <c r="GN9" i="4"/>
  <c r="GK9" i="4"/>
  <c r="GL9" i="4" s="1"/>
  <c r="GH9" i="4"/>
  <c r="GI9" i="4" s="1"/>
  <c r="GE9" i="4"/>
  <c r="GF9" i="4" s="1"/>
  <c r="GB9" i="4"/>
  <c r="GC9" i="4" s="1"/>
  <c r="FY9" i="4"/>
  <c r="FZ9" i="4" s="1"/>
  <c r="FV9" i="4"/>
  <c r="FW9" i="4" s="1"/>
  <c r="FS9" i="4"/>
  <c r="FT9" i="4" s="1"/>
  <c r="FP9" i="4"/>
  <c r="FQ9" i="4" s="1"/>
  <c r="FM9" i="4"/>
  <c r="FN9" i="4" s="1"/>
  <c r="FJ9" i="4"/>
  <c r="FK9" i="4" s="1"/>
  <c r="FG9" i="4"/>
  <c r="FH9" i="4" s="1"/>
  <c r="FD9" i="4"/>
  <c r="FE9" i="4" s="1"/>
  <c r="FA9" i="4"/>
  <c r="FB9" i="4" s="1"/>
  <c r="EX9" i="4"/>
  <c r="EY9" i="4" s="1"/>
  <c r="EU9" i="4"/>
  <c r="EV9" i="4" s="1"/>
  <c r="ER9" i="4"/>
  <c r="ES9" i="4" s="1"/>
  <c r="EO9" i="4"/>
  <c r="EP9" i="4" s="1"/>
  <c r="EL9" i="4"/>
  <c r="EM9" i="4" s="1"/>
  <c r="EH9" i="4"/>
  <c r="EE9" i="4"/>
  <c r="EF9" i="4" s="1"/>
  <c r="EB9" i="4"/>
  <c r="EC9" i="4" s="1"/>
  <c r="DX9" i="4"/>
  <c r="DY9" i="4" s="1"/>
  <c r="DT9" i="4"/>
  <c r="DU9" i="4" s="1"/>
  <c r="DP9" i="4"/>
  <c r="DQ9" i="4" s="1"/>
  <c r="DL9" i="4"/>
  <c r="DM9" i="4" s="1"/>
  <c r="DH9" i="4"/>
  <c r="DI9" i="4" s="1"/>
  <c r="DD9" i="4"/>
  <c r="DE9" i="4" s="1"/>
  <c r="CZ9" i="4"/>
  <c r="DA9" i="4" s="1"/>
  <c r="CV9" i="4"/>
  <c r="CW9" i="4" s="1"/>
  <c r="CR9" i="4"/>
  <c r="CS9" i="4" s="1"/>
  <c r="CN9" i="4"/>
  <c r="CO9" i="4" s="1"/>
  <c r="CJ9" i="4"/>
  <c r="CK9" i="4" s="1"/>
  <c r="CF9" i="4"/>
  <c r="CG9" i="4" s="1"/>
  <c r="CB9" i="4"/>
  <c r="CC9" i="4" s="1"/>
  <c r="BX9" i="4"/>
  <c r="BY9" i="4" s="1"/>
  <c r="BS9" i="4"/>
  <c r="BO9" i="4"/>
  <c r="BM9" i="4"/>
  <c r="BK9" i="4"/>
  <c r="BH9" i="4"/>
  <c r="BF9" i="4"/>
  <c r="BI9" i="4" s="1"/>
  <c r="BB9" i="4"/>
  <c r="AZ9" i="4"/>
  <c r="HY9" i="4" s="1"/>
  <c r="KM8" i="4"/>
  <c r="KL8" i="4"/>
  <c r="KK8" i="4"/>
  <c r="KC8" i="4"/>
  <c r="KD8" i="4" s="1"/>
  <c r="JZ8" i="4"/>
  <c r="KA8" i="4" s="1"/>
  <c r="JW8" i="4"/>
  <c r="JX8" i="4" s="1"/>
  <c r="JT8" i="4"/>
  <c r="JU8" i="4" s="1"/>
  <c r="JQ8" i="4"/>
  <c r="JR8" i="4" s="1"/>
  <c r="JN8" i="4"/>
  <c r="JO8" i="4" s="1"/>
  <c r="JK8" i="4"/>
  <c r="JL8" i="4" s="1"/>
  <c r="JH8" i="4"/>
  <c r="JI8" i="4" s="1"/>
  <c r="JE8" i="4"/>
  <c r="JF8" i="4" s="1"/>
  <c r="JB8" i="4"/>
  <c r="JC8" i="4" s="1"/>
  <c r="IY8" i="4"/>
  <c r="IZ8" i="4" s="1"/>
  <c r="IV8" i="4"/>
  <c r="IW8" i="4" s="1"/>
  <c r="IS8" i="4"/>
  <c r="IT8" i="4" s="1"/>
  <c r="IP8" i="4"/>
  <c r="IQ8" i="4" s="1"/>
  <c r="IE8" i="4"/>
  <c r="IF8" i="4" s="1"/>
  <c r="IA8" i="4"/>
  <c r="HX8" i="4"/>
  <c r="HU8" i="4"/>
  <c r="HC8" i="4"/>
  <c r="GZ8" i="4"/>
  <c r="GW8" i="4"/>
  <c r="GT8" i="4"/>
  <c r="GQ8" i="4"/>
  <c r="GN8" i="4"/>
  <c r="GK8" i="4"/>
  <c r="GL8" i="4" s="1"/>
  <c r="GH8" i="4"/>
  <c r="GI8" i="4" s="1"/>
  <c r="GE8" i="4"/>
  <c r="GF8" i="4" s="1"/>
  <c r="GB8" i="4"/>
  <c r="GC8" i="4" s="1"/>
  <c r="FY8" i="4"/>
  <c r="FZ8" i="4" s="1"/>
  <c r="FV8" i="4"/>
  <c r="FW8" i="4" s="1"/>
  <c r="FS8" i="4"/>
  <c r="FT8" i="4" s="1"/>
  <c r="FP8" i="4"/>
  <c r="FQ8" i="4" s="1"/>
  <c r="FM8" i="4"/>
  <c r="FN8" i="4" s="1"/>
  <c r="FJ8" i="4"/>
  <c r="FK8" i="4" s="1"/>
  <c r="FG8" i="4"/>
  <c r="FH8" i="4" s="1"/>
  <c r="FD8" i="4"/>
  <c r="FE8" i="4" s="1"/>
  <c r="FA8" i="4"/>
  <c r="FB8" i="4" s="1"/>
  <c r="EX8" i="4"/>
  <c r="EY8" i="4" s="1"/>
  <c r="EU8" i="4"/>
  <c r="EV8" i="4" s="1"/>
  <c r="ER8" i="4"/>
  <c r="ES8" i="4" s="1"/>
  <c r="EO8" i="4"/>
  <c r="EP8" i="4" s="1"/>
  <c r="EL8" i="4"/>
  <c r="EM8" i="4" s="1"/>
  <c r="EH8" i="4"/>
  <c r="EE8" i="4"/>
  <c r="EF8" i="4" s="1"/>
  <c r="EB8" i="4"/>
  <c r="EC8" i="4" s="1"/>
  <c r="DX8" i="4"/>
  <c r="DY8" i="4" s="1"/>
  <c r="DT8" i="4"/>
  <c r="DU8" i="4" s="1"/>
  <c r="DP8" i="4"/>
  <c r="DQ8" i="4" s="1"/>
  <c r="DL8" i="4"/>
  <c r="DM8" i="4" s="1"/>
  <c r="DH8" i="4"/>
  <c r="DI8" i="4" s="1"/>
  <c r="DD8" i="4"/>
  <c r="DE8" i="4" s="1"/>
  <c r="CZ8" i="4"/>
  <c r="DA8" i="4" s="1"/>
  <c r="CV8" i="4"/>
  <c r="CW8" i="4" s="1"/>
  <c r="CR8" i="4"/>
  <c r="CS8" i="4" s="1"/>
  <c r="CN8" i="4"/>
  <c r="CO8" i="4" s="1"/>
  <c r="CJ8" i="4"/>
  <c r="CK8" i="4" s="1"/>
  <c r="CF8" i="4"/>
  <c r="CG8" i="4" s="1"/>
  <c r="CB8" i="4"/>
  <c r="CC8" i="4" s="1"/>
  <c r="BX8" i="4"/>
  <c r="BY8" i="4" s="1"/>
  <c r="BS8" i="4"/>
  <c r="BO8" i="4"/>
  <c r="BM8" i="4"/>
  <c r="BK8" i="4"/>
  <c r="BH8" i="4"/>
  <c r="BF8" i="4"/>
  <c r="BI8" i="4" s="1"/>
  <c r="BB8" i="4"/>
  <c r="AZ8" i="4"/>
  <c r="HY8" i="4" s="1"/>
  <c r="KM7" i="4"/>
  <c r="KL7" i="4"/>
  <c r="KK7" i="4"/>
  <c r="KC7" i="4"/>
  <c r="KD7" i="4" s="1"/>
  <c r="JZ7" i="4"/>
  <c r="KA7" i="4" s="1"/>
  <c r="JW7" i="4"/>
  <c r="JX7" i="4" s="1"/>
  <c r="JT7" i="4"/>
  <c r="JU7" i="4" s="1"/>
  <c r="JQ7" i="4"/>
  <c r="JR7" i="4" s="1"/>
  <c r="JN7" i="4"/>
  <c r="JO7" i="4" s="1"/>
  <c r="JK7" i="4"/>
  <c r="JL7" i="4" s="1"/>
  <c r="JH7" i="4"/>
  <c r="JI7" i="4" s="1"/>
  <c r="JE7" i="4"/>
  <c r="JF7" i="4" s="1"/>
  <c r="JB7" i="4"/>
  <c r="JC7" i="4" s="1"/>
  <c r="IY7" i="4"/>
  <c r="IZ7" i="4" s="1"/>
  <c r="IV7" i="4"/>
  <c r="IW7" i="4" s="1"/>
  <c r="IS7" i="4"/>
  <c r="IT7" i="4" s="1"/>
  <c r="IP7" i="4"/>
  <c r="IQ7" i="4" s="1"/>
  <c r="IE7" i="4"/>
  <c r="IF7" i="4" s="1"/>
  <c r="IA7" i="4"/>
  <c r="HX7" i="4"/>
  <c r="HU7" i="4"/>
  <c r="HC7" i="4"/>
  <c r="GZ7" i="4"/>
  <c r="GW7" i="4"/>
  <c r="GT7" i="4"/>
  <c r="GQ7" i="4"/>
  <c r="GN7" i="4"/>
  <c r="GK7" i="4"/>
  <c r="GL7" i="4" s="1"/>
  <c r="GH7" i="4"/>
  <c r="GI7" i="4" s="1"/>
  <c r="GE7" i="4"/>
  <c r="GF7" i="4" s="1"/>
  <c r="GB7" i="4"/>
  <c r="GC7" i="4" s="1"/>
  <c r="FY7" i="4"/>
  <c r="FZ7" i="4" s="1"/>
  <c r="FV7" i="4"/>
  <c r="FW7" i="4" s="1"/>
  <c r="FS7" i="4"/>
  <c r="FT7" i="4" s="1"/>
  <c r="FP7" i="4"/>
  <c r="FQ7" i="4" s="1"/>
  <c r="FM7" i="4"/>
  <c r="FN7" i="4" s="1"/>
  <c r="FJ7" i="4"/>
  <c r="FK7" i="4" s="1"/>
  <c r="FG7" i="4"/>
  <c r="FH7" i="4" s="1"/>
  <c r="FD7" i="4"/>
  <c r="FE7" i="4" s="1"/>
  <c r="FA7" i="4"/>
  <c r="FB7" i="4" s="1"/>
  <c r="EX7" i="4"/>
  <c r="EY7" i="4" s="1"/>
  <c r="EU7" i="4"/>
  <c r="EV7" i="4" s="1"/>
  <c r="ER7" i="4"/>
  <c r="ES7" i="4" s="1"/>
  <c r="EO7" i="4"/>
  <c r="EP7" i="4" s="1"/>
  <c r="EL7" i="4"/>
  <c r="EM7" i="4" s="1"/>
  <c r="EH7" i="4"/>
  <c r="EE7" i="4"/>
  <c r="EF7" i="4" s="1"/>
  <c r="EB7" i="4"/>
  <c r="EC7" i="4" s="1"/>
  <c r="DX7" i="4"/>
  <c r="DY7" i="4" s="1"/>
  <c r="DT7" i="4"/>
  <c r="DU7" i="4" s="1"/>
  <c r="DP7" i="4"/>
  <c r="DQ7" i="4" s="1"/>
  <c r="DL7" i="4"/>
  <c r="DM7" i="4" s="1"/>
  <c r="DH7" i="4"/>
  <c r="DI7" i="4" s="1"/>
  <c r="DD7" i="4"/>
  <c r="DE7" i="4" s="1"/>
  <c r="CZ7" i="4"/>
  <c r="DA7" i="4" s="1"/>
  <c r="CV7" i="4"/>
  <c r="CW7" i="4" s="1"/>
  <c r="CR7" i="4"/>
  <c r="CS7" i="4" s="1"/>
  <c r="CN7" i="4"/>
  <c r="CO7" i="4" s="1"/>
  <c r="CJ7" i="4"/>
  <c r="CK7" i="4" s="1"/>
  <c r="CF7" i="4"/>
  <c r="CG7" i="4" s="1"/>
  <c r="CB7" i="4"/>
  <c r="CC7" i="4" s="1"/>
  <c r="BX7" i="4"/>
  <c r="BY7" i="4" s="1"/>
  <c r="BS7" i="4"/>
  <c r="BO7" i="4"/>
  <c r="BM7" i="4"/>
  <c r="BK7" i="4"/>
  <c r="BH7" i="4"/>
  <c r="BF7" i="4"/>
  <c r="BI7" i="4" s="1"/>
  <c r="BB7" i="4"/>
  <c r="AZ7" i="4"/>
  <c r="HY7" i="4" s="1"/>
  <c r="KM6" i="4"/>
  <c r="KL6" i="4"/>
  <c r="KK6" i="4"/>
  <c r="KC6" i="4"/>
  <c r="KD6" i="4" s="1"/>
  <c r="JZ6" i="4"/>
  <c r="KA6" i="4" s="1"/>
  <c r="JW6" i="4"/>
  <c r="JX6" i="4" s="1"/>
  <c r="JT6" i="4"/>
  <c r="JU6" i="4" s="1"/>
  <c r="JQ6" i="4"/>
  <c r="JR6" i="4" s="1"/>
  <c r="JN6" i="4"/>
  <c r="JO6" i="4" s="1"/>
  <c r="JK6" i="4"/>
  <c r="JL6" i="4" s="1"/>
  <c r="JH6" i="4"/>
  <c r="JI6" i="4" s="1"/>
  <c r="JE6" i="4"/>
  <c r="JF6" i="4" s="1"/>
  <c r="JB6" i="4"/>
  <c r="JC6" i="4" s="1"/>
  <c r="IY6" i="4"/>
  <c r="IZ6" i="4" s="1"/>
  <c r="IV6" i="4"/>
  <c r="IW6" i="4" s="1"/>
  <c r="IS6" i="4"/>
  <c r="IT6" i="4" s="1"/>
  <c r="IP6" i="4"/>
  <c r="IQ6" i="4" s="1"/>
  <c r="IE6" i="4"/>
  <c r="IF6" i="4" s="1"/>
  <c r="IA6" i="4"/>
  <c r="HX6" i="4"/>
  <c r="HU6" i="4"/>
  <c r="HC6" i="4"/>
  <c r="GZ6" i="4"/>
  <c r="GW6" i="4"/>
  <c r="GT6" i="4"/>
  <c r="GQ6" i="4"/>
  <c r="GN6" i="4"/>
  <c r="GK6" i="4"/>
  <c r="GL6" i="4" s="1"/>
  <c r="GH6" i="4"/>
  <c r="GI6" i="4" s="1"/>
  <c r="GE6" i="4"/>
  <c r="GF6" i="4" s="1"/>
  <c r="GB6" i="4"/>
  <c r="GC6" i="4" s="1"/>
  <c r="FY6" i="4"/>
  <c r="FZ6" i="4" s="1"/>
  <c r="FV6" i="4"/>
  <c r="FW6" i="4" s="1"/>
  <c r="FS6" i="4"/>
  <c r="FT6" i="4" s="1"/>
  <c r="FP6" i="4"/>
  <c r="FQ6" i="4" s="1"/>
  <c r="FM6" i="4"/>
  <c r="FN6" i="4" s="1"/>
  <c r="FJ6" i="4"/>
  <c r="FK6" i="4" s="1"/>
  <c r="FG6" i="4"/>
  <c r="FH6" i="4" s="1"/>
  <c r="FD6" i="4"/>
  <c r="FE6" i="4" s="1"/>
  <c r="FA6" i="4"/>
  <c r="FB6" i="4" s="1"/>
  <c r="EX6" i="4"/>
  <c r="EY6" i="4" s="1"/>
  <c r="EU6" i="4"/>
  <c r="EV6" i="4" s="1"/>
  <c r="ER6" i="4"/>
  <c r="ES6" i="4" s="1"/>
  <c r="EO6" i="4"/>
  <c r="EP6" i="4" s="1"/>
  <c r="EL6" i="4"/>
  <c r="EM6" i="4" s="1"/>
  <c r="EH6" i="4"/>
  <c r="EE6" i="4"/>
  <c r="EF6" i="4" s="1"/>
  <c r="EB6" i="4"/>
  <c r="EC6" i="4" s="1"/>
  <c r="DX6" i="4"/>
  <c r="DY6" i="4" s="1"/>
  <c r="DT6" i="4"/>
  <c r="DU6" i="4" s="1"/>
  <c r="DP6" i="4"/>
  <c r="DQ6" i="4" s="1"/>
  <c r="DL6" i="4"/>
  <c r="DM6" i="4" s="1"/>
  <c r="DH6" i="4"/>
  <c r="DI6" i="4" s="1"/>
  <c r="DD6" i="4"/>
  <c r="DE6" i="4" s="1"/>
  <c r="CZ6" i="4"/>
  <c r="DA6" i="4" s="1"/>
  <c r="CV6" i="4"/>
  <c r="CW6" i="4" s="1"/>
  <c r="CR6" i="4"/>
  <c r="CS6" i="4" s="1"/>
  <c r="CN6" i="4"/>
  <c r="CO6" i="4" s="1"/>
  <c r="CJ6" i="4"/>
  <c r="CK6" i="4" s="1"/>
  <c r="CF6" i="4"/>
  <c r="CG6" i="4" s="1"/>
  <c r="CB6" i="4"/>
  <c r="CC6" i="4" s="1"/>
  <c r="BX6" i="4"/>
  <c r="BY6" i="4" s="1"/>
  <c r="BS6" i="4"/>
  <c r="BO6" i="4"/>
  <c r="BM6" i="4"/>
  <c r="BK6" i="4"/>
  <c r="BH6" i="4"/>
  <c r="BF6" i="4"/>
  <c r="BI6" i="4" s="1"/>
  <c r="BB6" i="4"/>
  <c r="AZ6" i="4"/>
  <c r="HY6" i="4" s="1"/>
  <c r="KM5" i="4"/>
  <c r="KL5" i="4"/>
  <c r="KK5" i="4"/>
  <c r="KC5" i="4"/>
  <c r="KD5" i="4" s="1"/>
  <c r="JZ5" i="4"/>
  <c r="KA5" i="4" s="1"/>
  <c r="JW5" i="4"/>
  <c r="JX5" i="4" s="1"/>
  <c r="JT5" i="4"/>
  <c r="JU5" i="4" s="1"/>
  <c r="JQ5" i="4"/>
  <c r="JR5" i="4" s="1"/>
  <c r="JN5" i="4"/>
  <c r="JO5" i="4" s="1"/>
  <c r="JK5" i="4"/>
  <c r="JL5" i="4" s="1"/>
  <c r="JH5" i="4"/>
  <c r="JI5" i="4" s="1"/>
  <c r="JE5" i="4"/>
  <c r="JF5" i="4" s="1"/>
  <c r="JB5" i="4"/>
  <c r="JC5" i="4" s="1"/>
  <c r="IY5" i="4"/>
  <c r="IZ5" i="4" s="1"/>
  <c r="IV5" i="4"/>
  <c r="IW5" i="4" s="1"/>
  <c r="IS5" i="4"/>
  <c r="IT5" i="4" s="1"/>
  <c r="IP5" i="4"/>
  <c r="IQ5" i="4" s="1"/>
  <c r="IE5" i="4"/>
  <c r="IF5" i="4" s="1"/>
  <c r="IA5" i="4"/>
  <c r="HX5" i="4"/>
  <c r="HU5" i="4"/>
  <c r="HC5" i="4"/>
  <c r="GZ5" i="4"/>
  <c r="GW5" i="4"/>
  <c r="GT5" i="4"/>
  <c r="GQ5" i="4"/>
  <c r="GN5" i="4"/>
  <c r="GK5" i="4"/>
  <c r="GL5" i="4" s="1"/>
  <c r="GH5" i="4"/>
  <c r="GI5" i="4" s="1"/>
  <c r="GE5" i="4"/>
  <c r="GF5" i="4" s="1"/>
  <c r="GB5" i="4"/>
  <c r="GC5" i="4" s="1"/>
  <c r="FY5" i="4"/>
  <c r="FZ5" i="4" s="1"/>
  <c r="FV5" i="4"/>
  <c r="FW5" i="4" s="1"/>
  <c r="FS5" i="4"/>
  <c r="FT5" i="4" s="1"/>
  <c r="FP5" i="4"/>
  <c r="FQ5" i="4" s="1"/>
  <c r="FM5" i="4"/>
  <c r="FN5" i="4" s="1"/>
  <c r="FJ5" i="4"/>
  <c r="FK5" i="4" s="1"/>
  <c r="FG5" i="4"/>
  <c r="FH5" i="4" s="1"/>
  <c r="FD5" i="4"/>
  <c r="FE5" i="4" s="1"/>
  <c r="FA5" i="4"/>
  <c r="FB5" i="4" s="1"/>
  <c r="EX5" i="4"/>
  <c r="EY5" i="4" s="1"/>
  <c r="EU5" i="4"/>
  <c r="EV5" i="4" s="1"/>
  <c r="ER5" i="4"/>
  <c r="ES5" i="4" s="1"/>
  <c r="EO5" i="4"/>
  <c r="EP5" i="4" s="1"/>
  <c r="EL5" i="4"/>
  <c r="EM5" i="4" s="1"/>
  <c r="EH5" i="4"/>
  <c r="EE5" i="4"/>
  <c r="EF5" i="4" s="1"/>
  <c r="EB5" i="4"/>
  <c r="EC5" i="4" s="1"/>
  <c r="DX5" i="4"/>
  <c r="DY5" i="4" s="1"/>
  <c r="DT5" i="4"/>
  <c r="DU5" i="4" s="1"/>
  <c r="DP5" i="4"/>
  <c r="DQ5" i="4" s="1"/>
  <c r="DL5" i="4"/>
  <c r="DM5" i="4" s="1"/>
  <c r="DH5" i="4"/>
  <c r="DI5" i="4" s="1"/>
  <c r="DD5" i="4"/>
  <c r="DE5" i="4" s="1"/>
  <c r="CZ5" i="4"/>
  <c r="DA5" i="4" s="1"/>
  <c r="CV5" i="4"/>
  <c r="CW5" i="4" s="1"/>
  <c r="CR5" i="4"/>
  <c r="CS5" i="4" s="1"/>
  <c r="CN5" i="4"/>
  <c r="CO5" i="4" s="1"/>
  <c r="CJ5" i="4"/>
  <c r="CK5" i="4" s="1"/>
  <c r="CF5" i="4"/>
  <c r="CG5" i="4" s="1"/>
  <c r="CB5" i="4"/>
  <c r="CC5" i="4" s="1"/>
  <c r="BX5" i="4"/>
  <c r="BY5" i="4" s="1"/>
  <c r="BS5" i="4"/>
  <c r="BO5" i="4"/>
  <c r="BM5" i="4"/>
  <c r="BK5" i="4"/>
  <c r="BH5" i="4"/>
  <c r="BF5" i="4"/>
  <c r="BI5" i="4" s="1"/>
  <c r="BB5" i="4"/>
  <c r="AZ5" i="4"/>
  <c r="HY5" i="4" s="1"/>
  <c r="KM4" i="4"/>
  <c r="KL4" i="4"/>
  <c r="KK4" i="4"/>
  <c r="KC4" i="4"/>
  <c r="KD4" i="4" s="1"/>
  <c r="JZ4" i="4"/>
  <c r="KA4" i="4" s="1"/>
  <c r="JW4" i="4"/>
  <c r="JX4" i="4" s="1"/>
  <c r="JT4" i="4"/>
  <c r="JU4" i="4" s="1"/>
  <c r="JQ4" i="4"/>
  <c r="JR4" i="4" s="1"/>
  <c r="JN4" i="4"/>
  <c r="JO4" i="4" s="1"/>
  <c r="JK4" i="4"/>
  <c r="JL4" i="4" s="1"/>
  <c r="JH4" i="4"/>
  <c r="JI4" i="4" s="1"/>
  <c r="JE4" i="4"/>
  <c r="JF4" i="4" s="1"/>
  <c r="JB4" i="4"/>
  <c r="JC4" i="4" s="1"/>
  <c r="IY4" i="4"/>
  <c r="IZ4" i="4" s="1"/>
  <c r="IV4" i="4"/>
  <c r="IW4" i="4" s="1"/>
  <c r="IS4" i="4"/>
  <c r="IT4" i="4" s="1"/>
  <c r="IP4" i="4"/>
  <c r="IQ4" i="4" s="1"/>
  <c r="IE4" i="4"/>
  <c r="IF4" i="4" s="1"/>
  <c r="IA4" i="4"/>
  <c r="HX4" i="4"/>
  <c r="HU4" i="4"/>
  <c r="HC4" i="4"/>
  <c r="GZ4" i="4"/>
  <c r="GW4" i="4"/>
  <c r="GT4" i="4"/>
  <c r="GQ4" i="4"/>
  <c r="GN4" i="4"/>
  <c r="GK4" i="4"/>
  <c r="GL4" i="4" s="1"/>
  <c r="GH4" i="4"/>
  <c r="GI4" i="4" s="1"/>
  <c r="GE4" i="4"/>
  <c r="GF4" i="4" s="1"/>
  <c r="GB4" i="4"/>
  <c r="GC4" i="4" s="1"/>
  <c r="FY4" i="4"/>
  <c r="FZ4" i="4" s="1"/>
  <c r="FV4" i="4"/>
  <c r="FW4" i="4" s="1"/>
  <c r="FS4" i="4"/>
  <c r="FT4" i="4" s="1"/>
  <c r="FP4" i="4"/>
  <c r="FQ4" i="4" s="1"/>
  <c r="FM4" i="4"/>
  <c r="FN4" i="4" s="1"/>
  <c r="FJ4" i="4"/>
  <c r="FK4" i="4" s="1"/>
  <c r="FG4" i="4"/>
  <c r="FH4" i="4" s="1"/>
  <c r="FD4" i="4"/>
  <c r="FE4" i="4" s="1"/>
  <c r="FA4" i="4"/>
  <c r="FB4" i="4" s="1"/>
  <c r="EX4" i="4"/>
  <c r="EY4" i="4" s="1"/>
  <c r="EU4" i="4"/>
  <c r="EV4" i="4" s="1"/>
  <c r="ER4" i="4"/>
  <c r="ES4" i="4" s="1"/>
  <c r="EO4" i="4"/>
  <c r="EP4" i="4" s="1"/>
  <c r="EL4" i="4"/>
  <c r="EM4" i="4" s="1"/>
  <c r="EH4" i="4"/>
  <c r="EE4" i="4"/>
  <c r="EF4" i="4" s="1"/>
  <c r="EB4" i="4"/>
  <c r="EC4" i="4" s="1"/>
  <c r="DX4" i="4"/>
  <c r="DY4" i="4" s="1"/>
  <c r="DT4" i="4"/>
  <c r="DU4" i="4" s="1"/>
  <c r="DP4" i="4"/>
  <c r="DQ4" i="4" s="1"/>
  <c r="DL4" i="4"/>
  <c r="DM4" i="4" s="1"/>
  <c r="DH4" i="4"/>
  <c r="DI4" i="4" s="1"/>
  <c r="DD4" i="4"/>
  <c r="DE4" i="4" s="1"/>
  <c r="CZ4" i="4"/>
  <c r="DA4" i="4" s="1"/>
  <c r="CV4" i="4"/>
  <c r="CW4" i="4" s="1"/>
  <c r="CR4" i="4"/>
  <c r="CS4" i="4" s="1"/>
  <c r="CN4" i="4"/>
  <c r="CO4" i="4" s="1"/>
  <c r="CJ4" i="4"/>
  <c r="CK4" i="4" s="1"/>
  <c r="CF4" i="4"/>
  <c r="CG4" i="4" s="1"/>
  <c r="CB4" i="4"/>
  <c r="CC4" i="4" s="1"/>
  <c r="BX4" i="4"/>
  <c r="BY4" i="4" s="1"/>
  <c r="BS4" i="4"/>
  <c r="BO4" i="4"/>
  <c r="BM4" i="4"/>
  <c r="BK4" i="4"/>
  <c r="BH4" i="4"/>
  <c r="BF4" i="4"/>
  <c r="BI4" i="4" s="1"/>
  <c r="BB4" i="4"/>
  <c r="AZ4" i="4"/>
  <c r="HY4" i="4" s="1"/>
  <c r="KM3" i="4"/>
  <c r="KL3" i="4"/>
  <c r="KK3" i="4"/>
  <c r="KC3" i="4"/>
  <c r="KD3" i="4" s="1"/>
  <c r="JZ3" i="4"/>
  <c r="KA3" i="4" s="1"/>
  <c r="JW3" i="4"/>
  <c r="JX3" i="4" s="1"/>
  <c r="JT3" i="4"/>
  <c r="JU3" i="4" s="1"/>
  <c r="JQ3" i="4"/>
  <c r="JR3" i="4" s="1"/>
  <c r="JN3" i="4"/>
  <c r="JO3" i="4" s="1"/>
  <c r="JK3" i="4"/>
  <c r="JL3" i="4" s="1"/>
  <c r="JH3" i="4"/>
  <c r="JI3" i="4" s="1"/>
  <c r="JE3" i="4"/>
  <c r="JF3" i="4" s="1"/>
  <c r="JB3" i="4"/>
  <c r="JC3" i="4" s="1"/>
  <c r="IY3" i="4"/>
  <c r="IZ3" i="4" s="1"/>
  <c r="IV3" i="4"/>
  <c r="IW3" i="4" s="1"/>
  <c r="IS3" i="4"/>
  <c r="IT3" i="4" s="1"/>
  <c r="IP3" i="4"/>
  <c r="IQ3" i="4" s="1"/>
  <c r="IE3" i="4"/>
  <c r="IF3" i="4" s="1"/>
  <c r="IA3" i="4"/>
  <c r="HX3" i="4"/>
  <c r="HU3" i="4"/>
  <c r="HC3" i="4"/>
  <c r="GZ3" i="4"/>
  <c r="GW3" i="4"/>
  <c r="GT3" i="4"/>
  <c r="GQ3" i="4"/>
  <c r="GN3" i="4"/>
  <c r="GK3" i="4"/>
  <c r="GL3" i="4" s="1"/>
  <c r="GH3" i="4"/>
  <c r="GI3" i="4" s="1"/>
  <c r="GE3" i="4"/>
  <c r="GF3" i="4" s="1"/>
  <c r="GB3" i="4"/>
  <c r="GC3" i="4" s="1"/>
  <c r="FY3" i="4"/>
  <c r="FZ3" i="4" s="1"/>
  <c r="FV3" i="4"/>
  <c r="FW3" i="4" s="1"/>
  <c r="FS3" i="4"/>
  <c r="FT3" i="4" s="1"/>
  <c r="FP3" i="4"/>
  <c r="FQ3" i="4" s="1"/>
  <c r="FM3" i="4"/>
  <c r="FN3" i="4" s="1"/>
  <c r="FJ3" i="4"/>
  <c r="FK3" i="4" s="1"/>
  <c r="FG3" i="4"/>
  <c r="FH3" i="4" s="1"/>
  <c r="FD3" i="4"/>
  <c r="FE3" i="4" s="1"/>
  <c r="FA3" i="4"/>
  <c r="FB3" i="4" s="1"/>
  <c r="EX3" i="4"/>
  <c r="EY3" i="4" s="1"/>
  <c r="EU3" i="4"/>
  <c r="EV3" i="4" s="1"/>
  <c r="ER3" i="4"/>
  <c r="ES3" i="4" s="1"/>
  <c r="EO3" i="4"/>
  <c r="EP3" i="4" s="1"/>
  <c r="EL3" i="4"/>
  <c r="EM3" i="4" s="1"/>
  <c r="EH3" i="4"/>
  <c r="EE3" i="4"/>
  <c r="EF3" i="4" s="1"/>
  <c r="EB3" i="4"/>
  <c r="EC3" i="4" s="1"/>
  <c r="DX3" i="4"/>
  <c r="DY3" i="4" s="1"/>
  <c r="DT3" i="4"/>
  <c r="DU3" i="4" s="1"/>
  <c r="DP3" i="4"/>
  <c r="DQ3" i="4" s="1"/>
  <c r="DL3" i="4"/>
  <c r="DM3" i="4" s="1"/>
  <c r="DH3" i="4"/>
  <c r="DI3" i="4" s="1"/>
  <c r="DD3" i="4"/>
  <c r="DE3" i="4" s="1"/>
  <c r="CZ3" i="4"/>
  <c r="DA3" i="4" s="1"/>
  <c r="CV3" i="4"/>
  <c r="CW3" i="4" s="1"/>
  <c r="CR3" i="4"/>
  <c r="CS3" i="4" s="1"/>
  <c r="CN3" i="4"/>
  <c r="CO3" i="4" s="1"/>
  <c r="CJ3" i="4"/>
  <c r="CK3" i="4" s="1"/>
  <c r="CF3" i="4"/>
  <c r="CG3" i="4" s="1"/>
  <c r="CB3" i="4"/>
  <c r="CC3" i="4" s="1"/>
  <c r="BX3" i="4"/>
  <c r="BY3" i="4" s="1"/>
  <c r="BS3" i="4"/>
  <c r="BO3" i="4"/>
  <c r="BM3" i="4"/>
  <c r="BK3" i="4"/>
  <c r="BH3" i="4"/>
  <c r="BF3" i="4"/>
  <c r="BI3" i="4" s="1"/>
  <c r="BB3" i="4"/>
  <c r="AZ3" i="4"/>
  <c r="HY3" i="4" s="1"/>
  <c r="KB1" i="4"/>
  <c r="JY1" i="4"/>
  <c r="JV1" i="4"/>
  <c r="JS1" i="4"/>
  <c r="JP1" i="4"/>
  <c r="JM1" i="4"/>
  <c r="JJ1" i="4"/>
  <c r="JG1" i="4"/>
  <c r="JD1" i="4"/>
  <c r="JA1" i="4"/>
  <c r="IX1" i="4"/>
  <c r="IU1" i="4"/>
  <c r="IR1" i="4"/>
  <c r="IO1" i="4"/>
  <c r="HT1" i="4"/>
  <c r="HQ1" i="4"/>
  <c r="HN1" i="4"/>
  <c r="HK1" i="4"/>
  <c r="HH1" i="4"/>
  <c r="HE1" i="4"/>
  <c r="HB1" i="4"/>
  <c r="GY1" i="4"/>
  <c r="GV1" i="4"/>
  <c r="GS1" i="4"/>
  <c r="GP1" i="4"/>
  <c r="GM1" i="4"/>
  <c r="GJ1" i="4"/>
  <c r="GG1" i="4"/>
  <c r="GD1" i="4"/>
  <c r="GA1" i="4"/>
  <c r="FX1" i="4"/>
  <c r="FU1" i="4"/>
  <c r="FR1" i="4"/>
  <c r="FO1" i="4"/>
  <c r="FL1" i="4"/>
  <c r="FI1" i="4"/>
  <c r="FF1" i="4"/>
  <c r="FC1" i="4"/>
  <c r="EZ1" i="4"/>
  <c r="EW1" i="4"/>
  <c r="ET1" i="4"/>
  <c r="EQ1" i="4"/>
  <c r="EN1" i="4"/>
  <c r="EG1" i="4"/>
  <c r="ED1" i="4"/>
  <c r="DV1" i="4"/>
  <c r="DN1" i="4"/>
  <c r="DF1" i="4"/>
  <c r="CX1" i="4"/>
  <c r="CT1" i="4"/>
  <c r="CP1" i="4"/>
  <c r="CL1" i="4"/>
  <c r="CH1" i="4"/>
  <c r="CD1" i="4"/>
  <c r="BZ1" i="4"/>
  <c r="BV1" i="4"/>
  <c r="BE1" i="4"/>
  <c r="DD15" i="4" l="1"/>
  <c r="DE15" i="4" s="1"/>
  <c r="DD18" i="4"/>
  <c r="DE18" i="4" s="1"/>
  <c r="DD16" i="4"/>
  <c r="DE16" i="4" s="1"/>
  <c r="DD19" i="4"/>
  <c r="DE19" i="4" s="1"/>
  <c r="DD17" i="4"/>
  <c r="DE17" i="4" s="1"/>
  <c r="DT16" i="4"/>
  <c r="DU16" i="4" s="1"/>
  <c r="DT15" i="4"/>
  <c r="DU15" i="4" s="1"/>
  <c r="DT17" i="4"/>
  <c r="DU17" i="4" s="1"/>
  <c r="DT18" i="4"/>
  <c r="DU18" i="4" s="1"/>
  <c r="DL15" i="4"/>
  <c r="DM15" i="4" s="1"/>
  <c r="EB15" i="4"/>
  <c r="EC15" i="4" s="1"/>
  <c r="DL16" i="4"/>
  <c r="DM16" i="4" s="1"/>
  <c r="EB16" i="4"/>
  <c r="EC16" i="4" s="1"/>
  <c r="DL17" i="4"/>
  <c r="DM17" i="4" s="1"/>
  <c r="EB17" i="4"/>
  <c r="EC17" i="4" s="1"/>
  <c r="DL18" i="4"/>
  <c r="DM18" i="4" s="1"/>
  <c r="EB18" i="4"/>
  <c r="EC18" i="4" s="1"/>
  <c r="DL19" i="4"/>
  <c r="DM19" i="4" s="1"/>
  <c r="EB19" i="4"/>
  <c r="EC19" i="4" s="1"/>
</calcChain>
</file>

<file path=xl/comments1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</commentList>
</comments>
</file>

<file path=xl/comments2.xml><?xml version="1.0" encoding="utf-8"?>
<comments xmlns="http://schemas.openxmlformats.org/spreadsheetml/2006/main">
  <authors>
    <author>profile</author>
  </authors>
  <commentList>
    <comment ref="AN2" authorId="0" shapeId="0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B125" authorId="0" shapeId="0">
      <text/>
    </comment>
    <comment ref="C125" authorId="1" shapeId="0">
      <text/>
    </comment>
    <comment ref="D125" authorId="1" shapeId="0">
      <text/>
    </comment>
    <comment ref="E125" authorId="1" shapeId="0">
      <text/>
    </comment>
    <comment ref="F125" authorId="1" shapeId="0">
      <text/>
    </comment>
    <comment ref="G125" authorId="1" shapeId="0">
      <text/>
    </comment>
    <comment ref="H125" authorId="1" shapeId="0">
      <text/>
    </comment>
    <comment ref="I125" authorId="1" shapeId="0">
      <text/>
    </comment>
    <comment ref="J125" authorId="1" shapeId="0">
      <text/>
    </comment>
    <comment ref="K125" authorId="1" shapeId="0">
      <text/>
    </comment>
    <comment ref="L125" authorId="1" shapeId="0">
      <text/>
    </comment>
    <comment ref="M125" authorId="1" shapeId="0">
      <text/>
    </comment>
    <comment ref="N125" authorId="1" shapeId="0">
      <text/>
    </comment>
    <comment ref="O125" authorId="1" shapeId="0">
      <text/>
    </comment>
    <comment ref="Q125" authorId="1" shapeId="0">
      <text/>
    </comment>
    <comment ref="R125" authorId="1" shapeId="0">
      <text/>
    </comment>
    <comment ref="S125" authorId="1" shapeId="0">
      <text/>
    </comment>
    <comment ref="T125" authorId="1" shapeId="0">
      <text/>
    </comment>
    <comment ref="U125" authorId="1" shapeId="0">
      <text/>
    </comment>
    <comment ref="V125" authorId="1" shapeId="0">
      <text/>
    </comment>
    <comment ref="W125" authorId="1" shapeId="0">
      <text/>
    </comment>
    <comment ref="X125" authorId="1" shapeId="0">
      <text/>
    </comment>
    <comment ref="Y125" authorId="1" shapeId="0">
      <text/>
    </comment>
    <comment ref="Z125" authorId="1" shapeId="0">
      <text/>
    </comment>
    <comment ref="AA125" authorId="1" shapeId="0">
      <text/>
    </comment>
    <comment ref="AB125" authorId="1" shapeId="0">
      <text/>
    </comment>
    <comment ref="AC125" authorId="1" shapeId="0">
      <text/>
    </comment>
    <comment ref="AD125" authorId="1" shapeId="0">
      <text/>
    </comment>
    <comment ref="AE125" authorId="1" shapeId="0">
      <text/>
    </comment>
    <comment ref="AF125" authorId="1" shapeId="0">
      <text/>
    </comment>
    <comment ref="AG125" authorId="1" shapeId="0">
      <text/>
    </comment>
    <comment ref="AH125" authorId="1" shapeId="0">
      <text/>
    </comment>
    <comment ref="AI125" authorId="1" shapeId="0">
      <text/>
    </comment>
    <comment ref="AJ125" authorId="1" shapeId="0">
      <text/>
    </comment>
    <comment ref="AK125" authorId="1" shapeId="0">
      <text/>
    </comment>
    <comment ref="AL125" authorId="1" shapeId="0">
      <text/>
    </comment>
    <comment ref="AM125" authorId="1" shapeId="0">
      <text/>
    </comment>
    <comment ref="AN125" authorId="1" shapeId="0">
      <text/>
    </comment>
    <comment ref="AO125" authorId="1" shapeId="0">
      <text/>
    </comment>
    <comment ref="AP125" authorId="1" shapeId="0">
      <text/>
    </comment>
    <comment ref="AQ125" authorId="1" shapeId="0">
      <text/>
    </comment>
    <comment ref="AR125" authorId="1" shapeId="0">
      <text/>
    </comment>
    <comment ref="AS125" authorId="1" shapeId="0">
      <text/>
    </comment>
    <comment ref="AT125" authorId="1" shapeId="0">
      <text/>
    </comment>
    <comment ref="AU125" authorId="1" shapeId="0">
      <text/>
    </comment>
    <comment ref="AV125" authorId="1" shapeId="0">
      <text/>
    </comment>
    <comment ref="B126" authorId="0" shapeId="0">
      <text/>
    </comment>
    <comment ref="C126" authorId="1" shapeId="0">
      <text/>
    </comment>
    <comment ref="D126" authorId="1" shapeId="0">
      <text/>
    </comment>
    <comment ref="E126" authorId="1" shapeId="0">
      <text/>
    </comment>
    <comment ref="F126" authorId="1" shapeId="0">
      <text/>
    </comment>
    <comment ref="G126" authorId="1" shapeId="0">
      <text/>
    </comment>
    <comment ref="H126" authorId="1" shapeId="0">
      <text/>
    </comment>
    <comment ref="I126" authorId="1" shapeId="0">
      <text/>
    </comment>
    <comment ref="J126" authorId="1" shapeId="0">
      <text/>
    </comment>
    <comment ref="K126" authorId="1" shapeId="0">
      <text/>
    </comment>
    <comment ref="L126" authorId="1" shapeId="0">
      <text/>
    </comment>
    <comment ref="M126" authorId="1" shapeId="0">
      <text/>
    </comment>
    <comment ref="N126" authorId="1" shapeId="0">
      <text/>
    </comment>
    <comment ref="O126" authorId="1" shapeId="0">
      <text/>
    </comment>
    <comment ref="Q126" authorId="1" shapeId="0">
      <text/>
    </comment>
    <comment ref="R126" authorId="1" shapeId="0">
      <text/>
    </comment>
    <comment ref="S126" authorId="1" shapeId="0">
      <text/>
    </comment>
    <comment ref="T126" authorId="1" shapeId="0">
      <text/>
    </comment>
    <comment ref="U126" authorId="1" shapeId="0">
      <text/>
    </comment>
    <comment ref="V126" authorId="1" shapeId="0">
      <text/>
    </comment>
    <comment ref="W126" authorId="1" shapeId="0">
      <text/>
    </comment>
    <comment ref="X126" authorId="1" shapeId="0">
      <text/>
    </comment>
    <comment ref="Y126" authorId="1" shapeId="0">
      <text/>
    </comment>
    <comment ref="Z126" authorId="1" shapeId="0">
      <text/>
    </comment>
    <comment ref="AA126" authorId="1" shapeId="0">
      <text/>
    </comment>
    <comment ref="AB126" authorId="1" shapeId="0">
      <text/>
    </comment>
    <comment ref="AC126" authorId="1" shapeId="0">
      <text/>
    </comment>
    <comment ref="AD126" authorId="1" shapeId="0">
      <text/>
    </comment>
    <comment ref="AE126" authorId="1" shapeId="0">
      <text/>
    </comment>
    <comment ref="AF126" authorId="1" shapeId="0">
      <text/>
    </comment>
    <comment ref="AG126" authorId="1" shapeId="0">
      <text/>
    </comment>
    <comment ref="AH126" authorId="1" shapeId="0">
      <text/>
    </comment>
    <comment ref="AI126" authorId="1" shapeId="0">
      <text/>
    </comment>
    <comment ref="AJ126" authorId="1" shapeId="0">
      <text/>
    </comment>
    <comment ref="AK126" authorId="1" shapeId="0">
      <text/>
    </comment>
    <comment ref="AL126" authorId="1" shapeId="0">
      <text/>
    </comment>
    <comment ref="AM126" authorId="1" shapeId="0">
      <text/>
    </comment>
    <comment ref="AN126" authorId="1" shapeId="0">
      <text/>
    </comment>
    <comment ref="AO126" authorId="1" shapeId="0">
      <text/>
    </comment>
    <comment ref="AP126" authorId="1" shapeId="0">
      <text/>
    </comment>
    <comment ref="AQ126" authorId="1" shapeId="0">
      <text/>
    </comment>
    <comment ref="AR126" authorId="1" shapeId="0">
      <text/>
    </comment>
    <comment ref="AS126" authorId="1" shapeId="0">
      <text/>
    </comment>
    <comment ref="AT126" authorId="1" shapeId="0">
      <text/>
    </comment>
    <comment ref="AU126" authorId="1" shapeId="0">
      <text/>
    </comment>
    <comment ref="AV126" authorId="1" shapeId="0">
      <text/>
    </comment>
    <comment ref="B127" authorId="0" shapeId="0">
      <text/>
    </comment>
    <comment ref="C127" authorId="1" shapeId="0">
      <text/>
    </comment>
    <comment ref="D127" authorId="1" shapeId="0">
      <text/>
    </comment>
    <comment ref="E127" authorId="1" shapeId="0">
      <text/>
    </comment>
    <comment ref="F127" authorId="1" shapeId="0">
      <text/>
    </comment>
    <comment ref="G127" authorId="1" shapeId="0">
      <text/>
    </comment>
    <comment ref="H127" authorId="1" shapeId="0">
      <text/>
    </comment>
    <comment ref="I127" authorId="1" shapeId="0">
      <text/>
    </comment>
    <comment ref="J127" authorId="1" shapeId="0">
      <text/>
    </comment>
    <comment ref="K127" authorId="1" shapeId="0">
      <text/>
    </comment>
    <comment ref="L127" authorId="1" shapeId="0">
      <text/>
    </comment>
    <comment ref="M127" authorId="1" shapeId="0">
      <text/>
    </comment>
    <comment ref="N127" authorId="1" shapeId="0">
      <text/>
    </comment>
    <comment ref="O127" authorId="1" shapeId="0">
      <text/>
    </comment>
    <comment ref="Q127" authorId="1" shapeId="0">
      <text/>
    </comment>
    <comment ref="R127" authorId="1" shapeId="0">
      <text/>
    </comment>
    <comment ref="S127" authorId="1" shapeId="0">
      <text/>
    </comment>
    <comment ref="T127" authorId="1" shapeId="0">
      <text/>
    </comment>
    <comment ref="U127" authorId="1" shapeId="0">
      <text/>
    </comment>
    <comment ref="V127" authorId="1" shapeId="0">
      <text/>
    </comment>
    <comment ref="W127" authorId="1" shapeId="0">
      <text/>
    </comment>
    <comment ref="X127" authorId="1" shapeId="0">
      <text/>
    </comment>
    <comment ref="Y127" authorId="1" shapeId="0">
      <text/>
    </comment>
    <comment ref="Z127" authorId="1" shapeId="0">
      <text/>
    </comment>
    <comment ref="AA127" authorId="1" shapeId="0">
      <text/>
    </comment>
    <comment ref="AB127" authorId="1" shapeId="0">
      <text/>
    </comment>
    <comment ref="AC127" authorId="1" shapeId="0">
      <text/>
    </comment>
    <comment ref="AD127" authorId="1" shapeId="0">
      <text/>
    </comment>
    <comment ref="AE127" authorId="1" shapeId="0">
      <text/>
    </comment>
    <comment ref="AF127" authorId="1" shapeId="0">
      <text/>
    </comment>
    <comment ref="AG127" authorId="1" shapeId="0">
      <text/>
    </comment>
    <comment ref="AH127" authorId="1" shapeId="0">
      <text/>
    </comment>
    <comment ref="AI127" authorId="1" shapeId="0">
      <text/>
    </comment>
    <comment ref="AJ127" authorId="1" shapeId="0">
      <text/>
    </comment>
    <comment ref="AK127" authorId="1" shapeId="0">
      <text/>
    </comment>
    <comment ref="AL127" authorId="1" shapeId="0">
      <text/>
    </comment>
    <comment ref="AM127" authorId="1" shapeId="0">
      <text/>
    </comment>
    <comment ref="AN127" authorId="1" shapeId="0">
      <text/>
    </comment>
    <comment ref="AO127" authorId="1" shapeId="0">
      <text/>
    </comment>
    <comment ref="AP127" authorId="1" shapeId="0">
      <text/>
    </comment>
    <comment ref="AQ127" authorId="1" shapeId="0">
      <text/>
    </comment>
    <comment ref="AR127" authorId="1" shapeId="0">
      <text/>
    </comment>
    <comment ref="AS127" authorId="1" shapeId="0">
      <text/>
    </comment>
    <comment ref="AT127" authorId="1" shapeId="0">
      <text/>
    </comment>
    <comment ref="AU127" authorId="1" shapeId="0">
      <text/>
    </comment>
    <comment ref="AV127" authorId="1" shapeId="0">
      <text/>
    </comment>
    <comment ref="B187" authorId="0" shapeId="0">
      <text/>
    </comment>
    <comment ref="C187" authorId="1" shapeId="0">
      <text/>
    </comment>
    <comment ref="D187" authorId="1" shapeId="0">
      <text/>
    </comment>
    <comment ref="E187" authorId="1" shapeId="0">
      <text/>
    </comment>
    <comment ref="F187" authorId="1" shapeId="0">
      <text/>
    </comment>
    <comment ref="G187" authorId="1" shapeId="0">
      <text/>
    </comment>
    <comment ref="H187" authorId="1" shapeId="0">
      <text/>
    </comment>
    <comment ref="I187" authorId="1" shapeId="0">
      <text/>
    </comment>
    <comment ref="J187" authorId="1" shapeId="0">
      <text/>
    </comment>
    <comment ref="K187" authorId="1" shapeId="0">
      <text/>
    </comment>
    <comment ref="L187" authorId="1" shapeId="0">
      <text/>
    </comment>
    <comment ref="M187" authorId="1" shapeId="0">
      <text/>
    </comment>
    <comment ref="N187" authorId="1" shapeId="0">
      <text/>
    </comment>
    <comment ref="O187" authorId="1" shapeId="0">
      <text/>
    </comment>
    <comment ref="Q187" authorId="1" shapeId="0">
      <text/>
    </comment>
    <comment ref="R187" authorId="1" shapeId="0">
      <text/>
    </comment>
    <comment ref="S187" authorId="1" shapeId="0">
      <text/>
    </comment>
    <comment ref="T187" authorId="1" shapeId="0">
      <text/>
    </comment>
    <comment ref="U187" authorId="1" shapeId="0">
      <text/>
    </comment>
    <comment ref="V187" authorId="1" shapeId="0">
      <text/>
    </comment>
    <comment ref="W187" authorId="1" shapeId="0">
      <text/>
    </comment>
    <comment ref="X187" authorId="1" shapeId="0">
      <text/>
    </comment>
    <comment ref="Y187" authorId="1" shapeId="0">
      <text/>
    </comment>
    <comment ref="Z187" authorId="1" shapeId="0">
      <text/>
    </comment>
    <comment ref="AA187" authorId="1" shapeId="0">
      <text/>
    </comment>
    <comment ref="AB187" authorId="1" shapeId="0">
      <text/>
    </comment>
    <comment ref="AC187" authorId="1" shapeId="0">
      <text/>
    </comment>
    <comment ref="AD187" authorId="1" shapeId="0">
      <text/>
    </comment>
    <comment ref="AE187" authorId="1" shapeId="0">
      <text/>
    </comment>
    <comment ref="AF187" authorId="1" shapeId="0">
      <text/>
    </comment>
    <comment ref="AG187" authorId="1" shapeId="0">
      <text/>
    </comment>
    <comment ref="AH187" authorId="1" shapeId="0">
      <text/>
    </comment>
    <comment ref="AI187" authorId="1" shapeId="0">
      <text/>
    </comment>
    <comment ref="AJ187" authorId="1" shapeId="0">
      <text/>
    </comment>
    <comment ref="AK187" authorId="1" shapeId="0">
      <text/>
    </comment>
    <comment ref="AL187" authorId="1" shapeId="0">
      <text/>
    </comment>
    <comment ref="AM187" authorId="1" shapeId="0">
      <text/>
    </comment>
    <comment ref="AN187" authorId="1" shapeId="0">
      <text/>
    </comment>
    <comment ref="AO187" authorId="1" shapeId="0">
      <text/>
    </comment>
    <comment ref="AP187" authorId="1" shapeId="0">
      <text/>
    </comment>
    <comment ref="AQ187" authorId="1" shapeId="0">
      <text/>
    </comment>
    <comment ref="AR187" authorId="1" shapeId="0">
      <text/>
    </comment>
    <comment ref="AS187" authorId="1" shapeId="0">
      <text/>
    </comment>
    <comment ref="AT187" authorId="1" shapeId="0">
      <text/>
    </comment>
    <comment ref="AU187" authorId="1" shapeId="0">
      <text/>
    </comment>
    <comment ref="AV187" authorId="1" shapeId="0">
      <text/>
    </comment>
  </commentList>
</comments>
</file>

<file path=xl/sharedStrings.xml><?xml version="1.0" encoding="utf-8"?>
<sst xmlns="http://schemas.openxmlformats.org/spreadsheetml/2006/main" count="1939" uniqueCount="378">
  <si>
    <t>Label</t>
  </si>
  <si>
    <t>Return</t>
  </si>
  <si>
    <t>Property</t>
  </si>
  <si>
    <t>"oi total fixo + banda larga + tv 1"</t>
  </si>
  <si>
    <t>OT_NAT17_FID_RES_TV1_BASICO_START_BL2</t>
  </si>
  <si>
    <t>OT_NAT17_FID_RES_TV2_INTERM_MIX_BL2</t>
  </si>
  <si>
    <t>OT_NAT17_FID_RES_TV3_INTERM_MIXFILMES_BL2</t>
  </si>
  <si>
    <t>OT_NAT17_FID_RES_TV3_AVAN_TOT-HBO_BL2</t>
  </si>
  <si>
    <t>OT_NAT17_FID_RES_TV3_AVAN_TOT-TELEC_BL2</t>
  </si>
  <si>
    <t>OT_NAT17_FID_RES_TV1_BASICO_START_BL5</t>
  </si>
  <si>
    <t>OT_NAT17_FID_RES_TV2_INTERM_MIX_BL5</t>
  </si>
  <si>
    <t>OT_NAT17_FID_RES_TV3_INTERM_MIXFILMES_BL5</t>
  </si>
  <si>
    <t>OT_NAT17_FID_RES_TV3_AVAN_TOT-HBO_BL5</t>
  </si>
  <si>
    <t>OT_NAT17_FID_RES_TV3_AVAN_TOT-TELEC_BL5</t>
  </si>
  <si>
    <t>OT_NAT17_FID_RES_TV2_INTERM_MIX_VDSL</t>
  </si>
  <si>
    <t>OT_NAT17_FID_RES_TV3_INTERM_MIXFILMES_VDSL</t>
  </si>
  <si>
    <t>OT_NAT17_FID_RES_TV3_AVAN_TOT-HBO_VDSL</t>
  </si>
  <si>
    <t>OT_NAT17_FID_RES_TV3_AVAN_TOT-TELEC_VDSL</t>
  </si>
  <si>
    <t>Portfolio</t>
  </si>
  <si>
    <t>Estratégia</t>
  </si>
  <si>
    <t>Elegibilidade</t>
  </si>
  <si>
    <t>Oi Vende</t>
  </si>
  <si>
    <t>Canais de Venda - ADM de Vendas</t>
  </si>
  <si>
    <t>Demais Canais</t>
  </si>
  <si>
    <t>Campanha</t>
  </si>
  <si>
    <t>Data</t>
  </si>
  <si>
    <t>Configurações da Campanha</t>
  </si>
  <si>
    <t>Regras de Campanha</t>
  </si>
  <si>
    <t>Configurações da Oferta</t>
  </si>
  <si>
    <t>Taxa de Habilitação
Fixo</t>
  </si>
  <si>
    <t>Taxa de Habilitação
Banda Larga</t>
  </si>
  <si>
    <t>Preço Móvel</t>
  </si>
  <si>
    <t>Preço Dependente</t>
  </si>
  <si>
    <t>Dados para Celular</t>
  </si>
  <si>
    <t>Aparelhos</t>
  </si>
  <si>
    <t>Multa</t>
  </si>
  <si>
    <t>Benefício de Minutos</t>
  </si>
  <si>
    <t>Benefício de SMS</t>
  </si>
  <si>
    <t>Chip Alone
(PCS-SBL11111)</t>
  </si>
  <si>
    <t>TOTAIS</t>
  </si>
  <si>
    <t>Campos de uso livre</t>
  </si>
  <si>
    <t>Portfolio
(linguagem comercial)</t>
  </si>
  <si>
    <t>Estratégia 
(aquisição, retenção ou Oi Pontos)</t>
  </si>
  <si>
    <t>Cliente Elegivel</t>
  </si>
  <si>
    <t>Visível no Oi Vende?</t>
  </si>
  <si>
    <t>Televendas Receptivo</t>
  </si>
  <si>
    <t>Televendas Ativo</t>
  </si>
  <si>
    <t>Tele Agentes</t>
  </si>
  <si>
    <t>Tele Agentes Móvel</t>
  </si>
  <si>
    <t>SMP E-Commerce (WEB)</t>
  </si>
  <si>
    <t>PAP</t>
  </si>
  <si>
    <t>Lojas OI</t>
  </si>
  <si>
    <t>Franquia Operacional</t>
  </si>
  <si>
    <t>Franquia OI Atende</t>
  </si>
  <si>
    <t>Franquia</t>
  </si>
  <si>
    <t>Agente Exclusivo</t>
  </si>
  <si>
    <t>Almaviva</t>
  </si>
  <si>
    <t>BSIM R1</t>
  </si>
  <si>
    <t>BSIM R2</t>
  </si>
  <si>
    <t>Atendimento</t>
  </si>
  <si>
    <t>BO Atendimento</t>
  </si>
  <si>
    <t>Ouvidoria</t>
  </si>
  <si>
    <t>Auditoria de Vendas</t>
  </si>
  <si>
    <t>BO Contratos</t>
  </si>
  <si>
    <t>BO Hotline</t>
  </si>
  <si>
    <t>Hotline</t>
  </si>
  <si>
    <t>JEC</t>
  </si>
  <si>
    <t>Procom</t>
  </si>
  <si>
    <t>Blindagem</t>
  </si>
  <si>
    <t>Rentabilização</t>
  </si>
  <si>
    <t>Retenção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</si>
  <si>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</si>
  <si>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</si>
  <si>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</si>
  <si>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</si>
  <si>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</si>
  <si>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</si>
  <si>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</si>
  <si>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</si>
  <si>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</si>
  <si>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</si>
  <si>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</si>
  <si>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</si>
  <si>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</si>
  <si>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</si>
  <si>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</si>
  <si>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</si>
  <si>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</si>
  <si>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</si>
  <si>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THAB</t>
  </si>
  <si>
    <t>Código</t>
  </si>
  <si>
    <t>Qtde
Parcelas</t>
  </si>
  <si>
    <t>Valor Total</t>
  </si>
  <si>
    <t xml:space="preserve">
Comercial
Indeterminado</t>
  </si>
  <si>
    <t xml:space="preserve">
% Desc Ajust
Indeterminado</t>
  </si>
  <si>
    <t xml:space="preserve">
Comercial
Indeterminado
DACC</t>
  </si>
  <si>
    <t xml:space="preserve">
% Desc Ajust
Indeterminado
DACC</t>
  </si>
  <si>
    <r>
      <t xml:space="preserve">
Comercial
</t>
    </r>
    <r>
      <rPr>
        <b/>
        <sz val="8"/>
        <color rgb="FFC00000"/>
        <rFont val="Calibri"/>
        <family val="2"/>
        <scheme val="minor"/>
      </rPr>
      <t>Determinado</t>
    </r>
  </si>
  <si>
    <r>
      <t xml:space="preserve">
% Desc Ajust
</t>
    </r>
    <r>
      <rPr>
        <b/>
        <sz val="8"/>
        <color rgb="FFC00000"/>
        <rFont val="Calibri"/>
        <family val="2"/>
        <scheme val="minor"/>
      </rPr>
      <t>Determinado</t>
    </r>
  </si>
  <si>
    <r>
      <t xml:space="preserve">
Comercial</t>
    </r>
    <r>
      <rPr>
        <b/>
        <sz val="8"/>
        <color rgb="FFC00000"/>
        <rFont val="Calibri"/>
        <family val="2"/>
        <scheme val="minor"/>
      </rPr>
      <t xml:space="preserve">
Determinado</t>
    </r>
    <r>
      <rPr>
        <b/>
        <sz val="8"/>
        <color theme="1"/>
        <rFont val="Calibri"/>
        <family val="2"/>
        <scheme val="minor"/>
      </rPr>
      <t xml:space="preserve">
DACC</t>
    </r>
  </si>
  <si>
    <r>
      <t xml:space="preserve">
% Desc Ajust</t>
    </r>
    <r>
      <rPr>
        <b/>
        <sz val="8"/>
        <color rgb="FFC00000"/>
        <rFont val="Calibri"/>
        <family val="2"/>
        <scheme val="minor"/>
      </rPr>
      <t xml:space="preserve">
Determinado</t>
    </r>
    <r>
      <rPr>
        <b/>
        <sz val="8"/>
        <color theme="1"/>
        <rFont val="Calibri"/>
        <family val="2"/>
        <scheme val="minor"/>
      </rPr>
      <t xml:space="preserve">
DACC</t>
    </r>
  </si>
  <si>
    <t xml:space="preserve">
Duração
Meses</t>
  </si>
  <si>
    <t xml:space="preserve">
Conteúdo
Oi Play</t>
  </si>
  <si>
    <t>Comercial/
Tratamento</t>
  </si>
  <si>
    <t>Comercial</t>
  </si>
  <si>
    <t>% Desc</t>
  </si>
  <si>
    <t xml:space="preserve">
Código
Ind</t>
  </si>
  <si>
    <t>Duração
Meses</t>
  </si>
  <si>
    <t xml:space="preserve">
Código
Det</t>
  </si>
  <si>
    <t>% Desc
(ind)</t>
  </si>
  <si>
    <t>Gratuidade?</t>
  </si>
  <si>
    <t xml:space="preserve">
1o Ponto Adicional
Gratuito?</t>
  </si>
  <si>
    <t>Arbor</t>
  </si>
  <si>
    <t>Assinatura Titular</t>
  </si>
  <si>
    <t>Desconto Ass. Titular</t>
  </si>
  <si>
    <t>Nome Benefício</t>
  </si>
  <si>
    <t>Comercial (Franquia+Ass)</t>
  </si>
  <si>
    <t>Assinatura</t>
  </si>
  <si>
    <t>Nome</t>
  </si>
  <si>
    <t>Intragrupo</t>
  </si>
  <si>
    <t xml:space="preserve">
Regra da Oferta
Dados para Celular</t>
  </si>
  <si>
    <t>Pincipal</t>
  </si>
  <si>
    <t xml:space="preserve">
% Desc
(ind)</t>
  </si>
  <si>
    <t>Aparelhos?
Sim / Não</t>
  </si>
  <si>
    <t>Localização dos códigos dos aparelhos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</si>
  <si>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</si>
  <si>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</si>
  <si>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</si>
  <si>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</si>
  <si>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</si>
  <si>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</si>
  <si>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>Elemento de Multa</t>
  </si>
  <si>
    <t>Tipo do benefício</t>
  </si>
  <si>
    <t>Nome do benefício</t>
  </si>
  <si>
    <t>Elemento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</si>
  <si>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START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</si>
  <si>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</si>
  <si>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</si>
  <si>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</si>
  <si>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</si>
  <si>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</si>
  <si>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HBO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</si>
  <si>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</si>
  <si>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MIX Cinema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</si>
  <si>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</si>
  <si>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</si>
  <si>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</si>
  <si>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>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</si>
  <si>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</si>
  <si>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HBO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</si>
  <si>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Telecine
</t>
    </r>
    <r>
      <rPr>
        <b/>
        <sz val="8"/>
        <color rgb="FF00B0F0"/>
        <rFont val="Calibri"/>
        <family val="2"/>
        <scheme val="minor"/>
      </rPr>
      <t xml:space="preserve">DVR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</si>
  <si>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r>
      <rPr>
        <b/>
        <sz val="8"/>
        <rFont val="Calibri"/>
        <family val="2"/>
        <scheme val="minor"/>
      </rPr>
      <t xml:space="preserve">
[Fixo]
[BL 10Mbps]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color rgb="FFC00000"/>
        <rFont val="Calibri"/>
        <family val="2"/>
        <scheme val="minor"/>
      </rPr>
      <t xml:space="preserve">Total Cinema
</t>
    </r>
    <r>
      <rPr>
        <b/>
        <sz val="8"/>
        <color rgb="FF00B0F0"/>
        <rFont val="Calibri"/>
        <family val="2"/>
        <scheme val="minor"/>
      </rPr>
      <t>DVR</t>
    </r>
    <r>
      <rPr>
        <b/>
        <sz val="8"/>
        <color rgb="FFC00000"/>
        <rFont val="Calibri"/>
        <family val="2"/>
        <scheme val="minor"/>
      </rPr>
      <t xml:space="preserve">
</t>
    </r>
    <r>
      <rPr>
        <b/>
        <sz val="8"/>
        <color theme="0"/>
        <rFont val="Calibri"/>
        <family val="2"/>
        <scheme val="minor"/>
      </rPr>
      <t xml:space="preserve">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</si>
  <si>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</si>
  <si>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</si>
  <si>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Livre 3</t>
  </si>
  <si>
    <t>Livre 4</t>
  </si>
  <si>
    <t>Livre 5</t>
  </si>
  <si>
    <t>Livre 6</t>
  </si>
  <si>
    <t>Livre 7</t>
  </si>
  <si>
    <t>Livre 8</t>
  </si>
  <si>
    <t>Livre 9</t>
  </si>
  <si>
    <t>Livre 10</t>
  </si>
  <si>
    <t>Linha</t>
  </si>
  <si>
    <t>Mensagem de Erro</t>
  </si>
  <si>
    <t>Oi Total</t>
  </si>
  <si>
    <t>Aquisição</t>
  </si>
  <si>
    <t>Novos e Atuais</t>
  </si>
  <si>
    <t>Sim</t>
  </si>
  <si>
    <t xml:space="preserve">Vender OI Total com Fidelidade F+BL+TV </t>
  </si>
  <si>
    <t>Produto Fixo + LD + Banda Larga  Até 2MB + TV , Produto com fidelização</t>
  </si>
  <si>
    <t>20. Oi Total</t>
  </si>
  <si>
    <t>Varejo</t>
  </si>
  <si>
    <t>Campanha Restrita</t>
  </si>
  <si>
    <t>Não</t>
  </si>
  <si>
    <t>Oi Total Fixo + Banda Larga + TV 1</t>
  </si>
  <si>
    <t>0T0T_DET_CONTEUDO_A_00.01%.</t>
  </si>
  <si>
    <t>MKT-1-9626729181</t>
  </si>
  <si>
    <t>MKT-1-9825601270</t>
  </si>
  <si>
    <t>MKT-1-9825406035</t>
  </si>
  <si>
    <t>MKT-1-9825544125</t>
  </si>
  <si>
    <t>MKT-1-9825544215</t>
  </si>
  <si>
    <t>MKT-1-9825544305</t>
  </si>
  <si>
    <t>MKT-1-9825544400</t>
  </si>
  <si>
    <t>MKT-1-9825544490</t>
  </si>
  <si>
    <t>PCS-OzTL50</t>
  </si>
  <si>
    <t>PCS-OzTL51</t>
  </si>
  <si>
    <t>PCS-OzTL52</t>
  </si>
  <si>
    <t>PCS-OzTL53</t>
  </si>
  <si>
    <t>PCS-OzTL54</t>
  </si>
  <si>
    <t>MKT-1-9825544580</t>
  </si>
  <si>
    <t>Benefício</t>
  </si>
  <si>
    <t>Ilimitado</t>
  </si>
  <si>
    <t>0T0T_3PRES_MIN_ALLNET_500000</t>
  </si>
  <si>
    <t>MKT-1-10140786051</t>
  </si>
  <si>
    <t>SMS</t>
  </si>
  <si>
    <t>0T0T_UR_SMS_50000</t>
  </si>
  <si>
    <t>MKT-1-9009393117</t>
  </si>
  <si>
    <t>PCS-SBL11111</t>
  </si>
  <si>
    <t/>
  </si>
  <si>
    <t>Erro:  Linha 3</t>
  </si>
  <si>
    <t>Tipo de Benefício não encontrado</t>
  </si>
  <si>
    <t>Oi Total Fixo + Banda Larga + TV 2</t>
  </si>
  <si>
    <t>Erro:  Linha 4</t>
  </si>
  <si>
    <t>Oi Total Fixo + Banda Larga + TV 3</t>
  </si>
  <si>
    <t>Erro:  Linha 5</t>
  </si>
  <si>
    <t>Erro:  Linha 6</t>
  </si>
  <si>
    <t>Erro:  Linha 7</t>
  </si>
  <si>
    <t>OT_NAT17_FID_RES_TV3_TOP_TC-DVR_BL2</t>
  </si>
  <si>
    <t>Erro:  Linha 8</t>
  </si>
  <si>
    <t>Produto Fixo + LD + Banda Larga  Acima 5MB + TV , Produto com fidelização</t>
  </si>
  <si>
    <t>Tratamento</t>
  </si>
  <si>
    <t>MKT-1-9825601765</t>
  </si>
  <si>
    <t>Erro:  Linha 9</t>
  </si>
  <si>
    <t>Erro:  Linha 10</t>
  </si>
  <si>
    <t>Erro:  Linha 11</t>
  </si>
  <si>
    <t>Erro:  Linha 12</t>
  </si>
  <si>
    <t>Erro:  Linha 13</t>
  </si>
  <si>
    <t>OT_NAT17_FID_RES_TV3_TOP_TC-DVR_BL5</t>
  </si>
  <si>
    <t>Erro:  Linha 14</t>
  </si>
  <si>
    <t>Grátis</t>
  </si>
  <si>
    <t>MKT-1-9825618260</t>
  </si>
  <si>
    <t>Erro:  Linha 15</t>
  </si>
  <si>
    <t>Erro:  Linha 16</t>
  </si>
  <si>
    <t>Erro:  Linha 17</t>
  </si>
  <si>
    <t>Erro:  Linha 18</t>
  </si>
  <si>
    <t>OT_NAT17_FID_RES_TV3_TOP_TC-DVR_VDSL</t>
  </si>
  <si>
    <t>Erro:  Linha 19</t>
  </si>
  <si>
    <t>"oi total fixo + banda larga + tv 2"</t>
  </si>
  <si>
    <t>"oi total fixo + banda larga + tv 3"</t>
  </si>
  <si>
    <t>.TipoOferta == "Fixo_TV"</t>
  </si>
  <si>
    <t>FixedPlan</t>
  </si>
  <si>
    <t>LDPackage</t>
  </si>
  <si>
    <t>VCPackage</t>
  </si>
  <si>
    <t>Velocidade Oferta &gt;=</t>
  </si>
  <si>
    <t>Velocidade Oferta &lt;=</t>
  </si>
  <si>
    <t>TV</t>
  </si>
  <si>
    <t>Degradacao_Fixo</t>
  </si>
  <si>
    <t>Degradacao_Fixo_Velox</t>
  </si>
  <si>
    <t>Degradacao_Fixo_TV</t>
  </si>
  <si>
    <t>PriceFoundMulti</t>
  </si>
  <si>
    <t>MultiOnlyFidel</t>
  </si>
  <si>
    <t>FFonlySD</t>
  </si>
  <si>
    <t>PriceLDMulti</t>
  </si>
  <si>
    <t>PriceVCMulti</t>
  </si>
  <si>
    <t>PriceFixedMulti</t>
  </si>
  <si>
    <t>PriceBBFIDELMulti_SSVA</t>
  </si>
  <si>
    <t>PriceBBFIDELMulti_CSVA</t>
  </si>
  <si>
    <t>PriceTVMulti</t>
  </si>
  <si>
    <t>PriceFixedSFIDELMulti</t>
  </si>
  <si>
    <t>PriceBBSFIDELMulti_SSVA</t>
  </si>
  <si>
    <t>PriceBBSFIDELMulti_CSVA</t>
  </si>
  <si>
    <t>PriceTVSFIDELMulti</t>
  </si>
  <si>
    <t>Price_PontoAdicional</t>
  </si>
  <si>
    <t>PriceSVASFIDEL</t>
  </si>
  <si>
    <t>PriceSVAFIDEL</t>
  </si>
  <si>
    <t>PlanoMultiFidel_SSVA</t>
  </si>
  <si>
    <t>PlanoMultiFidel_CSVA</t>
  </si>
  <si>
    <t>CampanhaMultiFidel_SSVA</t>
  </si>
  <si>
    <t>CampanhaMultiFidel_CSVA</t>
  </si>
  <si>
    <t>OfertaMultiFidel_SSVA</t>
  </si>
  <si>
    <t>OfertaMultiFidel_CSVA</t>
  </si>
  <si>
    <t>PlanoMultiSFidel_SSVA</t>
  </si>
  <si>
    <t>PlanoMultiSFidel_CSVA</t>
  </si>
  <si>
    <t>CampanhaMultiSFIdel_SSVA</t>
  </si>
  <si>
    <t>CampanhaMultiSFIdel_CSVA</t>
  </si>
  <si>
    <t>OfertaMultiSFidel_SSVA</t>
  </si>
  <si>
    <t>OfertaMultiSFidel_CSVA</t>
  </si>
  <si>
    <t>PriceTotalMulti</t>
  </si>
  <si>
    <t>PriceTotalSFidelMulti</t>
  </si>
  <si>
    <t>Tempo_Fidel</t>
  </si>
  <si>
    <t>Valor_Multa</t>
  </si>
  <si>
    <t>.FixedPlan</t>
  </si>
  <si>
    <t>.LDPackage</t>
  </si>
  <si>
    <t>.VCPackage</t>
  </si>
  <si>
    <t>.VelVeloxOferta</t>
  </si>
  <si>
    <t>.TV</t>
  </si>
  <si>
    <t>.Degradacao_Fixo</t>
  </si>
  <si>
    <t>.Degradacao_Fixo_Velox</t>
  </si>
  <si>
    <t>.Degradacao_Fixo_TV</t>
  </si>
  <si>
    <t>.PriceFoundMulti</t>
  </si>
  <si>
    <t>.MultiOnlyFidel</t>
  </si>
  <si>
    <t>.FFonlySD</t>
  </si>
  <si>
    <t>.PriceLDMulti</t>
  </si>
  <si>
    <t>.PriceVCMulti</t>
  </si>
  <si>
    <t>.PriceFixedMulti</t>
  </si>
  <si>
    <t>.PriceBBFIDELMulti_SSVA</t>
  </si>
  <si>
    <t>.PriceBBFIDELMulti_CSVA</t>
  </si>
  <si>
    <t>.PriceTVMulti</t>
  </si>
  <si>
    <t>.PriceFixedSFIDELMulti</t>
  </si>
  <si>
    <t>.PriceBBSFIDELMulti_SSVA</t>
  </si>
  <si>
    <t>.PriceBBSFIDELMulti_CSVA</t>
  </si>
  <si>
    <t>.PriceTVSFIDELMulti</t>
  </si>
  <si>
    <t>.Price_PontoAdicional</t>
  </si>
  <si>
    <t>.PriceSVASFIDEL</t>
  </si>
  <si>
    <t>.PriceSVAFIDEL</t>
  </si>
  <si>
    <t>.PlanoMultiFidel_SSVA</t>
  </si>
  <si>
    <t>.PlanoMultiFidel_CSVA</t>
  </si>
  <si>
    <t>.CampanhaMultiFidel_SSVA</t>
  </si>
  <si>
    <t>.CampanhaMultiFidel_CSVA</t>
  </si>
  <si>
    <t>.OfertaMultiFidel_SSVA</t>
  </si>
  <si>
    <t>.OfertaMultiFidel_CSVA</t>
  </si>
  <si>
    <t>.PlanoMultiSFidel_SSVA</t>
  </si>
  <si>
    <t>.PlanoMultiSFidel_CSVA</t>
  </si>
  <si>
    <t>.CampanhaMultiSFIdel_SSVA</t>
  </si>
  <si>
    <t>.CampanhaMultiSFIdel_CSVA</t>
  </si>
  <si>
    <t>.OfertaMultiSFidel_SSVA</t>
  </si>
  <si>
    <t>.OfertaMultiSFidel_CSVA</t>
  </si>
  <si>
    <t>.PriceTotalMulti</t>
  </si>
  <si>
    <t>.PriceTotalSFidelMulti</t>
  </si>
  <si>
    <t>.Tempo_Fidel</t>
  </si>
  <si>
    <t>.Valor_Multa_Retention</t>
  </si>
  <si>
    <t>FX Ilim</t>
  </si>
  <si>
    <t>LD Ilim FM</t>
  </si>
  <si>
    <t>VC Ilim</t>
  </si>
  <si>
    <t>"TV Start HD""</t>
  </si>
  <si>
    <t>"TV Start HD""0.3LD Ilim FMVC IlimFX Ilim</t>
  </si>
  <si>
    <t>"TV Mix HD""</t>
  </si>
  <si>
    <t>"TV Mix HD""0.3LD Ilim FMVC IlimFX Ilim</t>
  </si>
  <si>
    <t>"TV Mix HBOMAX HD""</t>
  </si>
  <si>
    <t>"TV Mix HBOMAX HD""0.3LD Ilim FMVC IlimFX Ilim</t>
  </si>
  <si>
    <t>"TV Mix Telecine HD""</t>
  </si>
  <si>
    <t>"TV Mix Telecine HD""0.3LD Ilim FMVC IlimFX Ilim</t>
  </si>
  <si>
    <t>"TV Mix Cinema HD""</t>
  </si>
  <si>
    <t>"TV Mix Cinema HD""0.3LD Ilim FMVC IlimFX Ilim</t>
  </si>
  <si>
    <t>"TV Mix HBOMAX HD" DVR"</t>
  </si>
  <si>
    <t>"TV Mix HBOMAX HD" DVR"0.3LD Ilim FMVC IlimFX Ilim</t>
  </si>
  <si>
    <t>"TV Mix Telecine HD" DVR"</t>
  </si>
  <si>
    <t>"TV Mix Telecine HD" DVR"0.3LD Ilim FMVC IlimFX Ilim</t>
  </si>
  <si>
    <t>"TV Mix Cinema HD" DVR"</t>
  </si>
  <si>
    <t>"TV Mix Cinema HD" DVR"0.3LD Ilim FMVC IlimFX Ilim</t>
  </si>
  <si>
    <t>"TV Total HBOMAX HD" DVR"</t>
  </si>
  <si>
    <t>"TV Total HBOMAX HD" DVR"0.3LD Ilim FMVC IlimFX Ilim</t>
  </si>
  <si>
    <t>"TV Total Telecine HD" DVR"</t>
  </si>
  <si>
    <t>"TV Total Telecine HD" DVR"0.3LD Ilim FMVC IlimFX Ilim</t>
  </si>
  <si>
    <t>"TV Total Cinema HD" DVR"</t>
  </si>
  <si>
    <t>"TV Total Cinema HD" DVR"0.3LD Ilim FMVC IlimFX Ilim</t>
  </si>
  <si>
    <t>"TV Start HD""5LD Ilim FMVC IlimFX Ilim</t>
  </si>
  <si>
    <t>"TV Mix HD""5LD Ilim FMVC IlimFX Ilim</t>
  </si>
  <si>
    <t>"TV Mix HD""20LD Ilim FMVC IlimFX Ilim</t>
  </si>
  <si>
    <t>"TV Mix HBOMAX HD""5LD Ilim FMVC IlimFX Ilim</t>
  </si>
  <si>
    <t>"TV Mix Telecine HD""5LD Ilim FMVC IlimFX Ilim</t>
  </si>
  <si>
    <t>"TV Mix Cinema HD""5LD Ilim FMVC IlimFX Ilim</t>
  </si>
  <si>
    <t>"TV Mix HBOMAX HD" DVR"5LD Ilim FMVC IlimFX Ilim</t>
  </si>
  <si>
    <t>"TV Mix Telecine HD" DVR"5LD Ilim FMVC IlimFX Ilim</t>
  </si>
  <si>
    <t>"TV Mix Cinema HD" DVR"5LD Ilim FMVC IlimFX Ilim</t>
  </si>
  <si>
    <t>"TV Mix HBOMAX HD""20LD Ilim FMVC IlimFX Ilim</t>
  </si>
  <si>
    <t>"TV Mix Telecine HD""20LD Ilim FMVC IlimFX Ilim</t>
  </si>
  <si>
    <t>"TV Mix Cinema HD""20LD Ilim FMVC IlimFX Ilim</t>
  </si>
  <si>
    <t>"TV Mix HBOMAX HD" DVR"20LD Ilim FMVC IlimFX Ilim</t>
  </si>
  <si>
    <t>"TV Mix Telecine HD" DVR"20LD Ilim FMVC IlimFX Ilim</t>
  </si>
  <si>
    <t>"TV Mix Cinema HD" DVR"20LD Ilim FMVC IlimFX Ilim</t>
  </si>
  <si>
    <t>"TV Mix HBOMAX HD""30LD Ilim FMVC IlimFX Ilim</t>
  </si>
  <si>
    <t>"TV Mix Telecine HD""30LD Ilim FMVC IlimFX Ilim</t>
  </si>
  <si>
    <t>"TV Mix Cinema HD""30LD Ilim FMVC IlimFX Ilim</t>
  </si>
  <si>
    <t>"TV Mix HBOMAX HD" DVR"30LD Ilim FMVC IlimFX Ilim</t>
  </si>
  <si>
    <t>"TV Mix Telecine HD" DVR"30LD Ilim FMVC IlimFX Ilim</t>
  </si>
  <si>
    <t>"TV Mix Cinema HD" DVR"30LD Ilim FMVC IlimFX Ilim</t>
  </si>
  <si>
    <t>"TV Total HBOMAX HD" DVR"5LD Ilim FMVC IlimFX Ilim</t>
  </si>
  <si>
    <t>"TV Total HBOMAX HD" DVR"20LD Ilim FMVC IlimFX Ilim</t>
  </si>
  <si>
    <t>"TV Total HBOMAX HD" DVR"30LD Ilim FMVC IlimFX Ilim</t>
  </si>
  <si>
    <t>"TV Total Telecine HD" DVR"5LD Ilim FMVC IlimFX Ilim</t>
  </si>
  <si>
    <t>"TV Total Telecine HD" DVR"20LD Ilim FMVC IlimFX Ilim</t>
  </si>
  <si>
    <t>"TV Total Telecine HD" DVR"30LD Ilim FMVC IlimFX Ilim</t>
  </si>
  <si>
    <t>"TV Total Cinema HD" DVR"20LD Ilim FMVC IlimFX Ilim</t>
  </si>
  <si>
    <t>"TV Total Cinema HD" DVR"30LD Ilim FMVC IlimFX Ilim</t>
  </si>
  <si>
    <t>"TV Total Cinema HD" DVR"5LD Ilim FMVC IlimFX Ilim</t>
  </si>
  <si>
    <t>"OT_PAI18_NFID_RES_TV1_BASICO_START_BL2"</t>
  </si>
  <si>
    <t>"OT_PAI18_NFID_RES_TV2_INTERM_MIX_BL2"</t>
  </si>
  <si>
    <t>"OT_PAI18_NFID_RES_TV3_INTERM_MIXFILMES_BL2"</t>
  </si>
  <si>
    <t>"OT_PAI18_NFID_RES_TV3_TOP_TOT-HBO-DVR_BL2"</t>
  </si>
  <si>
    <t>"OT_PAI18_NFID_RES_TV3_TOP_TOT-TELEC-DVR_BL2"</t>
  </si>
  <si>
    <t>"OT_PAI18_NFID_RES_TV3_TOP_TOT-CINEMA-DVR_BL2"</t>
  </si>
  <si>
    <t>"OT_PAI18_NFID_RES_TV1_BASICO_START_BL5"</t>
  </si>
  <si>
    <t>"OT_PAI18_NFID_RES_TV2_INTERM_MIX_BL5"</t>
  </si>
  <si>
    <t>"OT_PAI18_NFID_RES_TV3_INTERM_MIXFILMES_BL5"</t>
  </si>
  <si>
    <t>"OT_PAI18_NFID_RES_TV3_TOP_TOT-HBO-DVR_BL5"</t>
  </si>
  <si>
    <t>"OT_PAI18_NFID_RES_TV3_TOP_TOT-TELEC-DVR_BL5"</t>
  </si>
  <si>
    <t>"OT_PAI18_NFID_RES_TV3_TOP_TOT-CINEMA-DVR_BL5"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</si>
</sst>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[$R$-416]\ * #,##0.00_-;\-[$R$-416]\ * #,##0.00_-;_-[$R$-416]\ * &quot;-&quot;??_-;_-@_-"/>
    <numFmt numFmtId="165" formatCode="#,##0_ ;\-#,##0\ "/>
    <numFmt numFmtId="166" formatCode="&quot;R$&quot;\ #,##0.00;[Red]\-&quot;R$&quot;\ #,##0.00"/>
  </numFmts>
  <fonts count="2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00B0F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828C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auto="1"/>
      </left>
      <right/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58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0" fontId="6" fillId="4" borderId="5" xfId="0" applyFont="1" applyFill="1" applyBorder="1" applyAlignment="1" applyProtection="1">
      <alignment horizontal="center" vertical="center"/>
      <protection hidden="1"/>
    </xf>
    <xf numFmtId="0" fontId="6" fillId="4" borderId="6" xfId="0" applyFont="1" applyFill="1" applyBorder="1" applyAlignment="1" applyProtection="1">
      <alignment horizontal="center" vertical="center" wrapText="1"/>
      <protection hidden="1"/>
    </xf>
    <xf numFmtId="0" fontId="10" fillId="12" borderId="21" xfId="0" applyFont="1" applyFill="1" applyBorder="1" applyAlignment="1" applyProtection="1">
      <alignment vertical="center" wrapText="1"/>
      <protection hidden="1"/>
    </xf>
    <xf numFmtId="0" fontId="10" fillId="12" borderId="21" xfId="0" applyFont="1" applyFill="1" applyBorder="1" applyAlignment="1" applyProtection="1">
      <alignment horizontal="center" textRotation="90"/>
      <protection hidden="1"/>
    </xf>
    <xf numFmtId="0" fontId="11" fillId="12" borderId="21" xfId="0" applyFont="1" applyFill="1" applyBorder="1" applyAlignment="1" applyProtection="1">
      <alignment horizontal="center" textRotation="90"/>
      <protection hidden="1"/>
    </xf>
    <xf numFmtId="0" fontId="11" fillId="12" borderId="21" xfId="0" applyFont="1" applyFill="1" applyBorder="1" applyAlignment="1" applyProtection="1">
      <alignment horizontal="center" textRotation="90"/>
      <protection locked="0"/>
    </xf>
    <xf numFmtId="0" fontId="10" fillId="13" borderId="21" xfId="0" applyFont="1" applyFill="1" applyBorder="1" applyAlignment="1" applyProtection="1">
      <alignment horizontal="center" textRotation="90"/>
      <protection hidden="1"/>
    </xf>
    <xf numFmtId="0" fontId="10" fillId="13" borderId="21" xfId="0" applyFont="1" applyFill="1" applyBorder="1" applyAlignment="1" applyProtection="1">
      <alignment horizontal="center" textRotation="90" wrapText="1"/>
      <protection hidden="1"/>
    </xf>
    <xf numFmtId="0" fontId="10" fillId="13" borderId="21" xfId="0" applyFont="1" applyFill="1" applyBorder="1" applyAlignment="1" applyProtection="1">
      <alignment horizontal="center" textRotation="90"/>
      <protection locked="0"/>
    </xf>
    <xf numFmtId="0" fontId="12" fillId="14" borderId="21" xfId="0" applyFont="1" applyFill="1" applyBorder="1" applyAlignment="1" applyProtection="1">
      <alignment vertical="center" wrapText="1"/>
      <protection hidden="1"/>
    </xf>
    <xf numFmtId="0" fontId="12" fillId="14" borderId="21" xfId="0" applyFont="1" applyFill="1" applyBorder="1" applyAlignment="1" applyProtection="1">
      <alignment horizontal="center" vertical="center" textRotation="90" wrapText="1"/>
      <protection hidden="1"/>
    </xf>
    <xf numFmtId="0" fontId="12" fillId="12" borderId="21" xfId="0" applyFont="1" applyFill="1" applyBorder="1" applyAlignment="1" applyProtection="1">
      <alignment horizontal="center" vertical="center" textRotation="90" wrapText="1"/>
      <protection hidden="1"/>
    </xf>
    <xf numFmtId="44" fontId="12" fillId="12" borderId="22" xfId="2" applyFont="1" applyFill="1" applyBorder="1" applyAlignment="1" applyProtection="1">
      <alignment vertical="center" wrapText="1"/>
      <protection hidden="1"/>
    </xf>
    <xf numFmtId="44" fontId="10" fillId="12" borderId="21" xfId="2" applyFont="1" applyFill="1" applyBorder="1" applyAlignment="1" applyProtection="1">
      <alignment vertical="center" wrapText="1"/>
      <protection hidden="1"/>
    </xf>
    <xf numFmtId="44" fontId="10" fillId="12" borderId="23" xfId="2" applyFont="1" applyFill="1" applyBorder="1" applyAlignment="1" applyProtection="1">
      <alignment vertical="center" wrapText="1"/>
      <protection hidden="1"/>
    </xf>
    <xf numFmtId="10" fontId="10" fillId="12" borderId="21" xfId="3" applyNumberFormat="1" applyFont="1" applyFill="1" applyBorder="1" applyAlignment="1" applyProtection="1">
      <alignment vertical="center" wrapText="1"/>
      <protection hidden="1"/>
    </xf>
    <xf numFmtId="0" fontId="10" fillId="12" borderId="5" xfId="0" applyFont="1" applyFill="1" applyBorder="1" applyAlignment="1" applyProtection="1">
      <alignment vertical="center" wrapText="1"/>
      <protection hidden="1"/>
    </xf>
    <xf numFmtId="0" fontId="12" fillId="15" borderId="21" xfId="0" applyFont="1" applyFill="1" applyBorder="1" applyAlignment="1" applyProtection="1">
      <alignment vertical="center" wrapText="1"/>
      <protection hidden="1"/>
    </xf>
    <xf numFmtId="0" fontId="10" fillId="15" borderId="21" xfId="0" applyFont="1" applyFill="1" applyBorder="1" applyAlignment="1" applyProtection="1">
      <alignment vertical="center" wrapText="1"/>
      <protection hidden="1"/>
    </xf>
    <xf numFmtId="0" fontId="10" fillId="14" borderId="5" xfId="0" applyFont="1" applyFill="1" applyBorder="1" applyAlignment="1" applyProtection="1">
      <alignment vertical="center" wrapText="1"/>
      <protection hidden="1"/>
    </xf>
    <xf numFmtId="43" fontId="10" fillId="12" borderId="21" xfId="1" applyFont="1" applyFill="1" applyBorder="1" applyAlignment="1" applyProtection="1">
      <alignment vertical="center" wrapText="1"/>
      <protection hidden="1"/>
    </xf>
    <xf numFmtId="9" fontId="10" fillId="12" borderId="21" xfId="3" applyFont="1" applyFill="1" applyBorder="1" applyAlignment="1" applyProtection="1">
      <alignment vertical="center" wrapText="1"/>
      <protection hidden="1"/>
    </xf>
    <xf numFmtId="0" fontId="11" fillId="12" borderId="21" xfId="0" applyFont="1" applyFill="1" applyBorder="1" applyAlignment="1" applyProtection="1">
      <alignment vertical="center" wrapText="1"/>
      <protection hidden="1"/>
    </xf>
    <xf numFmtId="0" fontId="11" fillId="14" borderId="21" xfId="0" applyFont="1" applyFill="1" applyBorder="1" applyAlignment="1" applyProtection="1">
      <alignment vertical="center" wrapText="1"/>
      <protection hidden="1"/>
    </xf>
    <xf numFmtId="0" fontId="13" fillId="4" borderId="21" xfId="0" applyFont="1" applyFill="1" applyBorder="1" applyAlignment="1" applyProtection="1">
      <alignment vertical="center" wrapText="1"/>
      <protection hidden="1"/>
    </xf>
    <xf numFmtId="0" fontId="10" fillId="12" borderId="22" xfId="0" applyFont="1" applyFill="1" applyBorder="1" applyAlignment="1" applyProtection="1">
      <alignment vertical="center" wrapText="1"/>
      <protection hidden="1"/>
    </xf>
    <xf numFmtId="0" fontId="10" fillId="12" borderId="24" xfId="0" applyFont="1" applyFill="1" applyBorder="1" applyAlignment="1" applyProtection="1">
      <alignment vertical="center" wrapText="1"/>
      <protection hidden="1"/>
    </xf>
    <xf numFmtId="0" fontId="10" fillId="12" borderId="21" xfId="0" applyFont="1" applyFill="1" applyBorder="1" applyAlignment="1" applyProtection="1">
      <alignment horizontal="left" vertical="center" wrapText="1"/>
      <protection hidden="1"/>
    </xf>
    <xf numFmtId="0" fontId="10" fillId="14" borderId="21" xfId="0" applyFont="1" applyFill="1" applyBorder="1" applyAlignment="1" applyProtection="1">
      <alignment horizontal="left" vertical="center" wrapText="1"/>
      <protection hidden="1"/>
    </xf>
    <xf numFmtId="0" fontId="12" fillId="14" borderId="21" xfId="0" applyFont="1" applyFill="1" applyBorder="1" applyAlignment="1" applyProtection="1">
      <alignment horizontal="left" vertical="center" wrapText="1"/>
      <protection hidden="1"/>
    </xf>
    <xf numFmtId="0" fontId="10" fillId="14" borderId="23" xfId="0" applyFont="1" applyFill="1" applyBorder="1" applyAlignment="1" applyProtection="1">
      <alignment horizontal="left" vertical="center" wrapText="1"/>
      <protection hidden="1"/>
    </xf>
    <xf numFmtId="0" fontId="13" fillId="16" borderId="22" xfId="0" applyFont="1" applyFill="1" applyBorder="1" applyAlignment="1" applyProtection="1">
      <alignment horizontal="center" vertical="center" wrapText="1"/>
      <protection locked="0"/>
    </xf>
    <xf numFmtId="0" fontId="13" fillId="16" borderId="21" xfId="0" applyFont="1" applyFill="1" applyBorder="1" applyAlignment="1" applyProtection="1">
      <alignment horizontal="center" vertical="center" wrapText="1"/>
      <protection locked="0"/>
    </xf>
    <xf numFmtId="0" fontId="13" fillId="16" borderId="25" xfId="0" applyFont="1" applyFill="1" applyBorder="1" applyAlignment="1" applyProtection="1">
      <alignment horizontal="center" vertical="center" wrapText="1"/>
      <protection locked="0"/>
    </xf>
    <xf numFmtId="0" fontId="5" fillId="11" borderId="26" xfId="0" applyFont="1" applyFill="1" applyBorder="1" applyAlignment="1" applyProtection="1">
      <alignment horizontal="center" vertical="center"/>
      <protection locked="0"/>
    </xf>
    <xf numFmtId="0" fontId="5" fillId="11" borderId="27" xfId="0" applyFont="1" applyFill="1" applyBorder="1" applyAlignment="1" applyProtection="1">
      <alignment horizontal="center" vertical="center"/>
      <protection locked="0"/>
    </xf>
    <xf numFmtId="0" fontId="5" fillId="11" borderId="28" xfId="0" applyFont="1" applyFill="1" applyBorder="1" applyAlignment="1" applyProtection="1">
      <alignment horizontal="center" vertical="center"/>
      <protection locked="0"/>
    </xf>
    <xf numFmtId="0" fontId="9" fillId="11" borderId="20" xfId="0" applyFont="1" applyFill="1" applyBorder="1" applyAlignment="1" applyProtection="1">
      <alignment horizontal="center" vertical="center"/>
      <protection locked="0"/>
    </xf>
    <xf numFmtId="0" fontId="17" fillId="0" borderId="18" xfId="0" applyFont="1" applyFill="1" applyBorder="1" applyAlignment="1" applyProtection="1">
      <alignment horizontal="left" vertical="center"/>
      <protection locked="0"/>
    </xf>
    <xf numFmtId="0" fontId="0" fillId="0" borderId="19" xfId="0" applyFont="1" applyFill="1" applyBorder="1" applyAlignment="1" applyProtection="1">
      <alignment horizontal="left" vertical="center"/>
      <protection locked="0"/>
    </xf>
    <xf numFmtId="0" fontId="0" fillId="0" borderId="20" xfId="0" applyFont="1" applyFill="1" applyBorder="1" applyAlignment="1" applyProtection="1">
      <alignment horizontal="left" vertical="center"/>
      <protection locked="0"/>
    </xf>
    <xf numFmtId="0" fontId="0" fillId="0" borderId="18" xfId="0" applyFont="1" applyFill="1" applyBorder="1" applyAlignment="1" applyProtection="1">
      <alignment horizontal="center"/>
      <protection locked="0"/>
    </xf>
    <xf numFmtId="0" fontId="0" fillId="0" borderId="19" xfId="0" applyFont="1" applyFill="1" applyBorder="1" applyAlignment="1" applyProtection="1">
      <alignment horizontal="center"/>
      <protection locked="0"/>
    </xf>
    <xf numFmtId="0" fontId="0" fillId="0" borderId="29" xfId="0" applyFont="1" applyFill="1" applyBorder="1" applyAlignment="1" applyProtection="1">
      <alignment horizontal="center"/>
      <protection locked="0"/>
    </xf>
    <xf numFmtId="0" fontId="0" fillId="0" borderId="30" xfId="0" applyFont="1" applyFill="1" applyBorder="1" applyAlignment="1" applyProtection="1">
      <alignment horizontal="center"/>
      <protection locked="0"/>
    </xf>
    <xf numFmtId="0" fontId="3" fillId="0" borderId="19" xfId="0" applyFont="1" applyFill="1" applyBorder="1" applyAlignment="1" applyProtection="1">
      <alignment horizontal="center" vertical="center" wrapText="1"/>
      <protection locked="0"/>
    </xf>
    <xf numFmtId="0" fontId="0" fillId="0" borderId="20" xfId="0" applyFont="1" applyFill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left" vertical="center"/>
      <protection locked="0"/>
    </xf>
    <xf numFmtId="0" fontId="17" fillId="0" borderId="31" xfId="0" applyFont="1" applyFill="1" applyBorder="1" applyAlignment="1" applyProtection="1">
      <alignment horizontal="left" vertical="center"/>
      <protection locked="0"/>
    </xf>
    <xf numFmtId="0" fontId="17" fillId="0" borderId="3" xfId="0" applyFont="1" applyFill="1" applyBorder="1" applyAlignment="1" applyProtection="1">
      <alignment horizontal="left" vertical="center"/>
      <protection locked="0"/>
    </xf>
    <xf numFmtId="14" fontId="18" fillId="0" borderId="18" xfId="0" applyNumberFormat="1" applyFont="1" applyFill="1" applyBorder="1" applyAlignment="1" applyProtection="1">
      <alignment horizontal="left" vertical="center"/>
      <protection locked="0"/>
    </xf>
    <xf numFmtId="14" fontId="18" fillId="0" borderId="20" xfId="0" applyNumberFormat="1" applyFont="1" applyFill="1" applyBorder="1" applyAlignment="1" applyProtection="1">
      <alignment horizontal="left" vertical="center"/>
      <protection locked="0"/>
    </xf>
    <xf numFmtId="14" fontId="17" fillId="0" borderId="2" xfId="0" applyNumberFormat="1" applyFont="1" applyFill="1" applyBorder="1" applyAlignment="1" applyProtection="1">
      <alignment horizontal="left" vertical="center"/>
      <protection locked="0"/>
    </xf>
    <xf numFmtId="14" fontId="17" fillId="0" borderId="31" xfId="0" applyNumberFormat="1" applyFont="1" applyFill="1" applyBorder="1" applyAlignment="1" applyProtection="1">
      <alignment horizontal="left" vertical="center"/>
      <protection locked="0"/>
    </xf>
    <xf numFmtId="0" fontId="17" fillId="0" borderId="31" xfId="0" applyFont="1" applyFill="1" applyBorder="1" applyAlignment="1" applyProtection="1">
      <alignment horizontal="center" vertical="center"/>
      <protection locked="0"/>
    </xf>
    <xf numFmtId="0" fontId="0" fillId="0" borderId="3" xfId="0" applyFont="1" applyFill="1" applyBorder="1" applyAlignment="1" applyProtection="1">
      <alignment horizontal="center" vertical="center"/>
      <protection locked="0"/>
    </xf>
    <xf numFmtId="0" fontId="0" fillId="0" borderId="18" xfId="0" applyFont="1" applyFill="1" applyBorder="1" applyAlignment="1" applyProtection="1">
      <alignment horizontal="center" vertical="center"/>
      <protection locked="0"/>
    </xf>
    <xf numFmtId="0" fontId="0" fillId="0" borderId="19" xfId="0" applyFont="1" applyFill="1" applyBorder="1" applyAlignment="1" applyProtection="1">
      <alignment horizontal="center" vertical="center"/>
      <protection locked="0"/>
    </xf>
    <xf numFmtId="0" fontId="0" fillId="0" borderId="20" xfId="0" applyFont="1" applyFill="1" applyBorder="1" applyAlignment="1" applyProtection="1">
      <alignment horizontal="center" vertical="center"/>
      <protection locked="0"/>
    </xf>
    <xf numFmtId="0" fontId="17" fillId="0" borderId="18" xfId="0" applyFont="1" applyBorder="1" applyAlignment="1" applyProtection="1">
      <alignment horizontal="left" vertical="center"/>
      <protection locked="0"/>
    </xf>
    <xf numFmtId="0" fontId="17" fillId="0" borderId="19" xfId="0" applyFont="1" applyFill="1" applyBorder="1" applyAlignment="1" applyProtection="1">
      <alignment vertical="center"/>
      <protection locked="0"/>
    </xf>
    <xf numFmtId="0" fontId="0" fillId="16" borderId="20" xfId="0" applyFill="1" applyBorder="1" applyAlignment="1" applyProtection="1">
      <alignment vertical="center"/>
      <protection hidden="1"/>
    </xf>
    <xf numFmtId="0" fontId="0" fillId="0" borderId="29" xfId="0" applyFill="1" applyBorder="1" applyAlignment="1" applyProtection="1">
      <alignment vertical="center"/>
      <protection hidden="1"/>
    </xf>
    <xf numFmtId="0" fontId="0" fillId="16" borderId="29" xfId="0" applyFill="1" applyBorder="1" applyAlignment="1" applyProtection="1">
      <alignment vertical="center"/>
      <protection hidden="1"/>
    </xf>
    <xf numFmtId="0" fontId="17" fillId="16" borderId="19" xfId="0" applyFont="1" applyFill="1" applyBorder="1" applyAlignment="1" applyProtection="1">
      <alignment vertical="center"/>
      <protection hidden="1"/>
    </xf>
    <xf numFmtId="44" fontId="17" fillId="16" borderId="29" xfId="2" applyFont="1" applyFill="1" applyBorder="1" applyAlignment="1" applyProtection="1">
      <alignment vertical="center"/>
      <protection hidden="1"/>
    </xf>
    <xf numFmtId="44" fontId="17" fillId="17" borderId="18" xfId="2" applyFont="1" applyFill="1" applyBorder="1" applyAlignment="1" applyProtection="1">
      <alignment horizontal="left" vertical="center"/>
      <protection locked="0"/>
    </xf>
    <xf numFmtId="10" fontId="0" fillId="16" borderId="19" xfId="3" applyNumberFormat="1" applyFont="1" applyFill="1" applyBorder="1" applyProtection="1">
      <protection hidden="1"/>
    </xf>
    <xf numFmtId="44" fontId="0" fillId="16" borderId="19" xfId="2" applyFont="1" applyFill="1" applyBorder="1" applyProtection="1">
      <protection hidden="1"/>
    </xf>
    <xf numFmtId="10" fontId="18" fillId="17" borderId="19" xfId="3" applyNumberFormat="1" applyFont="1" applyFill="1" applyBorder="1" applyProtection="1">
      <protection hidden="1"/>
    </xf>
    <xf numFmtId="44" fontId="17" fillId="16" borderId="30" xfId="2" applyFont="1" applyFill="1" applyBorder="1" applyAlignment="1" applyProtection="1">
      <alignment horizontal="left" vertical="center"/>
      <protection hidden="1"/>
    </xf>
    <xf numFmtId="44" fontId="0" fillId="0" borderId="19" xfId="2" applyFont="1" applyFill="1" applyBorder="1" applyProtection="1">
      <protection locked="0"/>
    </xf>
    <xf numFmtId="0" fontId="0" fillId="0" borderId="19" xfId="3" applyNumberFormat="1" applyFont="1" applyFill="1" applyBorder="1" applyProtection="1">
      <protection locked="0"/>
    </xf>
    <xf numFmtId="44" fontId="17" fillId="0" borderId="30" xfId="2" applyFont="1" applyFill="1" applyBorder="1" applyAlignment="1" applyProtection="1">
      <alignment horizontal="left" vertical="center"/>
      <protection locked="0"/>
    </xf>
    <xf numFmtId="10" fontId="0" fillId="16" borderId="20" xfId="3" applyNumberFormat="1" applyFont="1" applyFill="1" applyBorder="1" applyProtection="1">
      <protection hidden="1"/>
    </xf>
    <xf numFmtId="0" fontId="0" fillId="0" borderId="18" xfId="0" applyFill="1" applyBorder="1" applyAlignment="1" applyProtection="1">
      <alignment vertical="center"/>
      <protection locked="0"/>
    </xf>
    <xf numFmtId="0" fontId="0" fillId="16" borderId="19" xfId="0" applyFill="1" applyBorder="1" applyAlignment="1" applyProtection="1">
      <alignment vertical="center"/>
      <protection hidden="1"/>
    </xf>
    <xf numFmtId="0" fontId="17" fillId="16" borderId="20" xfId="0" applyFont="1" applyFill="1" applyBorder="1" applyAlignment="1" applyProtection="1">
      <alignment vertical="center"/>
      <protection hidden="1"/>
    </xf>
    <xf numFmtId="10" fontId="0" fillId="0" borderId="18" xfId="3" applyNumberFormat="1" applyFont="1" applyFill="1" applyBorder="1" applyProtection="1">
      <protection locked="0"/>
    </xf>
    <xf numFmtId="44" fontId="0" fillId="0" borderId="19" xfId="2" applyFont="1" applyBorder="1" applyProtection="1">
      <protection locked="0"/>
    </xf>
    <xf numFmtId="10" fontId="0" fillId="16" borderId="29" xfId="3" applyNumberFormat="1" applyFont="1" applyFill="1" applyBorder="1" applyProtection="1">
      <protection hidden="1"/>
    </xf>
    <xf numFmtId="44" fontId="0" fillId="0" borderId="30" xfId="2" applyFont="1" applyBorder="1" applyProtection="1">
      <protection locked="0"/>
    </xf>
    <xf numFmtId="0" fontId="17" fillId="16" borderId="19" xfId="2" applyNumberFormat="1" applyFont="1" applyFill="1" applyBorder="1" applyProtection="1">
      <protection locked="0"/>
    </xf>
    <xf numFmtId="164" fontId="0" fillId="0" borderId="18" xfId="0" applyNumberFormat="1" applyFont="1" applyFill="1" applyBorder="1" applyProtection="1">
      <protection locked="0"/>
    </xf>
    <xf numFmtId="164" fontId="17" fillId="0" borderId="18" xfId="0" applyNumberFormat="1" applyFont="1" applyFill="1" applyBorder="1" applyProtection="1">
      <protection locked="0"/>
    </xf>
    <xf numFmtId="10" fontId="17" fillId="16" borderId="19" xfId="3" applyNumberFormat="1" applyFont="1" applyFill="1" applyBorder="1" applyProtection="1">
      <protection hidden="1"/>
    </xf>
    <xf numFmtId="44" fontId="17" fillId="0" borderId="30" xfId="2" applyFont="1" applyFill="1" applyBorder="1" applyProtection="1">
      <protection locked="0"/>
    </xf>
    <xf numFmtId="165" fontId="17" fillId="0" borderId="19" xfId="2" applyNumberFormat="1" applyFont="1" applyFill="1" applyBorder="1" applyProtection="1">
      <protection locked="0"/>
    </xf>
    <xf numFmtId="10" fontId="17" fillId="16" borderId="19" xfId="3" applyNumberFormat="1" applyFont="1" applyFill="1" applyBorder="1" applyAlignment="1" applyProtection="1">
      <alignment horizontal="right"/>
      <protection hidden="1"/>
    </xf>
    <xf numFmtId="44" fontId="0" fillId="0" borderId="18" xfId="2" applyFont="1" applyBorder="1" applyProtection="1">
      <protection locked="0"/>
    </xf>
    <xf numFmtId="10" fontId="0" fillId="16" borderId="32" xfId="3" applyNumberFormat="1" applyFont="1" applyFill="1" applyBorder="1" applyProtection="1">
      <protection hidden="1"/>
    </xf>
    <xf numFmtId="0" fontId="0" fillId="16" borderId="20" xfId="0" applyFont="1" applyFill="1" applyBorder="1" applyProtection="1">
      <protection hidden="1"/>
    </xf>
    <xf numFmtId="44" fontId="0" fillId="0" borderId="33" xfId="2" applyFont="1" applyBorder="1" applyProtection="1">
      <protection locked="0"/>
    </xf>
    <xf numFmtId="0" fontId="0" fillId="16" borderId="29" xfId="0" applyFont="1" applyFill="1" applyBorder="1" applyProtection="1">
      <protection hidden="1"/>
    </xf>
    <xf numFmtId="44" fontId="0" fillId="16" borderId="34" xfId="2" applyFont="1" applyFill="1" applyBorder="1" applyProtection="1">
      <protection hidden="1"/>
    </xf>
    <xf numFmtId="44" fontId="0" fillId="0" borderId="30" xfId="2" applyFont="1" applyFill="1" applyBorder="1" applyProtection="1">
      <protection locked="0"/>
    </xf>
    <xf numFmtId="44" fontId="0" fillId="16" borderId="35" xfId="2" applyFont="1" applyFill="1" applyBorder="1" applyProtection="1">
      <protection hidden="1"/>
    </xf>
    <xf numFmtId="44" fontId="0" fillId="0" borderId="36" xfId="2" applyFont="1" applyBorder="1" applyProtection="1">
      <protection locked="0"/>
    </xf>
    <xf numFmtId="10" fontId="0" fillId="16" borderId="37" xfId="3" applyNumberFormat="1" applyFont="1" applyFill="1" applyBorder="1" applyProtection="1">
      <protection hidden="1"/>
    </xf>
    <xf numFmtId="10" fontId="0" fillId="0" borderId="30" xfId="3" applyNumberFormat="1" applyFont="1" applyFill="1" applyBorder="1" applyProtection="1">
      <protection locked="0"/>
    </xf>
    <xf numFmtId="10" fontId="0" fillId="0" borderId="38" xfId="3" applyNumberFormat="1" applyFont="1" applyFill="1" applyBorder="1" applyAlignment="1" applyProtection="1">
      <alignment horizontal="left" vertical="center"/>
      <protection hidden="1"/>
    </xf>
    <xf numFmtId="164" fontId="0" fillId="0" borderId="18" xfId="0" applyNumberFormat="1" applyFont="1" applyFill="1" applyBorder="1" applyAlignment="1" applyProtection="1">
      <alignment horizontal="center"/>
      <protection locked="0"/>
    </xf>
    <xf numFmtId="10" fontId="0" fillId="16" borderId="36" xfId="3" applyNumberFormat="1" applyFont="1" applyFill="1" applyBorder="1" applyAlignment="1" applyProtection="1">
      <alignment horizontal="right"/>
      <protection hidden="1"/>
    </xf>
    <xf numFmtId="0" fontId="0" fillId="16" borderId="36" xfId="0" applyFont="1" applyFill="1" applyBorder="1" applyAlignment="1" applyProtection="1">
      <alignment horizontal="left"/>
      <protection hidden="1"/>
    </xf>
    <xf numFmtId="44" fontId="0" fillId="0" borderId="30" xfId="2" applyFont="1" applyFill="1" applyBorder="1" applyAlignment="1" applyProtection="1">
      <alignment horizontal="left"/>
      <protection hidden="1"/>
    </xf>
    <xf numFmtId="10" fontId="0" fillId="16" borderId="19" xfId="3" applyNumberFormat="1" applyFont="1" applyFill="1" applyBorder="1" applyAlignment="1" applyProtection="1">
      <alignment horizontal="right"/>
      <protection hidden="1"/>
    </xf>
    <xf numFmtId="0" fontId="0" fillId="16" borderId="20" xfId="0" applyFont="1" applyFill="1" applyBorder="1" applyAlignment="1" applyProtection="1">
      <alignment horizontal="left"/>
      <protection hidden="1"/>
    </xf>
    <xf numFmtId="0" fontId="0" fillId="16" borderId="37" xfId="0" applyFont="1" applyFill="1" applyBorder="1" applyAlignment="1" applyProtection="1">
      <alignment horizontal="left"/>
      <protection hidden="1"/>
    </xf>
    <xf numFmtId="0" fontId="17" fillId="0" borderId="2" xfId="0" applyFont="1" applyFill="1" applyBorder="1" applyAlignment="1" applyProtection="1">
      <alignment horizontal="center"/>
      <protection locked="0"/>
    </xf>
    <xf numFmtId="0" fontId="17" fillId="0" borderId="3" xfId="0" applyFont="1" applyFill="1" applyBorder="1" applyAlignment="1" applyProtection="1">
      <alignment horizontal="center"/>
      <protection locked="0"/>
    </xf>
    <xf numFmtId="0" fontId="17" fillId="0" borderId="18" xfId="0" applyFont="1" applyFill="1" applyBorder="1" applyAlignment="1" applyProtection="1">
      <alignment horizontal="center"/>
      <protection locked="0"/>
    </xf>
    <xf numFmtId="0" fontId="17" fillId="0" borderId="19" xfId="0" applyFont="1" applyFill="1" applyBorder="1" applyAlignment="1" applyProtection="1">
      <alignment horizontal="center"/>
      <protection locked="0"/>
    </xf>
    <xf numFmtId="44" fontId="17" fillId="0" borderId="19" xfId="2" applyFont="1" applyFill="1" applyBorder="1" applyAlignment="1" applyProtection="1">
      <alignment horizontal="center"/>
      <protection locked="0"/>
    </xf>
    <xf numFmtId="0" fontId="17" fillId="16" borderId="19" xfId="0" applyFont="1" applyFill="1" applyBorder="1" applyAlignment="1" applyProtection="1">
      <alignment horizontal="left"/>
      <protection hidden="1"/>
    </xf>
    <xf numFmtId="0" fontId="17" fillId="16" borderId="19" xfId="0" applyFont="1" applyFill="1" applyBorder="1" applyAlignment="1" applyProtection="1">
      <alignment horizontal="center"/>
      <protection hidden="1"/>
    </xf>
    <xf numFmtId="0" fontId="17" fillId="0" borderId="18" xfId="0" applyFont="1" applyFill="1" applyBorder="1" applyAlignment="1" applyProtection="1">
      <alignment horizontal="left"/>
      <protection locked="0"/>
    </xf>
    <xf numFmtId="0" fontId="18" fillId="16" borderId="19" xfId="0" applyFont="1" applyFill="1" applyBorder="1" applyAlignment="1" applyProtection="1">
      <alignment horizontal="left"/>
      <protection hidden="1"/>
    </xf>
    <xf numFmtId="0" fontId="17" fillId="0" borderId="38" xfId="0" applyFont="1" applyFill="1" applyBorder="1" applyAlignment="1" applyProtection="1">
      <alignment horizontal="center"/>
      <protection locked="0"/>
    </xf>
    <xf numFmtId="166" fontId="0" fillId="16" borderId="33" xfId="2" applyNumberFormat="1" applyFont="1" applyFill="1" applyBorder="1" applyProtection="1">
      <protection locked="0"/>
    </xf>
    <xf numFmtId="166" fontId="0" fillId="16" borderId="34" xfId="2" applyNumberFormat="1" applyFont="1" applyFill="1" applyBorder="1" applyProtection="1">
      <protection locked="0"/>
    </xf>
    <xf numFmtId="0" fontId="0" fillId="0" borderId="18" xfId="0" applyFont="1" applyBorder="1" applyProtection="1">
      <protection locked="0"/>
    </xf>
    <xf numFmtId="0" fontId="0" fillId="0" borderId="19" xfId="0" applyFont="1" applyBorder="1" applyProtection="1">
      <protection locked="0"/>
    </xf>
    <xf numFmtId="0" fontId="0" fillId="0" borderId="20" xfId="0" applyFont="1" applyBorder="1" applyProtection="1">
      <protection locked="0"/>
    </xf>
    <xf numFmtId="0" fontId="17" fillId="0" borderId="33" xfId="0" applyFont="1" applyFill="1" applyBorder="1" applyAlignment="1" applyProtection="1">
      <alignment horizontal="left" vertical="center"/>
      <protection locked="0"/>
    </xf>
    <xf numFmtId="0" fontId="0" fillId="0" borderId="32" xfId="0" applyFont="1" applyFill="1" applyBorder="1" applyAlignment="1" applyProtection="1">
      <alignment horizontal="left" vertical="center"/>
      <protection locked="0"/>
    </xf>
    <xf numFmtId="0" fontId="0" fillId="0" borderId="39" xfId="0" applyFont="1" applyFill="1" applyBorder="1" applyAlignment="1" applyProtection="1">
      <alignment horizontal="left" vertical="center"/>
      <protection locked="0"/>
    </xf>
    <xf numFmtId="0" fontId="0" fillId="0" borderId="33" xfId="0" applyFont="1" applyFill="1" applyBorder="1" applyAlignment="1" applyProtection="1">
      <alignment horizontal="center"/>
      <protection locked="0"/>
    </xf>
    <xf numFmtId="0" fontId="0" fillId="0" borderId="32" xfId="0" applyFont="1" applyFill="1" applyBorder="1" applyAlignment="1" applyProtection="1">
      <alignment horizontal="center"/>
      <protection locked="0"/>
    </xf>
    <xf numFmtId="0" fontId="0" fillId="0" borderId="40" xfId="0" applyFont="1" applyFill="1" applyBorder="1" applyAlignment="1" applyProtection="1">
      <alignment horizontal="center"/>
      <protection locked="0"/>
    </xf>
    <xf numFmtId="0" fontId="0" fillId="0" borderId="41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 vertical="center" wrapText="1"/>
      <protection locked="0"/>
    </xf>
    <xf numFmtId="0" fontId="0" fillId="0" borderId="39" xfId="0" applyFont="1" applyFill="1" applyBorder="1" applyAlignment="1" applyProtection="1">
      <alignment horizontal="center"/>
      <protection locked="0"/>
    </xf>
    <xf numFmtId="14" fontId="18" fillId="0" borderId="33" xfId="0" applyNumberFormat="1" applyFont="1" applyFill="1" applyBorder="1" applyAlignment="1" applyProtection="1">
      <alignment horizontal="left" vertical="center"/>
      <protection locked="0"/>
    </xf>
    <xf numFmtId="14" fontId="18" fillId="0" borderId="39" xfId="0" applyNumberFormat="1" applyFont="1" applyFill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horizontal="center" vertical="center"/>
      <protection locked="0"/>
    </xf>
    <xf numFmtId="0" fontId="0" fillId="0" borderId="40" xfId="0" applyFont="1" applyFill="1" applyBorder="1" applyAlignment="1" applyProtection="1">
      <alignment horizontal="center" vertical="center"/>
      <protection locked="0"/>
    </xf>
    <xf numFmtId="0" fontId="0" fillId="0" borderId="33" xfId="0" applyFont="1" applyFill="1" applyBorder="1" applyAlignment="1" applyProtection="1">
      <alignment horizontal="center" vertical="center"/>
      <protection locked="0"/>
    </xf>
    <xf numFmtId="0" fontId="0" fillId="0" borderId="32" xfId="0" applyFont="1" applyFill="1" applyBorder="1" applyAlignment="1" applyProtection="1">
      <alignment horizontal="center" vertical="center"/>
      <protection locked="0"/>
    </xf>
    <xf numFmtId="0" fontId="0" fillId="0" borderId="39" xfId="0" applyFont="1" applyFill="1" applyBorder="1" applyAlignment="1" applyProtection="1">
      <alignment horizontal="center" vertical="center"/>
      <protection locked="0"/>
    </xf>
    <xf numFmtId="0" fontId="17" fillId="0" borderId="33" xfId="0" applyFont="1" applyBorder="1" applyAlignment="1" applyProtection="1">
      <alignment horizontal="left" vertical="center"/>
      <protection locked="0"/>
    </xf>
    <xf numFmtId="0" fontId="17" fillId="0" borderId="32" xfId="0" applyFont="1" applyFill="1" applyBorder="1" applyAlignment="1" applyProtection="1">
      <alignment vertical="center"/>
      <protection locked="0"/>
    </xf>
    <xf numFmtId="0" fontId="0" fillId="16" borderId="39" xfId="0" applyFill="1" applyBorder="1" applyAlignment="1" applyProtection="1">
      <alignment vertical="center"/>
      <protection hidden="1"/>
    </xf>
    <xf numFmtId="0" fontId="0" fillId="0" borderId="40" xfId="0" applyFill="1" applyBorder="1" applyAlignment="1" applyProtection="1">
      <alignment vertical="center"/>
      <protection hidden="1"/>
    </xf>
    <xf numFmtId="0" fontId="0" fillId="16" borderId="40" xfId="0" applyFill="1" applyBorder="1" applyAlignment="1" applyProtection="1">
      <alignment vertical="center"/>
      <protection hidden="1"/>
    </xf>
    <xf numFmtId="0" fontId="17" fillId="16" borderId="32" xfId="0" applyFont="1" applyFill="1" applyBorder="1" applyAlignment="1" applyProtection="1">
      <alignment vertical="center"/>
      <protection hidden="1"/>
    </xf>
    <xf numFmtId="44" fontId="17" fillId="16" borderId="40" xfId="2" applyFont="1" applyFill="1" applyBorder="1" applyAlignment="1" applyProtection="1">
      <alignment vertical="center"/>
      <protection hidden="1"/>
    </xf>
    <xf numFmtId="44" fontId="17" fillId="0" borderId="33" xfId="2" applyFont="1" applyFill="1" applyBorder="1" applyAlignment="1" applyProtection="1">
      <alignment horizontal="left" vertical="center"/>
      <protection locked="0"/>
    </xf>
    <xf numFmtId="44" fontId="0" fillId="16" borderId="32" xfId="2" applyFont="1" applyFill="1" applyBorder="1" applyProtection="1">
      <protection hidden="1"/>
    </xf>
    <xf numFmtId="44" fontId="17" fillId="16" borderId="41" xfId="2" applyFont="1" applyFill="1" applyBorder="1" applyAlignment="1" applyProtection="1">
      <alignment horizontal="left" vertical="center"/>
      <protection hidden="1"/>
    </xf>
    <xf numFmtId="44" fontId="0" fillId="0" borderId="32" xfId="2" applyFont="1" applyFill="1" applyBorder="1" applyProtection="1">
      <protection locked="0"/>
    </xf>
    <xf numFmtId="0" fontId="0" fillId="0" borderId="32" xfId="3" applyNumberFormat="1" applyFont="1" applyFill="1" applyBorder="1" applyProtection="1">
      <protection locked="0"/>
    </xf>
    <xf numFmtId="44" fontId="17" fillId="0" borderId="41" xfId="2" applyFont="1" applyFill="1" applyBorder="1" applyAlignment="1" applyProtection="1">
      <alignment horizontal="left" vertical="center"/>
      <protection locked="0"/>
    </xf>
    <xf numFmtId="10" fontId="0" fillId="16" borderId="39" xfId="3" applyNumberFormat="1" applyFont="1" applyFill="1" applyBorder="1" applyProtection="1">
      <protection hidden="1"/>
    </xf>
    <xf numFmtId="0" fontId="0" fillId="0" borderId="33" xfId="0" applyFill="1" applyBorder="1" applyAlignment="1" applyProtection="1">
      <alignment vertical="center"/>
      <protection locked="0"/>
    </xf>
    <xf numFmtId="0" fontId="0" fillId="16" borderId="32" xfId="0" applyFill="1" applyBorder="1" applyAlignment="1" applyProtection="1">
      <alignment vertical="center"/>
      <protection hidden="1"/>
    </xf>
    <xf numFmtId="0" fontId="17" fillId="16" borderId="39" xfId="0" applyFont="1" applyFill="1" applyBorder="1" applyAlignment="1" applyProtection="1">
      <alignment vertical="center"/>
      <protection hidden="1"/>
    </xf>
    <xf numFmtId="10" fontId="0" fillId="0" borderId="33" xfId="3" applyNumberFormat="1" applyFont="1" applyFill="1" applyBorder="1" applyProtection="1">
      <protection locked="0"/>
    </xf>
    <xf numFmtId="44" fontId="0" fillId="0" borderId="32" xfId="2" applyFont="1" applyBorder="1" applyProtection="1">
      <protection locked="0"/>
    </xf>
    <xf numFmtId="10" fontId="0" fillId="16" borderId="40" xfId="3" applyNumberFormat="1" applyFont="1" applyFill="1" applyBorder="1" applyProtection="1">
      <protection hidden="1"/>
    </xf>
    <xf numFmtId="44" fontId="0" fillId="0" borderId="41" xfId="2" applyFont="1" applyBorder="1" applyProtection="1">
      <protection locked="0"/>
    </xf>
    <xf numFmtId="0" fontId="17" fillId="16" borderId="32" xfId="2" applyNumberFormat="1" applyFont="1" applyFill="1" applyBorder="1" applyProtection="1">
      <protection locked="0"/>
    </xf>
    <xf numFmtId="164" fontId="0" fillId="0" borderId="33" xfId="0" applyNumberFormat="1" applyFont="1" applyFill="1" applyBorder="1" applyProtection="1">
      <protection locked="0"/>
    </xf>
    <xf numFmtId="164" fontId="17" fillId="0" borderId="33" xfId="0" applyNumberFormat="1" applyFont="1" applyFill="1" applyBorder="1" applyProtection="1">
      <protection locked="0"/>
    </xf>
    <xf numFmtId="10" fontId="17" fillId="16" borderId="32" xfId="3" applyNumberFormat="1" applyFont="1" applyFill="1" applyBorder="1" applyProtection="1">
      <protection hidden="1"/>
    </xf>
    <xf numFmtId="44" fontId="17" fillId="0" borderId="41" xfId="2" applyFont="1" applyFill="1" applyBorder="1" applyProtection="1">
      <protection locked="0"/>
    </xf>
    <xf numFmtId="165" fontId="17" fillId="0" borderId="32" xfId="2" applyNumberFormat="1" applyFont="1" applyFill="1" applyBorder="1" applyProtection="1">
      <protection locked="0"/>
    </xf>
    <xf numFmtId="10" fontId="17" fillId="16" borderId="32" xfId="3" applyNumberFormat="1" applyFont="1" applyFill="1" applyBorder="1" applyAlignment="1" applyProtection="1">
      <alignment horizontal="right"/>
      <protection hidden="1"/>
    </xf>
    <xf numFmtId="0" fontId="0" fillId="16" borderId="39" xfId="0" applyFont="1" applyFill="1" applyBorder="1" applyProtection="1">
      <protection hidden="1"/>
    </xf>
    <xf numFmtId="0" fontId="0" fillId="16" borderId="40" xfId="0" applyFont="1" applyFill="1" applyBorder="1" applyProtection="1">
      <protection hidden="1"/>
    </xf>
    <xf numFmtId="44" fontId="0" fillId="16" borderId="42" xfId="2" applyFont="1" applyFill="1" applyBorder="1" applyProtection="1">
      <protection hidden="1"/>
    </xf>
    <xf numFmtId="44" fontId="0" fillId="0" borderId="41" xfId="2" applyFont="1" applyFill="1" applyBorder="1" applyProtection="1">
      <protection locked="0"/>
    </xf>
    <xf numFmtId="44" fontId="0" fillId="16" borderId="43" xfId="2" applyFont="1" applyFill="1" applyBorder="1" applyProtection="1">
      <protection hidden="1"/>
    </xf>
    <xf numFmtId="44" fontId="0" fillId="0" borderId="44" xfId="2" applyFont="1" applyBorder="1" applyProtection="1">
      <protection locked="0"/>
    </xf>
    <xf numFmtId="10" fontId="0" fillId="16" borderId="45" xfId="3" applyNumberFormat="1" applyFont="1" applyFill="1" applyBorder="1" applyProtection="1">
      <protection hidden="1"/>
    </xf>
    <xf numFmtId="10" fontId="0" fillId="0" borderId="41" xfId="3" applyNumberFormat="1" applyFont="1" applyFill="1" applyBorder="1" applyProtection="1">
      <protection locked="0"/>
    </xf>
    <xf numFmtId="10" fontId="0" fillId="0" borderId="46" xfId="3" applyNumberFormat="1" applyFont="1" applyFill="1" applyBorder="1" applyAlignment="1" applyProtection="1">
      <alignment horizontal="left" vertical="center"/>
      <protection hidden="1"/>
    </xf>
    <xf numFmtId="164" fontId="0" fillId="0" borderId="33" xfId="0" applyNumberFormat="1" applyFont="1" applyFill="1" applyBorder="1" applyAlignment="1" applyProtection="1">
      <alignment horizontal="center"/>
      <protection locked="0"/>
    </xf>
    <xf numFmtId="10" fontId="0" fillId="16" borderId="44" xfId="3" applyNumberFormat="1" applyFont="1" applyFill="1" applyBorder="1" applyAlignment="1" applyProtection="1">
      <alignment horizontal="right"/>
      <protection hidden="1"/>
    </xf>
    <xf numFmtId="0" fontId="0" fillId="16" borderId="44" xfId="0" applyFont="1" applyFill="1" applyBorder="1" applyAlignment="1" applyProtection="1">
      <alignment horizontal="left"/>
      <protection hidden="1"/>
    </xf>
    <xf numFmtId="44" fontId="0" fillId="0" borderId="41" xfId="2" applyFont="1" applyFill="1" applyBorder="1" applyAlignment="1" applyProtection="1">
      <alignment horizontal="left"/>
      <protection hidden="1"/>
    </xf>
    <xf numFmtId="0" fontId="0" fillId="16" borderId="32" xfId="0" applyFont="1" applyFill="1" applyBorder="1" applyAlignment="1" applyProtection="1">
      <alignment horizontal="left"/>
      <protection hidden="1"/>
    </xf>
    <xf numFmtId="0" fontId="0" fillId="16" borderId="39" xfId="0" applyFont="1" applyFill="1" applyBorder="1" applyAlignment="1" applyProtection="1">
      <alignment horizontal="left"/>
      <protection hidden="1"/>
    </xf>
    <xf numFmtId="0" fontId="0" fillId="16" borderId="45" xfId="0" applyFont="1" applyFill="1" applyBorder="1" applyAlignment="1" applyProtection="1">
      <alignment horizontal="left"/>
      <protection hidden="1"/>
    </xf>
    <xf numFmtId="0" fontId="17" fillId="0" borderId="44" xfId="0" applyFont="1" applyFill="1" applyBorder="1" applyAlignment="1" applyProtection="1">
      <alignment horizontal="center"/>
      <protection locked="0"/>
    </xf>
    <xf numFmtId="0" fontId="17" fillId="0" borderId="40" xfId="0" applyFont="1" applyFill="1" applyBorder="1" applyAlignment="1" applyProtection="1">
      <alignment horizontal="center"/>
      <protection locked="0"/>
    </xf>
    <xf numFmtId="0" fontId="17" fillId="0" borderId="33" xfId="0" applyFont="1" applyFill="1" applyBorder="1" applyAlignment="1" applyProtection="1">
      <alignment horizontal="center"/>
      <protection locked="0"/>
    </xf>
    <xf numFmtId="0" fontId="17" fillId="0" borderId="32" xfId="0" applyFont="1" applyFill="1" applyBorder="1" applyAlignment="1" applyProtection="1">
      <alignment horizontal="center"/>
      <protection locked="0"/>
    </xf>
    <xf numFmtId="44" fontId="17" fillId="0" borderId="32" xfId="2" applyFont="1" applyFill="1" applyBorder="1" applyAlignment="1" applyProtection="1">
      <alignment horizontal="center"/>
      <protection locked="0"/>
    </xf>
    <xf numFmtId="0" fontId="17" fillId="16" borderId="32" xfId="0" applyFont="1" applyFill="1" applyBorder="1" applyAlignment="1" applyProtection="1">
      <alignment horizontal="left"/>
      <protection hidden="1"/>
    </xf>
    <xf numFmtId="0" fontId="17" fillId="16" borderId="32" xfId="0" applyFont="1" applyFill="1" applyBorder="1" applyAlignment="1" applyProtection="1">
      <alignment horizontal="center"/>
      <protection hidden="1"/>
    </xf>
    <xf numFmtId="0" fontId="17" fillId="0" borderId="33" xfId="0" applyFont="1" applyFill="1" applyBorder="1" applyAlignment="1" applyProtection="1">
      <alignment horizontal="left"/>
      <protection locked="0"/>
    </xf>
    <xf numFmtId="0" fontId="18" fillId="16" borderId="32" xfId="0" applyFont="1" applyFill="1" applyBorder="1" applyAlignment="1" applyProtection="1">
      <alignment horizontal="left"/>
      <protection hidden="1"/>
    </xf>
    <xf numFmtId="0" fontId="17" fillId="0" borderId="46" xfId="0" applyFont="1" applyFill="1" applyBorder="1" applyAlignment="1" applyProtection="1">
      <alignment horizontal="center"/>
      <protection locked="0"/>
    </xf>
    <xf numFmtId="166" fontId="0" fillId="16" borderId="42" xfId="2" applyNumberFormat="1" applyFont="1" applyFill="1" applyBorder="1" applyProtection="1">
      <protection locked="0"/>
    </xf>
    <xf numFmtId="0" fontId="0" fillId="0" borderId="33" xfId="0" applyFont="1" applyBorder="1" applyProtection="1">
      <protection locked="0"/>
    </xf>
    <xf numFmtId="0" fontId="0" fillId="0" borderId="32" xfId="0" applyFont="1" applyBorder="1" applyProtection="1">
      <protection locked="0"/>
    </xf>
    <xf numFmtId="0" fontId="0" fillId="0" borderId="39" xfId="0" applyFont="1" applyBorder="1" applyProtection="1">
      <protection locked="0"/>
    </xf>
    <xf numFmtId="0" fontId="0" fillId="0" borderId="32" xfId="0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center"/>
      <protection locked="0"/>
    </xf>
    <xf numFmtId="44" fontId="17" fillId="17" borderId="33" xfId="2" applyFont="1" applyFill="1" applyBorder="1" applyAlignment="1" applyProtection="1">
      <alignment horizontal="left" vertical="center"/>
      <protection locked="0"/>
    </xf>
    <xf numFmtId="10" fontId="18" fillId="17" borderId="32" xfId="3" applyNumberFormat="1" applyFont="1" applyFill="1" applyBorder="1" applyProtection="1">
      <protection hidden="1"/>
    </xf>
    <xf numFmtId="0" fontId="0" fillId="0" borderId="33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39" xfId="0" applyBorder="1" applyProtection="1">
      <protection locked="0"/>
    </xf>
    <xf numFmtId="0" fontId="19" fillId="16" borderId="32" xfId="2" applyNumberFormat="1" applyFont="1" applyFill="1" applyBorder="1" applyProtection="1">
      <protection locked="0"/>
    </xf>
    <xf numFmtId="0" fontId="0" fillId="0" borderId="2" xfId="0" applyBorder="1"/>
    <xf numFmtId="49" fontId="0" fillId="2" borderId="0" xfId="0" applyNumberFormat="1" applyFill="1" applyBorder="1" applyProtection="1"/>
    <xf numFmtId="0" fontId="0" fillId="0" borderId="3" xfId="0" applyBorder="1"/>
    <xf numFmtId="49" fontId="0" fillId="2" borderId="0" xfId="0" applyNumberFormat="1" applyFill="1" applyBorder="1" applyProtection="1">
      <protection locked="0"/>
    </xf>
    <xf numFmtId="0" fontId="0" fillId="0" borderId="4" xfId="0" applyBorder="1"/>
    <xf numFmtId="0" fontId="0" fillId="0" borderId="0" xfId="0" applyBorder="1"/>
    <xf numFmtId="0" fontId="6" fillId="4" borderId="6" xfId="0" applyFont="1" applyFill="1" applyBorder="1" applyAlignment="1" applyProtection="1">
      <alignment horizontal="center" vertical="center"/>
      <protection hidden="1"/>
    </xf>
    <xf numFmtId="0" fontId="6" fillId="4" borderId="7" xfId="0" applyFont="1" applyFill="1" applyBorder="1" applyAlignment="1" applyProtection="1">
      <alignment horizontal="center" vertical="center"/>
      <protection hidden="1"/>
    </xf>
    <xf numFmtId="0" fontId="6" fillId="10" borderId="16" xfId="0" applyFont="1" applyFill="1" applyBorder="1" applyAlignment="1" applyProtection="1">
      <alignment horizontal="center" vertical="center"/>
      <protection locked="0"/>
    </xf>
    <xf numFmtId="0" fontId="6" fillId="10" borderId="7" xfId="0" applyFont="1" applyFill="1" applyBorder="1" applyAlignment="1" applyProtection="1">
      <alignment horizontal="center" vertical="center"/>
      <protection locked="0"/>
    </xf>
    <xf numFmtId="0" fontId="6" fillId="10" borderId="17" xfId="0" applyFont="1" applyFill="1" applyBorder="1" applyAlignment="1" applyProtection="1">
      <alignment horizontal="center" vertical="center"/>
      <protection locked="0"/>
    </xf>
    <xf numFmtId="0" fontId="9" fillId="11" borderId="18" xfId="0" applyFont="1" applyFill="1" applyBorder="1" applyAlignment="1" applyProtection="1">
      <alignment horizontal="center" vertical="center"/>
      <protection locked="0"/>
    </xf>
    <xf numFmtId="0" fontId="9" fillId="11" borderId="19" xfId="0" applyFont="1" applyFill="1" applyBorder="1" applyAlignment="1" applyProtection="1">
      <alignment horizontal="center" vertical="center"/>
      <protection locked="0"/>
    </xf>
    <xf numFmtId="0" fontId="9" fillId="11" borderId="20" xfId="0" applyFont="1" applyFill="1" applyBorder="1" applyAlignment="1" applyProtection="1">
      <alignment horizontal="center" vertical="center"/>
      <protection locked="0"/>
    </xf>
    <xf numFmtId="0" fontId="9" fillId="9" borderId="10" xfId="0" applyFont="1" applyFill="1" applyBorder="1" applyAlignment="1" applyProtection="1">
      <alignment horizontal="center" vertical="center" wrapText="1"/>
      <protection hidden="1"/>
    </xf>
    <xf numFmtId="0" fontId="9" fillId="9" borderId="11" xfId="0" applyFont="1" applyFill="1" applyBorder="1" applyAlignment="1" applyProtection="1">
      <alignment horizontal="center" vertical="center" wrapText="1"/>
      <protection hidden="1"/>
    </xf>
    <xf numFmtId="0" fontId="9" fillId="9" borderId="9" xfId="0" applyFont="1" applyFill="1" applyBorder="1" applyAlignment="1" applyProtection="1">
      <alignment horizontal="center" vertical="center" wrapText="1"/>
      <protection hidden="1"/>
    </xf>
    <xf numFmtId="0" fontId="9" fillId="9" borderId="5" xfId="0" applyFont="1" applyFill="1" applyBorder="1" applyAlignment="1" applyProtection="1">
      <alignment horizontal="center" vertical="center"/>
      <protection hidden="1"/>
    </xf>
    <xf numFmtId="0" fontId="6" fillId="4" borderId="5" xfId="0" applyFont="1" applyFill="1" applyBorder="1" applyAlignment="1" applyProtection="1">
      <alignment horizontal="center" vertical="center"/>
      <protection hidden="1"/>
    </xf>
    <xf numFmtId="0" fontId="7" fillId="9" borderId="15" xfId="0" applyFont="1" applyFill="1" applyBorder="1" applyAlignment="1" applyProtection="1">
      <alignment horizontal="center" vertical="center" wrapText="1"/>
      <protection hidden="1"/>
    </xf>
    <xf numFmtId="0" fontId="7" fillId="9" borderId="11" xfId="0" applyFont="1" applyFill="1" applyBorder="1" applyAlignment="1" applyProtection="1">
      <alignment horizontal="center" vertical="center" wrapText="1"/>
      <protection hidden="1"/>
    </xf>
    <xf numFmtId="0" fontId="7" fillId="9" borderId="9" xfId="0" applyFont="1" applyFill="1" applyBorder="1" applyAlignment="1" applyProtection="1">
      <alignment horizontal="center" vertical="center" wrapText="1"/>
      <protection hidden="1"/>
    </xf>
    <xf numFmtId="0" fontId="7" fillId="9" borderId="10" xfId="0" applyFont="1" applyFill="1" applyBorder="1" applyAlignment="1" applyProtection="1">
      <alignment horizontal="center" vertical="center" wrapText="1"/>
      <protection hidden="1"/>
    </xf>
    <xf numFmtId="0" fontId="6" fillId="8" borderId="12" xfId="0" applyFont="1" applyFill="1" applyBorder="1" applyAlignment="1" applyProtection="1">
      <alignment horizontal="center" vertical="center" wrapText="1"/>
      <protection hidden="1"/>
    </xf>
    <xf numFmtId="0" fontId="6" fillId="8" borderId="13" xfId="0" applyFont="1" applyFill="1" applyBorder="1" applyAlignment="1" applyProtection="1">
      <alignment horizontal="center" vertical="center" wrapText="1"/>
      <protection hidden="1"/>
    </xf>
    <xf numFmtId="0" fontId="6" fillId="8" borderId="14" xfId="0" applyFont="1" applyFill="1" applyBorder="1" applyAlignment="1" applyProtection="1">
      <alignment horizontal="center" vertical="center" wrapText="1"/>
      <protection hidden="1"/>
    </xf>
    <xf numFmtId="0" fontId="6" fillId="6" borderId="12" xfId="0" applyFont="1" applyFill="1" applyBorder="1" applyAlignment="1" applyProtection="1">
      <alignment horizontal="center" vertical="center" wrapText="1"/>
      <protection hidden="1"/>
    </xf>
    <xf numFmtId="0" fontId="6" fillId="6" borderId="13" xfId="0" applyFont="1" applyFill="1" applyBorder="1" applyAlignment="1" applyProtection="1">
      <alignment horizontal="center" vertical="center" wrapText="1"/>
      <protection hidden="1"/>
    </xf>
    <xf numFmtId="0" fontId="6" fillId="6" borderId="14" xfId="0" applyFont="1" applyFill="1" applyBorder="1" applyAlignment="1" applyProtection="1">
      <alignment horizontal="center" vertical="center" wrapText="1"/>
      <protection hidden="1"/>
    </xf>
    <xf numFmtId="0" fontId="6" fillId="6" borderId="9" xfId="0" applyFont="1" applyFill="1" applyBorder="1" applyAlignment="1" applyProtection="1">
      <alignment horizontal="center" vertical="center" wrapText="1"/>
      <protection hidden="1"/>
    </xf>
    <xf numFmtId="0" fontId="6" fillId="6" borderId="10" xfId="0" applyFont="1" applyFill="1" applyBorder="1" applyAlignment="1" applyProtection="1">
      <alignment horizontal="center" vertical="center" wrapText="1"/>
      <protection hidden="1"/>
    </xf>
    <xf numFmtId="0" fontId="6" fillId="6" borderId="11" xfId="0" applyFont="1" applyFill="1" applyBorder="1" applyAlignment="1" applyProtection="1">
      <alignment horizontal="center" vertical="center" wrapText="1"/>
      <protection hidden="1"/>
    </xf>
    <xf numFmtId="0" fontId="8" fillId="7" borderId="9" xfId="0" applyFont="1" applyFill="1" applyBorder="1" applyAlignment="1" applyProtection="1">
      <alignment horizontal="center" vertical="center" wrapText="1"/>
      <protection hidden="1"/>
    </xf>
    <xf numFmtId="0" fontId="8" fillId="7" borderId="10" xfId="0" applyFont="1" applyFill="1" applyBorder="1" applyAlignment="1" applyProtection="1">
      <alignment horizontal="center" vertical="center" wrapText="1"/>
      <protection hidden="1"/>
    </xf>
    <xf numFmtId="0" fontId="6" fillId="4" borderId="6" xfId="0" applyFont="1" applyFill="1" applyBorder="1" applyAlignment="1" applyProtection="1">
      <alignment horizontal="center" vertical="center" wrapText="1"/>
      <protection hidden="1"/>
    </xf>
    <xf numFmtId="0" fontId="6" fillId="4" borderId="7" xfId="0" applyFont="1" applyFill="1" applyBorder="1" applyAlignment="1" applyProtection="1">
      <alignment horizontal="center" vertical="center" wrapText="1"/>
      <protection hidden="1"/>
    </xf>
    <xf numFmtId="0" fontId="6" fillId="4" borderId="8" xfId="0" applyFont="1" applyFill="1" applyBorder="1" applyAlignment="1" applyProtection="1">
      <alignment horizontal="center" vertical="center"/>
      <protection hidden="1"/>
    </xf>
    <xf numFmtId="0" fontId="7" fillId="5" borderId="9" xfId="0" applyFont="1" applyFill="1" applyBorder="1" applyAlignment="1" applyProtection="1">
      <alignment horizontal="center" vertical="center" wrapText="1"/>
      <protection hidden="1"/>
    </xf>
    <xf numFmtId="0" fontId="7" fillId="5" borderId="10" xfId="0" applyFont="1" applyFill="1" applyBorder="1" applyAlignment="1" applyProtection="1">
      <alignment horizontal="center" vertical="center" wrapText="1"/>
      <protection hidden="1"/>
    </xf>
    <xf numFmtId="0" fontId="7" fillId="5" borderId="11" xfId="0" applyFont="1" applyFill="1" applyBorder="1" applyAlignment="1" applyProtection="1">
      <alignment horizontal="center" vertical="center" wrapText="1"/>
      <protection hidden="1"/>
    </xf>
    <xf numFmtId="0" fontId="6" fillId="4" borderId="8" xfId="0" applyFont="1" applyFill="1" applyBorder="1" applyAlignment="1" applyProtection="1">
      <alignment horizontal="center" vertical="center" wrapText="1"/>
      <protection hidden="1"/>
    </xf>
    <xf numFmtId="0" fontId="6" fillId="4" borderId="5" xfId="0" applyFont="1" applyFill="1" applyBorder="1" applyAlignment="1" applyProtection="1">
      <alignment horizontal="center" vertical="center" wrapText="1"/>
      <protection hidden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04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03"/>
      <tableStyleElement type="headerRow" dxfId="20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57150</xdr:rowOff>
        </xdr:from>
        <xdr:to>
          <xdr:col>9</xdr:col>
          <xdr:colOff>600075</xdr:colOff>
          <xdr:row>1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104775</xdr:rowOff>
        </xdr:from>
        <xdr:to>
          <xdr:col>10</xdr:col>
          <xdr:colOff>1057275</xdr:colOff>
          <xdr:row>1</xdr:row>
          <xdr:rowOff>123825</xdr:rowOff>
        </xdr:to>
        <xdr:sp macro="" textlink="">
          <xdr:nvSpPr>
            <xdr:cNvPr id="1030" name="optBtnFidel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Fidelidade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95250</xdr:rowOff>
        </xdr:from>
        <xdr:to>
          <xdr:col>11</xdr:col>
          <xdr:colOff>1428750</xdr:colOff>
          <xdr:row>1</xdr:row>
          <xdr:rowOff>114300</xdr:rowOff>
        </xdr:to>
        <xdr:sp macro="" textlink="">
          <xdr:nvSpPr>
            <xdr:cNvPr id="1031" name="optBtnNoFidel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 Fidelidade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64815/Rule-Declare-DecisionTableedit_6481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TMP/RETOT/3PRes/Origens/BCM_Oi%20Total%203P%20Res_Natal-17_v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MP\RETOT\3PRes\Origens\BCM_Oi%20Total%203P%20Res_Natal-17_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 de preenchimento"/>
      <sheetName val="Briefing_FID"/>
      <sheetName val="Briefing_NFID"/>
      <sheetName val="Briefing_TRAT"/>
      <sheetName val="ARBOR"/>
      <sheetName val="PLANOS"/>
      <sheetName val="LocalidadesTotal (43.539)"/>
      <sheetName val="BENEFICIO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 (75,84)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  <row r="88">
          <cell r="A88" t="str">
            <v>sva_bancas</v>
          </cell>
          <cell r="B88" t="str">
            <v>Bancas (100MB, 200MB, 300MB)</v>
          </cell>
          <cell r="C88">
            <v>6</v>
          </cell>
        </row>
        <row r="89">
          <cell r="A89" t="str">
            <v>sva_livros</v>
          </cell>
          <cell r="B89" t="str">
            <v>Bancas - Livros Narrados (500MB, 1GB, 2GB, 3GB)</v>
          </cell>
          <cell r="C89">
            <v>14</v>
          </cell>
        </row>
        <row r="90">
          <cell r="A90" t="str">
            <v>sva_curtas</v>
          </cell>
          <cell r="B90" t="str">
            <v>Bancas - Livros Narrados - Video Curtas (5GB, 10GB)</v>
          </cell>
          <cell r="C90">
            <v>20.350000000000001</v>
          </cell>
        </row>
      </sheetData>
      <sheetData sheetId="5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TV 1</v>
          </cell>
          <cell r="C15" t="str">
            <v>CFG-2Plowpi</v>
          </cell>
        </row>
        <row r="16">
          <cell r="B16" t="str">
            <v>Oi Total Fixo + TV 2</v>
          </cell>
          <cell r="C16" t="str">
            <v>PCS-2PMepi</v>
          </cell>
        </row>
        <row r="17">
          <cell r="B17" t="str">
            <v>Oi Total Fixo + TV 3</v>
          </cell>
          <cell r="C17" t="str">
            <v>PCS-2PHipi</v>
          </cell>
        </row>
        <row r="18">
          <cell r="B18" t="str">
            <v>Oi Total Fixo + Banda Larga 1</v>
          </cell>
          <cell r="C18" t="str">
            <v>PCS-2PFBL1</v>
          </cell>
        </row>
        <row r="19">
          <cell r="B19" t="str">
            <v>Oi Total Fixo + Banda Larga 2</v>
          </cell>
          <cell r="C19" t="str">
            <v>PCS-2PFBL2</v>
          </cell>
        </row>
        <row r="20">
          <cell r="B20" t="str">
            <v>Oi Total Fixo + Banda Larga 3</v>
          </cell>
          <cell r="C20" t="str">
            <v>PCS-2PFBL3</v>
          </cell>
        </row>
        <row r="21">
          <cell r="B21" t="str">
            <v>Oi Internet Pra Celular</v>
          </cell>
        </row>
        <row r="22">
          <cell r="B22" t="str">
            <v>Oi Internet pra Celular 500MB</v>
          </cell>
        </row>
        <row r="23">
          <cell r="B23" t="str">
            <v>Oi Internet pra Celular 5GB</v>
          </cell>
        </row>
        <row r="24">
          <cell r="B24" t="str">
            <v>Oi Internet pra Celular 2GB</v>
          </cell>
        </row>
        <row r="25">
          <cell r="B25" t="str">
            <v>Oi Internet pra Celular 10GB</v>
          </cell>
        </row>
        <row r="26">
          <cell r="B26" t="str">
            <v>Oi Internet pra Celular 3GB</v>
          </cell>
        </row>
        <row r="27">
          <cell r="B27" t="str">
            <v>Oi Internet pra Celular 300MB</v>
          </cell>
        </row>
        <row r="28">
          <cell r="B28" t="str">
            <v>Oi Conta Total Plug 10GB Downgrade</v>
          </cell>
        </row>
        <row r="29">
          <cell r="B29" t="str">
            <v>Oi Conta Total Plug 10GB Downgrade</v>
          </cell>
        </row>
        <row r="30">
          <cell r="B30" t="str">
            <v>Oi Internet pra Celular 1GB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6" refreshError="1"/>
      <sheetData sheetId="7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  <cell r="F1" t="str">
            <v>nomeBeneficio</v>
          </cell>
          <cell r="G1" t="str">
            <v>status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  <row r="1411">
          <cell r="A1411" t="str">
            <v>Oi Total Fixo + Banda Larga 30.9999Template Desc. % sobre Serviço SVA B2C</v>
          </cell>
          <cell r="B1411" t="str">
            <v>Oi Total Fixo + Banda Larga 3</v>
          </cell>
          <cell r="C1411" t="str">
            <v>Template Desc. % sobre Serviço SVA B2C</v>
          </cell>
          <cell r="D1411">
            <v>0.9998999999999999</v>
          </cell>
          <cell r="E1411" t="str">
            <v>MKT-1-10120769701</v>
          </cell>
          <cell r="F1411" t="str">
            <v>0T0T_NAT17_DET_SVA_BL_99.99%</v>
          </cell>
          <cell r="G1411">
            <v>99.99</v>
          </cell>
        </row>
        <row r="1412">
          <cell r="A1412" t="str">
            <v>Oi Total Fixo + Pós Conectado Mais + Banda Larga0.861Template de desconto percentual FLAT Móvel - Conta Total - Varejo - Ganho Tributário Cross</v>
          </cell>
          <cell r="B1412" t="str">
            <v>Plano Oi Completo Mais</v>
          </cell>
          <cell r="C1412" t="str">
            <v>Template de desconto percentual FLAT Móvel - Conta Total - Varejo - Ganho Tributário Cross</v>
          </cell>
          <cell r="D1412">
            <v>0.86099999999999999</v>
          </cell>
          <cell r="E1412" t="str">
            <v>MKT-1-10118721331</v>
          </cell>
          <cell r="F1412" t="str">
            <v>0T3T_NAT17_PCS-4P9pi_FLAT_MÓVEL_GT_86.10%</v>
          </cell>
          <cell r="G1412">
            <v>86.1</v>
          </cell>
        </row>
        <row r="1413">
          <cell r="A1413" t="str">
            <v>Oi Total Fixo + Pós Conectado Mais + Banda Larga0.8755Template de desconto percentual FLAT Móvel - Conta Total - Varejo - Ganho Tributário Cross</v>
          </cell>
          <cell r="B1413" t="str">
            <v>Plano Oi Completo Mais</v>
          </cell>
          <cell r="C1413" t="str">
            <v>Template de desconto percentual FLAT Móvel - Conta Total - Varejo - Ganho Tributário Cross</v>
          </cell>
          <cell r="D1413">
            <v>0.87549999999999994</v>
          </cell>
          <cell r="E1413" t="str">
            <v>MKT-1-10119645221</v>
          </cell>
          <cell r="F1413" t="str">
            <v>0T3T_NAT17_PCS-4P9pi_FLAT_MÓVEL_GT_87.55%</v>
          </cell>
          <cell r="G1413">
            <v>87.55</v>
          </cell>
        </row>
        <row r="1414">
          <cell r="A1414" t="str">
            <v>Oi Internet pra Celular 3GB0.2972Template Flat Instância Dados</v>
          </cell>
          <cell r="B1414" t="str">
            <v>Oi Internet pra Celular 3GB</v>
          </cell>
          <cell r="C1414" t="str">
            <v>Template Flat Instância Dados</v>
          </cell>
          <cell r="D1414">
            <v>0.29719999999999996</v>
          </cell>
          <cell r="E1414" t="str">
            <v>MKT-1-10119768091</v>
          </cell>
          <cell r="F1414" t="str">
            <v>0T3T_NAT17_INTCEL-3G_29.72%</v>
          </cell>
          <cell r="G1414">
            <v>29.72</v>
          </cell>
        </row>
        <row r="1415">
          <cell r="A1415" t="str">
            <v>Oi Internet pra Celular 2GB0.2972Template Flat Instância Dados</v>
          </cell>
          <cell r="B1415" t="str">
            <v>Oi Internet pra Celular 2GB</v>
          </cell>
          <cell r="C1415" t="str">
            <v>Template Flat Instância Dados</v>
          </cell>
          <cell r="D1415">
            <v>0.29719999999999996</v>
          </cell>
          <cell r="E1415" t="str">
            <v>MKT-1-10120913441</v>
          </cell>
          <cell r="F1415" t="str">
            <v>0T3T_NAT17_INTCEL-2G_29.72%</v>
          </cell>
          <cell r="G1415">
            <v>29.72</v>
          </cell>
        </row>
        <row r="1416">
          <cell r="A1416" t="str">
            <v>Oi Internet pra Celular 10GB0.2972Template Flat Instância Dados</v>
          </cell>
          <cell r="B1416" t="str">
            <v>Oi Internet pra Celular 10GB</v>
          </cell>
          <cell r="C1416" t="str">
            <v>Template Flat Instância Dados</v>
          </cell>
          <cell r="D1416">
            <v>0.29719999999999996</v>
          </cell>
          <cell r="E1416" t="str">
            <v>MKT-1-10120913821</v>
          </cell>
          <cell r="F1416" t="str">
            <v>0T3T_NAT17_INTCEL-10G_29.72%</v>
          </cell>
          <cell r="G1416">
            <v>29.72</v>
          </cell>
        </row>
        <row r="1417">
          <cell r="A1417" t="str">
            <v>Oi Internet pra Celular 3GB0.0072Template Flat Instância Dados</v>
          </cell>
          <cell r="B1417" t="str">
            <v>Oi Internet pra Celular 3GB</v>
          </cell>
          <cell r="C1417" t="str">
            <v>Template Flat Instância Dados</v>
          </cell>
          <cell r="D1417">
            <v>7.1999999999999998E-3</v>
          </cell>
          <cell r="E1417" t="str">
            <v>MKT-1-10120914201</v>
          </cell>
          <cell r="F1417" t="str">
            <v>0T3T_NAT17_INTCEL-3G_00.72%</v>
          </cell>
          <cell r="G1417">
            <v>0.72</v>
          </cell>
        </row>
        <row r="1418">
          <cell r="A1418" t="str">
            <v>Oi Internet pra Celular 2GB0.0072Template Flat Instância Dados</v>
          </cell>
          <cell r="B1418" t="str">
            <v>Oi Internet pra Celular 2GB</v>
          </cell>
          <cell r="C1418" t="str">
            <v>Template Flat Instância Dados</v>
          </cell>
          <cell r="D1418">
            <v>7.1999999999999998E-3</v>
          </cell>
          <cell r="E1418" t="str">
            <v>MKT-1-10121011471</v>
          </cell>
          <cell r="F1418" t="str">
            <v>0T3T_NAT17_INTCEL-2G_00.72%</v>
          </cell>
          <cell r="G1418">
            <v>0.72</v>
          </cell>
        </row>
        <row r="1419">
          <cell r="A1419" t="str">
            <v>Oi Internet pra Celular 5GB0.0072Template Flat Instância Dados</v>
          </cell>
          <cell r="B1419" t="str">
            <v>Oi Internet pra Celular 5GB</v>
          </cell>
          <cell r="C1419" t="str">
            <v>Template Flat Instância Dados</v>
          </cell>
          <cell r="D1419">
            <v>7.1999999999999998E-3</v>
          </cell>
          <cell r="E1419" t="str">
            <v>MKT-1-10121011851</v>
          </cell>
          <cell r="F1419" t="str">
            <v>0T3T_NAT17_INTCEL-5G_00.72%</v>
          </cell>
          <cell r="G1419">
            <v>0.72</v>
          </cell>
        </row>
        <row r="1420">
          <cell r="A1420" t="str">
            <v>Oi Internet pra Celular 10GB0.3324Template Flat Instância Dados</v>
          </cell>
          <cell r="B1420" t="str">
            <v>Oi Internet pra Celular 10GB</v>
          </cell>
          <cell r="C1420" t="str">
            <v>Template Flat Instância Dados</v>
          </cell>
          <cell r="D1420">
            <v>0.33240000000000003</v>
          </cell>
          <cell r="E1420" t="str">
            <v>MKT-1-10121012231</v>
          </cell>
          <cell r="F1420" t="str">
            <v>0T3T_NAT17_INTCEL-10G_33.24%</v>
          </cell>
          <cell r="G1420">
            <v>33.24</v>
          </cell>
        </row>
        <row r="1421">
          <cell r="A1421" t="str">
            <v>Oi Internet pra Celular 10GB0.0001Template Desconto % SVA DADOS B2C</v>
          </cell>
          <cell r="B1421" t="str">
            <v>Oi Internet pra Celular 10GB</v>
          </cell>
          <cell r="C1421" t="str">
            <v>Template Desconto % SVA DADOS B2C</v>
          </cell>
          <cell r="D1421">
            <v>1E-4</v>
          </cell>
          <cell r="E1421" t="str">
            <v>MKT-1-10120769541</v>
          </cell>
          <cell r="F1421" t="str">
            <v>0T0T_NAT17_SVA_DADOS_00.01%</v>
          </cell>
          <cell r="G1421">
            <v>0.01</v>
          </cell>
        </row>
        <row r="1422">
          <cell r="A1422" t="str">
            <v>Oi Total Fixo + Pós Conectado Mais + Banda Larga0.3821Template de desconto FLAT bundle - Velox XDSL - Varejo</v>
          </cell>
          <cell r="B1422" t="str">
            <v>Plano Oi Completo Mais</v>
          </cell>
          <cell r="C1422" t="str">
            <v>Template de desconto FLAT bundle - Velox XDSL - Varejo</v>
          </cell>
          <cell r="D1422">
            <v>0.3821</v>
          </cell>
          <cell r="E1422" t="str">
            <v>MKT-1-10121487471</v>
          </cell>
          <cell r="F1422" t="str">
            <v>0T3T_NAT17_PCS-4P9pi_FLAT_BL_38.21%</v>
          </cell>
          <cell r="G1422">
            <v>38.21</v>
          </cell>
        </row>
        <row r="1423">
          <cell r="A1423" t="str">
            <v>Oi Total Fixo + Pós Conectado Mais + Banda Larga0.3904Template de desconto FLAT bundle - Velox XDSL - Varejo</v>
          </cell>
          <cell r="B1423" t="str">
            <v>Plano Oi Completo Mais</v>
          </cell>
          <cell r="C1423" t="str">
            <v>Template de desconto FLAT bundle - Velox XDSL - Varejo</v>
          </cell>
          <cell r="D1423">
            <v>0.39039999999999997</v>
          </cell>
          <cell r="E1423" t="str">
            <v>MKT-1-10121487571</v>
          </cell>
          <cell r="F1423" t="str">
            <v>0T3T_NAT17_PCS-4P9pi_FLAT_BL_39.04%</v>
          </cell>
          <cell r="G1423">
            <v>39.04</v>
          </cell>
        </row>
        <row r="1424">
          <cell r="A1424" t="str">
            <v>Oi Total Fixo + Pós Conectado Mais + Banda Larga0.5377Template de desconto FLAT bundle - Velox XDSL - Varejo</v>
          </cell>
          <cell r="B1424" t="str">
            <v>Plano Oi Completo Mais</v>
          </cell>
          <cell r="C1424" t="str">
            <v>Template de desconto FLAT bundle - Velox XDSL - Varejo</v>
          </cell>
          <cell r="D1424">
            <v>0.53770000000000007</v>
          </cell>
          <cell r="E1424" t="str">
            <v>MKT-1-10121487791</v>
          </cell>
          <cell r="F1424" t="str">
            <v>0T3T_NAT17_PCS-4P9pi_FLAT_BL_53.77%</v>
          </cell>
          <cell r="G1424">
            <v>53.77</v>
          </cell>
        </row>
        <row r="1425">
          <cell r="A1425" t="str">
            <v>Oi Total Fixo + Pós Conectado Mais + Banda Larga0.4222Template de desconto FLAT bundle - Velox XDSL - Varejo</v>
          </cell>
          <cell r="B1425" t="str">
            <v>Plano Oi Completo Mais</v>
          </cell>
          <cell r="C1425" t="str">
            <v>Template de desconto FLAT bundle - Velox XDSL - Varejo</v>
          </cell>
          <cell r="D1425">
            <v>0.42219999999999996</v>
          </cell>
          <cell r="E1425" t="str">
            <v>MKT-1-10121551571</v>
          </cell>
          <cell r="F1425" t="str">
            <v>0T3T_NAT17_PCS-4P9pi_FLAT_BL_42.22%</v>
          </cell>
          <cell r="G1425">
            <v>42.22</v>
          </cell>
        </row>
        <row r="1426">
          <cell r="A1426" t="str">
            <v>Oi Total Fixo + Pós Conectado Mais + Banda Larga0.4864Template de desconto FLAT bundle - Velox XDSL - Varejo</v>
          </cell>
          <cell r="B1426" t="str">
            <v>Plano Oi Completo Mais</v>
          </cell>
          <cell r="C1426" t="str">
            <v>Template de desconto FLAT bundle - Velox XDSL - Varejo</v>
          </cell>
          <cell r="D1426">
            <v>0.4864</v>
          </cell>
          <cell r="E1426" t="str">
            <v>MKT-1-10121551671</v>
          </cell>
          <cell r="F1426" t="str">
            <v>0T3T_NAT17_PCS-4P9pi_FLAT_BL_48.64%</v>
          </cell>
          <cell r="G1426">
            <v>48.64</v>
          </cell>
        </row>
        <row r="1427">
          <cell r="A1427" t="str">
            <v>Oi Total Fixo + Pós Conectado Mais + Banda Larga0.6086Template de desconto FLAT bundle - Velox XDSL - Varejo</v>
          </cell>
          <cell r="B1427" t="str">
            <v>Plano Oi Completo Mais</v>
          </cell>
          <cell r="C1427" t="str">
            <v>Template de desconto FLAT bundle - Velox XDSL - Varejo</v>
          </cell>
          <cell r="D1427">
            <v>0.60860000000000003</v>
          </cell>
          <cell r="E1427" t="str">
            <v>MKT-1-10121551851</v>
          </cell>
          <cell r="F1427" t="str">
            <v>0T3T_NAT17_PCS-4P9pi_FLAT_BL_60.86%</v>
          </cell>
          <cell r="G1427">
            <v>60.86</v>
          </cell>
        </row>
        <row r="1428">
          <cell r="A1428" t="str">
            <v>Oi Total Fixo + Pós Conectado Mais + Banda Larga0.6442Template de desconto FLAT bundle - Velox XDSL - Varejo</v>
          </cell>
          <cell r="B1428" t="str">
            <v>Plano Oi Completo Mais</v>
          </cell>
          <cell r="C1428" t="str">
            <v>Template de desconto FLAT bundle - Velox XDSL - Varejo</v>
          </cell>
          <cell r="D1428">
            <v>0.64419999999999999</v>
          </cell>
          <cell r="E1428" t="str">
            <v>MKT-1-10121551951</v>
          </cell>
          <cell r="F1428" t="str">
            <v>0T3T_NAT17_PCS-4P9pi_FLAT_BL_64.42%</v>
          </cell>
          <cell r="G1428">
            <v>64.42</v>
          </cell>
        </row>
        <row r="1429">
          <cell r="A1429" t="str">
            <v>Oi Total Fixo + Pós Conectado Mais + Banda Larga0.5296Template de desconto FLAT bundle - Velox XDSL - Varejo</v>
          </cell>
          <cell r="B1429" t="str">
            <v>Plano Oi Completo Mais</v>
          </cell>
          <cell r="C1429" t="str">
            <v>Template de desconto FLAT bundle - Velox XDSL - Varejo</v>
          </cell>
          <cell r="D1429">
            <v>0.52959999999999996</v>
          </cell>
          <cell r="E1429" t="str">
            <v>MKT-1-10121552051</v>
          </cell>
          <cell r="F1429" t="str">
            <v>0T3T_NAT17_PCS-4P9pi_FLAT_BL_52.96%</v>
          </cell>
          <cell r="G1429">
            <v>52.96</v>
          </cell>
        </row>
        <row r="1430">
          <cell r="A1430" t="str">
            <v>Oi Total Fixo + Pós Conectado Mais + Banda Larga0.6444Template de desconto FLAT bundle - Velox XDSL - Varejo</v>
          </cell>
          <cell r="B1430" t="str">
            <v>Plano Oi Completo Mais</v>
          </cell>
          <cell r="C1430" t="str">
            <v>Template de desconto FLAT bundle - Velox XDSL - Varejo</v>
          </cell>
          <cell r="D1430">
            <v>0.64439999999999997</v>
          </cell>
          <cell r="E1430" t="str">
            <v>MKT-1-10121552191</v>
          </cell>
          <cell r="F1430" t="str">
            <v>0T3T_NAT17_PCS-4P9pi_FLAT_BL_64.44%</v>
          </cell>
          <cell r="G1430">
            <v>64.44</v>
          </cell>
        </row>
        <row r="1431">
          <cell r="A1431" t="str">
            <v>Oi Total Fixo + Pós Conectado Mais + Banda Larga0.1778Template de desconto FLAT bundle - Velox XDSL - Varejo</v>
          </cell>
          <cell r="B1431" t="str">
            <v>Plano Oi Completo Mais</v>
          </cell>
          <cell r="C1431" t="str">
            <v>Template de desconto FLAT bundle - Velox XDSL - Varejo</v>
          </cell>
          <cell r="D1431">
            <v>0.17780000000000001</v>
          </cell>
          <cell r="E1431" t="str">
            <v>MKT-1-10121552331</v>
          </cell>
          <cell r="F1431" t="str">
            <v>0T3T_NAT17_PCS-4P9pi_FLAT_BL_17.78%</v>
          </cell>
          <cell r="G1431">
            <v>17.78</v>
          </cell>
        </row>
        <row r="1432">
          <cell r="A1432" t="str">
            <v>Oi Total Fixo + Pós Conectado Mais + Banda Larga0.1334Template de desconto FLAT bundle - Velox XDSL - Varejo</v>
          </cell>
          <cell r="B1432" t="str">
            <v>Plano Oi Completo Mais</v>
          </cell>
          <cell r="C1432" t="str">
            <v>Template de desconto FLAT bundle - Velox XDSL - Varejo</v>
          </cell>
          <cell r="D1432">
            <v>0.13339999999999999</v>
          </cell>
          <cell r="E1432" t="str">
            <v>MKT-1-10121922351</v>
          </cell>
          <cell r="F1432" t="str">
            <v>0T3T_NAT17_PCS-4P9pi_FLAT_BL_13.34%</v>
          </cell>
          <cell r="G1432">
            <v>13.34</v>
          </cell>
        </row>
        <row r="1433">
          <cell r="A1433" t="str">
            <v>Oi Total Fixo + Pós Conectado Mais + Banda Larga0.7333Template de desconto FLAT bundle - Velox XDSL - Varejo</v>
          </cell>
          <cell r="B1433" t="str">
            <v>Plano Oi Completo Mais</v>
          </cell>
          <cell r="C1433" t="str">
            <v>Template de desconto FLAT bundle - Velox XDSL - Varejo</v>
          </cell>
          <cell r="D1433">
            <v>0.73329999999999995</v>
          </cell>
          <cell r="E1433" t="str">
            <v>MKT-1-10122680261</v>
          </cell>
          <cell r="F1433" t="str">
            <v>0T3T_NAT17_PCS-4P9pi_FLAT_BL_73.33%</v>
          </cell>
          <cell r="G1433">
            <v>73.33</v>
          </cell>
        </row>
        <row r="1434">
          <cell r="A1434" t="str">
            <v>Oi Total Fixo + Pós Conectado Mais + Banda Larga0.1522Template de desconto FLAT bundle - Velox XDSL - Varejo</v>
          </cell>
          <cell r="B1434" t="str">
            <v>Plano Oi Completo Mais</v>
          </cell>
          <cell r="C1434" t="str">
            <v>Template de desconto FLAT bundle - Velox XDSL - Varejo</v>
          </cell>
          <cell r="D1434">
            <v>0.1522</v>
          </cell>
          <cell r="E1434" t="str">
            <v>MKT-1-10122695251</v>
          </cell>
          <cell r="F1434" t="str">
            <v>0T3T_NAT17_PCS-4P9pi_FLAT_BL_15.22%</v>
          </cell>
          <cell r="G1434">
            <v>15.22</v>
          </cell>
        </row>
        <row r="1435">
          <cell r="A1435" t="str">
            <v>Oi Total Fixo + Pós Conectado Mais + Banda Larga0.136Template de desconto FLAT bundle - Velox XDSL - Varejo</v>
          </cell>
          <cell r="B1435" t="str">
            <v>Plano Oi Completo Mais</v>
          </cell>
          <cell r="C1435" t="str">
            <v>Template de desconto FLAT bundle - Velox XDSL - Varejo</v>
          </cell>
          <cell r="D1435">
            <v>0.13600000000000001</v>
          </cell>
          <cell r="E1435" t="str">
            <v>MKT-1-10122695351</v>
          </cell>
          <cell r="F1435" t="str">
            <v>0T3T_NAT17_PCS-4P9pi_FLAT_BL_13.60%</v>
          </cell>
          <cell r="G1435">
            <v>13.6</v>
          </cell>
        </row>
        <row r="1436">
          <cell r="A1436" t="str">
            <v>Oi Total Fixo + Pós Conectado Mais + Banda Larga0.6977Template de desconto FLAT bundle - Velox XDSL - Varejo</v>
          </cell>
          <cell r="B1436" t="str">
            <v>Plano Oi Completo Mais</v>
          </cell>
          <cell r="C1436" t="str">
            <v>Template de desconto FLAT bundle - Velox XDSL - Varejo</v>
          </cell>
          <cell r="D1436">
            <v>0.69769999999999999</v>
          </cell>
          <cell r="E1436" t="str">
            <v>MKT-1-10122823451</v>
          </cell>
          <cell r="F1436" t="str">
            <v>0T3T_NAT17_PCS-4P9pi_FLAT_BL_69.77%</v>
          </cell>
          <cell r="G1436">
            <v>69.77</v>
          </cell>
        </row>
        <row r="1437">
          <cell r="A1437" t="str">
            <v>Oi Total Fixo + Pós Conectado Mais + Banda Larga0.1242Template de desconto FLAT bundle - Velox XDSL - Varejo</v>
          </cell>
          <cell r="B1437" t="str">
            <v>Plano Oi Completo Mais</v>
          </cell>
          <cell r="C1437" t="str">
            <v>Template de desconto FLAT bundle - Velox XDSL - Varejo</v>
          </cell>
          <cell r="D1437">
            <v>0.1242</v>
          </cell>
          <cell r="E1437" t="str">
            <v>MKT-1-10122823551</v>
          </cell>
          <cell r="F1437" t="str">
            <v>0T3T_NAT17_PCS-4P9pi_FLAT_BL_12.42%</v>
          </cell>
          <cell r="G1437">
            <v>12.42</v>
          </cell>
        </row>
        <row r="1438">
          <cell r="A1438" t="str">
            <v>Oi Total Fixo + Pós Conectado Mais + Banda Larga0.3596Template de desconto FLAT bundle - Velox XDSL - Varejo</v>
          </cell>
          <cell r="B1438" t="str">
            <v>Plano Oi Completo Mais</v>
          </cell>
          <cell r="C1438" t="str">
            <v>Template de desconto FLAT bundle - Velox XDSL - Varejo</v>
          </cell>
          <cell r="D1438">
            <v>0.35960000000000003</v>
          </cell>
          <cell r="E1438" t="str">
            <v>MKT-1-10122823651</v>
          </cell>
          <cell r="F1438" t="str">
            <v>0T3T_NAT17_PCS-4P9pi_FLAT_BL_35.96%</v>
          </cell>
          <cell r="G1438">
            <v>35.96</v>
          </cell>
        </row>
        <row r="1439">
          <cell r="A1439" t="str">
            <v>Oi Total Fixo + Pós Conectado Mais + Banda Larga0.1996Template de desconto FLAT bundle - Velox XDSL - Varejo</v>
          </cell>
          <cell r="B1439" t="str">
            <v>Plano Oi Completo Mais</v>
          </cell>
          <cell r="C1439" t="str">
            <v>Template de desconto FLAT bundle - Velox XDSL - Varejo</v>
          </cell>
          <cell r="D1439">
            <v>0.1996</v>
          </cell>
          <cell r="E1439" t="str">
            <v>MKT-1-10122836451</v>
          </cell>
          <cell r="F1439" t="str">
            <v>0T3T_NAT17_PCS-4P9pi_FLAT_BL_19.96%</v>
          </cell>
          <cell r="G1439">
            <v>19.96</v>
          </cell>
        </row>
        <row r="1440">
          <cell r="A1440" t="str">
            <v>Oi Total Fixo + Pós Conectado Mais + Banda Larga0.2885Template de desconto FLAT bundle - Velox XDSL - Varejo</v>
          </cell>
          <cell r="B1440" t="str">
            <v>Plano Oi Completo Mais</v>
          </cell>
          <cell r="C1440" t="str">
            <v>Template de desconto FLAT bundle - Velox XDSL - Varejo</v>
          </cell>
          <cell r="D1440">
            <v>0.28850000000000003</v>
          </cell>
          <cell r="E1440" t="str">
            <v>MKT-1-10122836551</v>
          </cell>
          <cell r="F1440" t="str">
            <v>0T3T_NAT17_PCS-4P9pi_FLAT_BL_28.85%</v>
          </cell>
          <cell r="G1440">
            <v>28.85</v>
          </cell>
        </row>
        <row r="1441">
          <cell r="A1441" t="str">
            <v>Oi Total Fixo + Pós Conectado Mais + Banda Larga0.1778Template de desconto percentual Bundle - Velox XDSL - Varejo</v>
          </cell>
          <cell r="B1441" t="str">
            <v>Plano Oi Completo Mais</v>
          </cell>
          <cell r="C1441" t="str">
            <v>Template de desconto percentual Bundle - Velox XDSL - Varejo</v>
          </cell>
          <cell r="D1441">
            <v>0.17780000000000001</v>
          </cell>
          <cell r="E1441" t="str">
            <v>MKT-1-10120901371</v>
          </cell>
          <cell r="F1441" t="str">
            <v>0T3T_NAT17_PCS-4P9pi_DET_BL_17.78%</v>
          </cell>
          <cell r="G1441">
            <v>17.78</v>
          </cell>
        </row>
        <row r="1442">
          <cell r="A1442" t="str">
            <v>Oi Total Fixo + Pós Conectado Mais + Banda Larga0.1334Template de desconto percentual Bundle - Velox XDSL - Varejo</v>
          </cell>
          <cell r="B1442" t="str">
            <v>Plano Oi Completo Mais</v>
          </cell>
          <cell r="C1442" t="str">
            <v>Template de desconto percentual Bundle - Velox XDSL - Varejo</v>
          </cell>
          <cell r="D1442">
            <v>0.13339999999999999</v>
          </cell>
          <cell r="E1442" t="str">
            <v>MKT-1-10121487691</v>
          </cell>
          <cell r="F1442" t="str">
            <v>0T3T_NAT17_PCS-4P9pi_DET_BL_13.34%</v>
          </cell>
          <cell r="G1442">
            <v>13.34</v>
          </cell>
        </row>
        <row r="1443">
          <cell r="A1443" t="str">
            <v>Oi Total Fixo + Pós Conectado Mais + Banda Larga0.1512Template de desconto percentual Bundle - Velox XDSL - Varejo</v>
          </cell>
          <cell r="B1443" t="str">
            <v>Plano Oi Completo Mais</v>
          </cell>
          <cell r="C1443" t="str">
            <v>Template de desconto percentual Bundle - Velox XDSL - Varejo</v>
          </cell>
          <cell r="D1443">
            <v>0.1512</v>
          </cell>
          <cell r="E1443" t="str">
            <v>MKT-1-10121551471</v>
          </cell>
          <cell r="F1443" t="str">
            <v>0T3T_NAT17_PCS-4P9pi_DET_BL_15.12%</v>
          </cell>
          <cell r="G1443">
            <v>15.12</v>
          </cell>
        </row>
        <row r="1444">
          <cell r="A1444" t="str">
            <v>Oi Internet pra Celular 10GB0.0072Template Flat Instância Dados</v>
          </cell>
          <cell r="B1444" t="str">
            <v>Oi Internet pra Celular 10GB</v>
          </cell>
          <cell r="C1444" t="str">
            <v>Template Flat Instância Dados</v>
          </cell>
          <cell r="D1444">
            <v>7.1999999999999998E-3</v>
          </cell>
          <cell r="E1444" t="str">
            <v>MKT-1-10121736251</v>
          </cell>
          <cell r="F1444" t="str">
            <v>0T3T_NAT17_INTCEL-10G_00.72%</v>
          </cell>
          <cell r="G1444">
            <v>0.72</v>
          </cell>
        </row>
        <row r="1445">
          <cell r="A1445" t="str">
            <v>Oi Internet pra Celular 5GB0.2972Template Flat Instância Dados</v>
          </cell>
          <cell r="B1445" t="str">
            <v>Oi Internet pra Celular 5GB</v>
          </cell>
          <cell r="C1445" t="str">
            <v>Template Flat Instância Dados</v>
          </cell>
          <cell r="D1445">
            <v>0.29719999999999996</v>
          </cell>
          <cell r="E1445" t="str">
            <v>MKT-1-10122679421</v>
          </cell>
          <cell r="F1445" t="str">
            <v>0T3T_NAT17_INTCEL-5G_29.72%</v>
          </cell>
          <cell r="G1445">
            <v>29.72</v>
          </cell>
        </row>
        <row r="1446">
          <cell r="A1446" t="str">
            <v>Oi Internet pra Celular 5GB0.3324Template Flat Instância Dados</v>
          </cell>
          <cell r="B1446" t="str">
            <v>Oi Internet pra Celular 5GB</v>
          </cell>
          <cell r="C1446" t="str">
            <v>Template Flat Instância Dados</v>
          </cell>
          <cell r="D1446">
            <v>0.33240000000000003</v>
          </cell>
          <cell r="E1446" t="str">
            <v>MKT-1-10122679801</v>
          </cell>
          <cell r="F1446" t="str">
            <v>0T3T_NAT17_INTCEL-5G_33.24%</v>
          </cell>
          <cell r="G1446">
            <v>33.24</v>
          </cell>
        </row>
        <row r="1447">
          <cell r="A1447" t="str">
            <v>Oi Internet pra Celular 5GB0.3334Template Flat Instância Dados</v>
          </cell>
          <cell r="B1447" t="str">
            <v>Oi Internet pra Celular 5GB</v>
          </cell>
          <cell r="C1447" t="str">
            <v>Template Flat Instância Dados</v>
          </cell>
          <cell r="D1447">
            <v>0.33340000000000003</v>
          </cell>
          <cell r="E1447" t="str">
            <v>MKT-1-10122694631</v>
          </cell>
          <cell r="F1447" t="str">
            <v>0T3T_NAT17_INTCEL-5G_33.34%</v>
          </cell>
          <cell r="G1447">
            <v>33.340000000000003</v>
          </cell>
        </row>
        <row r="1448">
          <cell r="A1448" t="str">
            <v>Oi Internet pra Celular 5GB0.0001Template Desconto % SVA DADOS B2C</v>
          </cell>
          <cell r="B1448" t="str">
            <v>Oi Internet pra Celular 5GB</v>
          </cell>
          <cell r="C1448" t="str">
            <v>Template Desconto % SVA DADOS B2C</v>
          </cell>
          <cell r="D1448">
            <v>1E-4</v>
          </cell>
          <cell r="E1448" t="str">
            <v>MKT-1-10120769541</v>
          </cell>
          <cell r="F1448" t="str">
            <v>0T0T_NAT17_SVA_DADOS_00.01%</v>
          </cell>
          <cell r="G1448">
            <v>0.01</v>
          </cell>
        </row>
        <row r="1449">
          <cell r="A1449" t="str">
            <v>Oi Internet pra Celular 3GB0.0001Template Desconto % SVA DADOS B2C</v>
          </cell>
          <cell r="B1449" t="str">
            <v>Oi Internet pra Celular 3GB</v>
          </cell>
          <cell r="C1449" t="str">
            <v>Template Desconto % SVA DADOS B2C</v>
          </cell>
          <cell r="D1449">
            <v>1E-4</v>
          </cell>
          <cell r="E1449" t="str">
            <v>MKT-1-10120769541</v>
          </cell>
          <cell r="F1449" t="str">
            <v>0T0T_NAT17_SVA_DADOS_00.01%</v>
          </cell>
          <cell r="G1449">
            <v>0.01</v>
          </cell>
        </row>
        <row r="1450">
          <cell r="A1450" t="str">
            <v>Oi Internet pra Celular 2GB0.0001Template Desconto % SVA DADOS B2C</v>
          </cell>
          <cell r="B1450" t="str">
            <v>Oi Internet pra Celular 2GB</v>
          </cell>
          <cell r="C1450" t="str">
            <v>Template Desconto % SVA DADOS B2C</v>
          </cell>
          <cell r="D1450">
            <v>1E-4</v>
          </cell>
          <cell r="E1450" t="str">
            <v>MKT-1-10120769541</v>
          </cell>
          <cell r="F1450" t="str">
            <v>0T0T_NAT17_SVA_DADOS_00.01%</v>
          </cell>
          <cell r="G1450">
            <v>0.01</v>
          </cell>
        </row>
        <row r="1451">
          <cell r="A1451" t="str">
            <v>Oi Internet pra Celular 1GB0.0001Template Desconto % SVA DADOS B2C</v>
          </cell>
          <cell r="B1451" t="str">
            <v>Oi Internet pra Celular 1GB</v>
          </cell>
          <cell r="C1451" t="str">
            <v>Template Desconto % SVA DADOS B2C</v>
          </cell>
          <cell r="D1451">
            <v>1E-4</v>
          </cell>
          <cell r="E1451" t="str">
            <v>MKT-1-10120769541</v>
          </cell>
          <cell r="F1451" t="str">
            <v>0T0T_NAT17_SVA_DADOS_00.01%</v>
          </cell>
          <cell r="G1451">
            <v>0.01</v>
          </cell>
        </row>
        <row r="1452">
          <cell r="A1452" t="str">
            <v>Oi Internet pra Celular 500MB0.0001Template Desconto % SVA DADOS B2C</v>
          </cell>
          <cell r="B1452" t="str">
            <v>Oi Internet pra Celular 500MB</v>
          </cell>
          <cell r="C1452" t="str">
            <v>Template Desconto % SVA DADOS B2C</v>
          </cell>
          <cell r="D1452">
            <v>1E-4</v>
          </cell>
          <cell r="E1452" t="str">
            <v>MKT-1-10120769541</v>
          </cell>
          <cell r="F1452" t="str">
            <v>0T0T_NAT17_SVA_DADOS_00.01%</v>
          </cell>
          <cell r="G1452">
            <v>0.01</v>
          </cell>
        </row>
        <row r="1453">
          <cell r="A1453" t="str">
            <v>Oi Internet pra Celular 300MB0.0001Template Desconto % SVA DADOS B2C</v>
          </cell>
          <cell r="B1453" t="str">
            <v>Oi Internet pra Celular 300MB</v>
          </cell>
          <cell r="C1453" t="str">
            <v>Template Desconto % SVA DADOS B2C</v>
          </cell>
          <cell r="D1453">
            <v>1E-4</v>
          </cell>
          <cell r="E1453" t="str">
            <v>MKT-1-10120769541</v>
          </cell>
          <cell r="F1453" t="str">
            <v>0T0T_NAT17_SVA_DADOS_00.01%</v>
          </cell>
          <cell r="G1453">
            <v>0.01</v>
          </cell>
        </row>
        <row r="1454">
          <cell r="A1454" t="str">
            <v>Oi Total Fixo + Pós Conectado Mais + Banda Larga1Template de desconto FLAT bundle - Fixo - Varejo</v>
          </cell>
          <cell r="B1454" t="str">
            <v>Plano Oi Completo Mais</v>
          </cell>
          <cell r="C1454" t="str">
            <v>Template de desconto FLAT bundle - Fixo - Varejo</v>
          </cell>
          <cell r="D1454">
            <v>1</v>
          </cell>
          <cell r="E1454" t="str">
            <v>MKT-1-10123421691</v>
          </cell>
          <cell r="F1454" t="str">
            <v>0T3T_NAT17_PCS-4P9pi_FLAT_FIXO_100.00%</v>
          </cell>
          <cell r="G1454">
            <v>100</v>
          </cell>
        </row>
        <row r="1455">
          <cell r="A1455" t="str">
            <v>Oi Total Fixo + Pós Conectado Mais + Banda Larga0.5256Template de desconto FLAT bundle - Velox XDSL - Varejo</v>
          </cell>
          <cell r="B1455" t="str">
            <v>Plano Oi Completo Mais</v>
          </cell>
          <cell r="C1455" t="str">
            <v>Template de desconto FLAT bundle - Velox XDSL - Varejo</v>
          </cell>
          <cell r="D1455">
            <v>0.52560000000000007</v>
          </cell>
          <cell r="E1455" t="str">
            <v>MKT-1-10126527891</v>
          </cell>
          <cell r="F1455" t="str">
            <v>0T3T_NAT17_PCS-4P9pi_FLAT_BL_52.56%</v>
          </cell>
          <cell r="G1455">
            <v>52.56</v>
          </cell>
        </row>
        <row r="1456">
          <cell r="A1456" t="str">
            <v>Oi Total Fixo + Pós Conectado Mais + Banda Larga0.0723Template desconto FLAT Plano Principal Oi TV nível conta</v>
          </cell>
          <cell r="B1456" t="str">
            <v>Plano Oi Completo Mais</v>
          </cell>
          <cell r="C1456" t="str">
            <v>Template desconto FLAT Plano Principal Oi TV nível conta</v>
          </cell>
          <cell r="D1456">
            <v>7.2300000000000003E-2</v>
          </cell>
          <cell r="E1456" t="str">
            <v>MKT-1-10140866431</v>
          </cell>
          <cell r="F1456" t="str">
            <v>0T3T_NAT17_PCS-4P9pi_FLAT_TV_07.23%</v>
          </cell>
        </row>
        <row r="1457">
          <cell r="A1457" t="str">
            <v>Oi Total Fixo + Pós Conectado Mais + Banda Larga0.2895Template desconto FLAT Plano Principal Oi TV nível conta</v>
          </cell>
          <cell r="B1457" t="str">
            <v>Plano Oi Completo Mais</v>
          </cell>
          <cell r="C1457" t="str">
            <v>Template desconto FLAT Plano Principal Oi TV nível conta</v>
          </cell>
          <cell r="D1457">
            <v>0.28949999999999998</v>
          </cell>
          <cell r="E1457" t="str">
            <v>MKT-1-10140866731</v>
          </cell>
          <cell r="F1457" t="str">
            <v>0T3T_NAT17_PCS-4P9pi_FLAT_TV_28.95%</v>
          </cell>
        </row>
        <row r="1458">
          <cell r="A1458" t="str">
            <v>Oi Total Fixo + Pós Conectado Mais + Banda Larga0.0687Template desconto FLAT Plano Principal Oi TV nível conta</v>
          </cell>
          <cell r="B1458" t="str">
            <v>Plano Oi Completo Mais</v>
          </cell>
          <cell r="C1458" t="str">
            <v>Template desconto FLAT Plano Principal Oi TV nível conta</v>
          </cell>
          <cell r="D1458">
            <v>6.8699999999999997E-2</v>
          </cell>
          <cell r="E1458" t="str">
            <v>MKT-1-10140935771</v>
          </cell>
          <cell r="F1458" t="str">
            <v>0T3T_NAT17_PCS-4P9pi_FLAT_TV_06.87%</v>
          </cell>
        </row>
        <row r="1459">
          <cell r="A1459" t="str">
            <v>Oi Total Fixo + Banda Larga + TV 30.3017Template desconto FLAT Plano Principal Oi TV nível conta</v>
          </cell>
          <cell r="B1459" t="str">
            <v>Plano Oi Convergente High</v>
          </cell>
          <cell r="C1459" t="str">
            <v>Template desconto FLAT Plano Principal Oi TV nível conta</v>
          </cell>
          <cell r="D1459">
            <v>0.30170000000000002</v>
          </cell>
          <cell r="E1459" t="str">
            <v>MKT-1-10140936051</v>
          </cell>
          <cell r="F1459" t="str">
            <v>0T3T_NAT17_PCS-3PHipi_FLAT_TV_30.17%</v>
          </cell>
        </row>
        <row r="1460">
          <cell r="A1460" t="str">
            <v>Oi Total Fixo + Pós Conectado Mais + Banda Larga0.3886Template desconto FLAT Plano Principal Oi TV nível conta</v>
          </cell>
          <cell r="B1460" t="str">
            <v>Plano Oi Completo Mais</v>
          </cell>
          <cell r="C1460" t="str">
            <v>Template desconto FLAT Plano Principal Oi TV nível conta</v>
          </cell>
          <cell r="D1460">
            <v>0.3886</v>
          </cell>
          <cell r="E1460" t="str">
            <v>MKT-1-10140936321</v>
          </cell>
          <cell r="F1460" t="str">
            <v>0T3T_NAT17_PCS-4P9pi_FLAT_TV_38.86%</v>
          </cell>
        </row>
        <row r="1461">
          <cell r="A1461" t="str">
            <v>Oi Total Fixo + Banda Larga + TV 10.1425Template desconto FLAT Plano Principal Oi TV nível conta</v>
          </cell>
          <cell r="B1461" t="str">
            <v>Plano Oi Convergente Low</v>
          </cell>
          <cell r="C1461" t="str">
            <v>Template desconto FLAT Plano Principal Oi TV nível conta</v>
          </cell>
          <cell r="D1461">
            <v>0.14249999999999999</v>
          </cell>
          <cell r="E1461" t="str">
            <v>MKT-1-10140955511</v>
          </cell>
          <cell r="F1461" t="str">
            <v>0T3T_NAT17_PCS-3PLowpi_FLAT_TV_14.25%</v>
          </cell>
        </row>
        <row r="1462">
          <cell r="A1462" t="str">
            <v>Oi Total Fixo + Pós Conectado Mais + Banda Larga0.3516Template desconto FLAT Plano Principal Oi TV nível conta</v>
          </cell>
          <cell r="B1462" t="str">
            <v>Plano Oi Completo Mais</v>
          </cell>
          <cell r="C1462" t="str">
            <v>Template desconto FLAT Plano Principal Oi TV nível conta</v>
          </cell>
          <cell r="D1462">
            <v>0.35160000000000002</v>
          </cell>
          <cell r="E1462" t="str">
            <v>MKT-1-10140955781</v>
          </cell>
          <cell r="F1462" t="str">
            <v>0T3T_NAT17_PCS-4P9pi_FLAT_TV_35.16%</v>
          </cell>
        </row>
        <row r="1463">
          <cell r="A1463" t="str">
            <v>Oi Total Fixo + Banda Larga + TV 30.3433Template desconto FLAT Plano Principal Oi TV nível conta</v>
          </cell>
          <cell r="B1463" t="str">
            <v>Plano Oi Convergente High</v>
          </cell>
          <cell r="C1463" t="str">
            <v>Template desconto FLAT Plano Principal Oi TV nível conta</v>
          </cell>
          <cell r="D1463">
            <v>0.34329999999999999</v>
          </cell>
          <cell r="E1463" t="str">
            <v>MKT-1-10140956051</v>
          </cell>
          <cell r="F1463" t="str">
            <v>0T3T_NAT17_PCS-3PHipi_FLAT_TV_34.33%</v>
          </cell>
        </row>
        <row r="1464">
          <cell r="A1464" t="str">
            <v>Oi Total Fixo + Banda Larga + TV 30.0687Template desconto FLAT Plano Principal Oi TV nível conta</v>
          </cell>
          <cell r="B1464" t="str">
            <v>Plano Oi Convergente High</v>
          </cell>
          <cell r="C1464" t="str">
            <v>Template desconto FLAT Plano Principal Oi TV nível conta</v>
          </cell>
          <cell r="D1464">
            <v>6.8699999999999997E-2</v>
          </cell>
          <cell r="E1464" t="str">
            <v>MKT-1-10140956321</v>
          </cell>
          <cell r="F1464" t="str">
            <v>0T3T_NAT17_PCS-3PHipi_FLAT_TV_06.87%</v>
          </cell>
        </row>
        <row r="1465">
          <cell r="A1465" t="str">
            <v>Oi Total Fixo + Banda Larga + TV 30.2639Template desconto FLAT Plano Principal Oi TV nível conta</v>
          </cell>
          <cell r="B1465" t="str">
            <v>Plano Oi Convergente High</v>
          </cell>
          <cell r="C1465" t="str">
            <v>Template desconto FLAT Plano Principal Oi TV nível conta</v>
          </cell>
          <cell r="D1465">
            <v>0.26390000000000002</v>
          </cell>
          <cell r="E1465" t="str">
            <v>MKT-1-10140957431</v>
          </cell>
          <cell r="F1465" t="str">
            <v>0T3T_NAT17_PCS-3PHipi_FLAT_TV_26.39%</v>
          </cell>
        </row>
        <row r="1466">
          <cell r="A1466" t="str">
            <v>Oi Total Fixo + Pós Conectado Mais + Banda Larga0.1731Template desconto FLAT Plano Principal Oi TV nível conta</v>
          </cell>
          <cell r="B1466" t="str">
            <v>Plano Oi Completo Mais</v>
          </cell>
          <cell r="C1466" t="str">
            <v>Template desconto FLAT Plano Principal Oi TV nível conta</v>
          </cell>
          <cell r="D1466">
            <v>0.1731</v>
          </cell>
          <cell r="E1466" t="str">
            <v>MKT-1-10140957791</v>
          </cell>
          <cell r="F1466" t="str">
            <v>0T3T_NAT17_PCS-4P9pi_FLAT_TV_17.31%</v>
          </cell>
        </row>
        <row r="1467">
          <cell r="A1467" t="str">
            <v>Oi Total Fixo + Pós Conectado Mais + Banda Larga0.1847Template desconto FLAT Plano Principal Oi TV nível conta</v>
          </cell>
          <cell r="B1467" t="str">
            <v>Plano Oi Completo Mais</v>
          </cell>
          <cell r="C1467" t="str">
            <v>Template desconto FLAT Plano Principal Oi TV nível conta</v>
          </cell>
          <cell r="D1467">
            <v>0.1847</v>
          </cell>
          <cell r="E1467" t="str">
            <v>MKT-1-10140958061</v>
          </cell>
          <cell r="F1467" t="str">
            <v>0T3T_NAT17_PCS-4P9pi_FLAT_TV_18.47%</v>
          </cell>
        </row>
        <row r="1468">
          <cell r="A1468" t="str">
            <v>Oi Total Fixo + Banda Larga + TV 30.3701Template desconto FLAT Plano Principal Oi TV nível conta</v>
          </cell>
          <cell r="B1468" t="str">
            <v>Plano Oi Convergente High</v>
          </cell>
          <cell r="C1468" t="str">
            <v>Template desconto FLAT Plano Principal Oi TV nível conta</v>
          </cell>
          <cell r="D1468">
            <v>0.37009999999999998</v>
          </cell>
          <cell r="E1468" t="str">
            <v>MKT-1-10140958331</v>
          </cell>
          <cell r="F1468" t="str">
            <v>0T3T_NAT17_PCS-3PHipi_FLAT_TV_37.01%</v>
          </cell>
        </row>
        <row r="1469">
          <cell r="A1469" t="str">
            <v>Oi Total Fixo + Pós Conectado Mais + Banda Larga0.2885Template desconto FLAT Plano Principal Oi TV nível conta</v>
          </cell>
          <cell r="B1469" t="str">
            <v>Plano Oi Completo Mais</v>
          </cell>
          <cell r="C1469" t="str">
            <v>Template desconto FLAT Plano Principal Oi TV nível conta</v>
          </cell>
          <cell r="D1469">
            <v>0.28849999999999998</v>
          </cell>
          <cell r="E1469" t="str">
            <v>MKT-1-10141145601</v>
          </cell>
          <cell r="F1469" t="str">
            <v>0T3T_NAT17_PCS-4P9pi_FLAT_TV_28.85%</v>
          </cell>
        </row>
        <row r="1470">
          <cell r="A1470" t="str">
            <v>Oi Total Fixo + Pós Conectado Mais + Banda Larga0.3626Template desconto FLAT Plano Principal Oi TV nível conta</v>
          </cell>
          <cell r="B1470" t="str">
            <v>Plano Oi Completo Mais</v>
          </cell>
          <cell r="C1470" t="str">
            <v>Template desconto FLAT Plano Principal Oi TV nível conta</v>
          </cell>
          <cell r="D1470">
            <v>0.36259999999999998</v>
          </cell>
          <cell r="E1470" t="str">
            <v>MKT-1-10141146591</v>
          </cell>
          <cell r="F1470" t="str">
            <v>0T3T_NAT17_PCS-4P9pi_FLAT_TV_36.26%</v>
          </cell>
        </row>
        <row r="1471">
          <cell r="A1471" t="str">
            <v>Oi Total Fixo + Pós Conectado Mais + Banda Larga0.25Template desconto FLAT Plano Principal Oi TV nível conta</v>
          </cell>
          <cell r="B1471" t="str">
            <v>Plano Oi Completo Mais</v>
          </cell>
          <cell r="C1471" t="str">
            <v>Template desconto FLAT Plano Principal Oi TV nível conta</v>
          </cell>
          <cell r="D1471">
            <v>0.25</v>
          </cell>
          <cell r="E1471" t="str">
            <v>MKT-1-10141147131</v>
          </cell>
          <cell r="F1471" t="str">
            <v>0T3T_NAT17_PCS-4P9pi_FLAT_TV_25.00%</v>
          </cell>
        </row>
        <row r="1472">
          <cell r="A1472" t="str">
            <v>Oi Total Fixo + Banda Larga + TV 30.1847Template desconto FLAT Plano Principal Oi TV nível conta</v>
          </cell>
          <cell r="B1472" t="str">
            <v>Plano Oi Convergente High</v>
          </cell>
          <cell r="C1472" t="str">
            <v>Template desconto FLAT Plano Principal Oi TV nível conta</v>
          </cell>
          <cell r="D1472">
            <v>0.1847</v>
          </cell>
          <cell r="E1472" t="str">
            <v>MKT-1-10141149591</v>
          </cell>
          <cell r="F1472" t="str">
            <v>0T3T_NAT17_PCS-3PHipi_FLAT_TV_18.47%</v>
          </cell>
        </row>
        <row r="1473">
          <cell r="A1473" t="str">
            <v>Oi Total Fixo + Pós Conectado Mais + Banda Larga0.294Template desconto FLAT Plano Principal Oi TV nível conta</v>
          </cell>
          <cell r="B1473" t="str">
            <v>Plano Oi Completo Mais</v>
          </cell>
          <cell r="C1473" t="str">
            <v>Template desconto FLAT Plano Principal Oi TV nível conta</v>
          </cell>
          <cell r="D1473">
            <v>0.29399999999999998</v>
          </cell>
          <cell r="E1473" t="str">
            <v>MKT-1-10141149861</v>
          </cell>
          <cell r="F1473" t="str">
            <v>0T3T_NAT17_PCS-4P9pi_FLAT_TV_29.40%</v>
          </cell>
        </row>
        <row r="1474">
          <cell r="A1474" t="str">
            <v>Oi Total Fixo + Pós Conectado Mais + Banda Larga0.325Template desconto FLAT Plano Principal Oi TV nível conta</v>
          </cell>
          <cell r="B1474" t="str">
            <v>Plano Oi Completo Mais</v>
          </cell>
          <cell r="C1474" t="str">
            <v>Template desconto FLAT Plano Principal Oi TV nível conta</v>
          </cell>
          <cell r="D1474">
            <v>0.32500000000000001</v>
          </cell>
          <cell r="E1474" t="str">
            <v>MKT-1-10141545381</v>
          </cell>
          <cell r="F1474" t="str">
            <v>0T3T_NAT17_PCS-4P9pi_FLAT_TV_32.50%.</v>
          </cell>
        </row>
        <row r="1475">
          <cell r="A1475" t="str">
            <v>Oi Total Fixo + Pós Conectado Mais + Banda Larga0.8265Template de desconto percentual FLAT Móvel - Conta Total - Varejo - Ganho Tributário Cross</v>
          </cell>
          <cell r="B1475" t="str">
            <v>Plano Oi Completo Mais</v>
          </cell>
          <cell r="C1475" t="str">
            <v>Template de desconto percentual FLAT Móvel - Conta Total - Varejo - Ganho Tributário Cross</v>
          </cell>
          <cell r="D1475">
            <v>0.82650000000000001</v>
          </cell>
          <cell r="E1475" t="str">
            <v>MKT-1-10140847201</v>
          </cell>
          <cell r="F1475" t="str">
            <v>0T3T_NAT17_PCS-4P9pi_FLAT_MÓVEL_GT_82.65%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O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AY5"/>
  <sheetViews>
    <sheetView tabSelected="1" workbookViewId="0">
      <selection activeCell="AP58" sqref="AP58"/>
    </sheetView>
  </sheetViews>
  <sheetFormatPr defaultRowHeight="15" x14ac:dyDescent="0.25"/>
  <cols>
    <col min="2" max="2" width="23.140625" bestFit="1" customWidth="1"/>
    <col min="3" max="3" width="15" bestFit="1" customWidth="1"/>
    <col min="4" max="4" width="17.140625" customWidth="1"/>
    <col min="5" max="5" width="17.42578125" customWidth="1"/>
    <col min="6" max="7" width="19.85546875" bestFit="1" customWidth="1"/>
    <col min="8" max="8" width="26" bestFit="1" customWidth="1"/>
    <col min="11" max="11" width="20.28515625" bestFit="1" customWidth="1"/>
    <col min="12" max="12" width="34.42578125" bestFit="1" customWidth="1"/>
    <col min="13" max="13" width="16.28515625" bestFit="1" customWidth="1"/>
    <col min="14" max="14" width="24.140625" bestFit="1" customWidth="1"/>
    <col min="16" max="16" width="28.85546875" bestFit="1" customWidth="1"/>
    <col min="17" max="17" width="24.28515625" bestFit="1" customWidth="1"/>
    <col min="18" max="18" width="19.5703125" customWidth="1"/>
    <col min="19" max="19" width="23.7109375" bestFit="1" customWidth="1"/>
    <col min="20" max="20" width="23.85546875" bestFit="1" customWidth="1"/>
    <col min="21" max="21" width="21.5703125" bestFit="1" customWidth="1"/>
    <col min="22" max="22" width="21.7109375" bestFit="1" customWidth="1"/>
    <col min="23" max="23" width="29.140625" bestFit="1" customWidth="1"/>
    <col min="24" max="24" width="29.28515625" bestFit="1" customWidth="1"/>
    <col min="25" max="25" width="20" bestFit="1" customWidth="1"/>
    <col min="26" max="26" width="30" bestFit="1" customWidth="1"/>
    <col min="27" max="27" width="28.5703125" bestFit="1" customWidth="1"/>
    <col min="28" max="28" width="32.5703125" bestFit="1" customWidth="1"/>
    <col min="29" max="29" width="30.28515625" bestFit="1" customWidth="1"/>
    <col min="30" max="30" width="47.5703125" bestFit="1" customWidth="1"/>
    <col min="31" max="31" width="16.7109375" customWidth="1"/>
    <col min="32" max="32" width="52.28515625" bestFit="1" customWidth="1"/>
    <col min="33" max="33" width="55.140625" bestFit="1" customWidth="1"/>
    <col min="34" max="34" width="52.28515625" bestFit="1" customWidth="1"/>
    <col min="35" max="35" width="36.7109375" bestFit="1" customWidth="1"/>
    <col min="36" max="36" width="47.5703125" bestFit="1" customWidth="1"/>
    <col min="37" max="37" width="55.140625" bestFit="1" customWidth="1"/>
    <col min="38" max="38" width="53.7109375" bestFit="1" customWidth="1"/>
    <col min="39" max="39" width="23.42578125" bestFit="1" customWidth="1"/>
    <col min="40" max="40" width="53.7109375" bestFit="1" customWidth="1"/>
    <col min="41" max="41" width="16" bestFit="1" customWidth="1"/>
    <col min="42" max="42" width="20.85546875" bestFit="1" customWidth="1"/>
    <col min="43" max="43" width="13.28515625" bestFit="1" customWidth="1"/>
    <col min="44" max="44" width="22.7109375" bestFit="1" customWidth="1"/>
    <col min="45" max="45" width="18.42578125" bestFit="1" customWidth="1"/>
    <col min="46" max="46" width="11.28515625" bestFit="1" customWidth="1"/>
    <col min="47" max="47" width="14.42578125" bestFit="1" customWidth="1"/>
    <col min="48" max="48" width="11.7109375" bestFit="1" customWidth="1"/>
    <col min="50" max="50" width="11.28515625" bestFit="1" customWidth="1"/>
    <col min="51" max="51" width="57" hidden="1" customWidth="1"/>
  </cols>
  <sheetData>
    <row r="3" spans="1:44" x14ac:dyDescent="0.25">
      <c r="A3" s="1" t="s">
        <v>0</v>
      </c>
      <c r="B3" s="2" t="s">
        <v>229</v>
      </c>
      <c r="C3" s="3" t="s">
        <v>230</v>
      </c>
      <c r="D3" s="3" t="s">
        <v>231</v>
      </c>
      <c r="E3" s="3" t="s">
        <v>232</v>
      </c>
      <c r="F3" s="3" t="s">
        <v>233</v>
      </c>
      <c r="G3" s="3" t="s">
        <v>234</v>
      </c>
      <c r="H3" s="3" t="s">
        <v>235</v>
      </c>
      <c r="I3" s="3" t="s">
        <v>236</v>
      </c>
      <c r="J3" s="3" t="s">
        <v>237</v>
      </c>
      <c r="K3" s="3" t="s">
        <v>238</v>
      </c>
      <c r="L3" s="4" t="s">
        <v>1</v>
      </c>
      <c r="M3" s="5" t="s">
        <v>239</v>
      </c>
      <c r="N3" s="5" t="s">
        <v>240</v>
      </c>
      <c r="O3" s="5" t="s">
        <v>241</v>
      </c>
      <c r="P3" s="5" t="s">
        <v>242</v>
      </c>
      <c r="Q3" s="5" t="s">
        <v>243</v>
      </c>
      <c r="R3" s="5" t="s">
        <v>244</v>
      </c>
      <c r="S3" s="5" t="s">
        <v>245</v>
      </c>
      <c r="T3" s="5" t="s">
        <v>246</v>
      </c>
      <c r="U3" s="5" t="s">
        <v>247</v>
      </c>
      <c r="V3" s="5" t="s">
        <v>248</v>
      </c>
      <c r="W3" s="5" t="s">
        <v>249</v>
      </c>
      <c r="X3" s="5" t="s">
        <v>250</v>
      </c>
      <c r="Y3" s="5" t="s">
        <v>251</v>
      </c>
      <c r="Z3" s="5" t="s">
        <v>252</v>
      </c>
      <c r="AA3" s="5" t="s">
        <v>253</v>
      </c>
      <c r="AB3" s="5" t="s">
        <v>254</v>
      </c>
      <c r="AC3" s="5" t="s">
        <v>255</v>
      </c>
      <c r="AD3" s="5" t="s">
        <v>256</v>
      </c>
      <c r="AE3" s="5" t="s">
        <v>257</v>
      </c>
      <c r="AF3" s="5" t="s">
        <v>258</v>
      </c>
      <c r="AG3" s="5" t="s">
        <v>259</v>
      </c>
      <c r="AH3" s="5" t="s">
        <v>260</v>
      </c>
      <c r="AI3" s="5" t="s">
        <v>261</v>
      </c>
      <c r="AJ3" s="5" t="s">
        <v>262</v>
      </c>
      <c r="AK3" s="5" t="s">
        <v>263</v>
      </c>
      <c r="AL3" s="5" t="s">
        <v>264</v>
      </c>
      <c r="AM3" s="5" t="s">
        <v>265</v>
      </c>
      <c r="AN3" s="5" t="s">
        <v>266</v>
      </c>
      <c r="AO3" s="5" t="s">
        <v>267</v>
      </c>
      <c r="AP3" s="5" t="s">
        <v>268</v>
      </c>
      <c r="AQ3" s="5" t="s">
        <v>269</v>
      </c>
      <c r="AR3" s="5" t="s">
        <v>270</v>
      </c>
    </row>
    <row r="4" spans="1:44" x14ac:dyDescent="0.25">
      <c r="A4" s="6" t="s">
        <v>2</v>
      </c>
      <c r="B4" s="7" t="s">
        <v>229</v>
      </c>
      <c r="C4" s="8" t="s">
        <v>271</v>
      </c>
      <c r="D4" s="8" t="s">
        <v>272</v>
      </c>
      <c r="E4" s="8" t="s">
        <v>273</v>
      </c>
      <c r="F4" s="8" t="s">
        <v>274</v>
      </c>
      <c r="G4" s="8" t="s">
        <v>274</v>
      </c>
      <c r="H4" s="8" t="s">
        <v>275</v>
      </c>
      <c r="I4" s="8" t="s">
        <v>276</v>
      </c>
      <c r="J4" s="8" t="s">
        <v>277</v>
      </c>
      <c r="K4" s="9" t="s">
        <v>278</v>
      </c>
      <c r="L4" s="10"/>
      <c r="M4" s="5" t="s">
        <v>279</v>
      </c>
      <c r="N4" s="5" t="s">
        <v>280</v>
      </c>
      <c r="O4" s="5" t="s">
        <v>281</v>
      </c>
      <c r="P4" s="5" t="s">
        <v>282</v>
      </c>
      <c r="Q4" s="5" t="s">
        <v>283</v>
      </c>
      <c r="R4" s="5" t="s">
        <v>284</v>
      </c>
      <c r="S4" s="5" t="s">
        <v>285</v>
      </c>
      <c r="T4" s="5" t="s">
        <v>286</v>
      </c>
      <c r="U4" s="5" t="s">
        <v>287</v>
      </c>
      <c r="V4" s="5" t="s">
        <v>288</v>
      </c>
      <c r="W4" s="5" t="s">
        <v>289</v>
      </c>
      <c r="X4" s="5" t="s">
        <v>290</v>
      </c>
      <c r="Y4" s="5" t="s">
        <v>291</v>
      </c>
      <c r="Z4" s="5" t="s">
        <v>292</v>
      </c>
      <c r="AA4" s="5" t="s">
        <v>293</v>
      </c>
      <c r="AB4" s="5" t="s">
        <v>294</v>
      </c>
      <c r="AC4" s="5" t="s">
        <v>295</v>
      </c>
      <c r="AD4" s="5" t="s">
        <v>296</v>
      </c>
      <c r="AE4" s="5" t="s">
        <v>297</v>
      </c>
      <c r="AF4" s="5" t="s">
        <v>298</v>
      </c>
      <c r="AG4" s="5" t="s">
        <v>299</v>
      </c>
      <c r="AH4" s="5" t="s">
        <v>300</v>
      </c>
      <c r="AI4" s="5" t="s">
        <v>301</v>
      </c>
      <c r="AJ4" s="5" t="s">
        <v>302</v>
      </c>
      <c r="AK4" s="5" t="s">
        <v>303</v>
      </c>
      <c r="AL4" s="5" t="s">
        <v>304</v>
      </c>
      <c r="AM4" s="5" t="s">
        <v>305</v>
      </c>
      <c r="AN4" s="5" t="s">
        <v>306</v>
      </c>
      <c r="AO4" s="5" t="s">
        <v>307</v>
      </c>
      <c r="AP4" s="5" t="s">
        <v>308</v>
      </c>
      <c r="AQ4" s="5" t="s">
        <v>309</v>
      </c>
      <c r="AR4" s="5" t="s">
        <v>310</v>
      </c>
    </row>
    <row r="5" spans="1:44" x14ac:dyDescent="0.25">
      <c r="B5" t="b">
        <v>1</v>
      </c>
    </row>
  </sheetData>
  <autoFilter ref="A4:AY189"/>
  <sortState ref="A6:AY181">
    <sortCondition ref="AY6"/>
    <sortCondition ref="AO6"/>
  </sortState>
  <dataValidations count="1">
    <dataValidation type="list" showInputMessage="1" error="Please select a valid value" promptTitle="select a value" sqref="L3:L4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tnImport_Click">
                <anchor moveWithCells="1" sizeWithCells="1">
                  <from>
                    <xdr:col>6</xdr:col>
                    <xdr:colOff>590550</xdr:colOff>
                    <xdr:row>0</xdr:row>
                    <xdr:rowOff>57150</xdr:rowOff>
                  </from>
                  <to>
                    <xdr:col>9</xdr:col>
                    <xdr:colOff>600075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BtnFidel">
              <controlPr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104775</xdr:rowOff>
                  </from>
                  <to>
                    <xdr:col>10</xdr:col>
                    <xdr:colOff>1057275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optBtnNoFidel">
              <controlPr defaultSize="0" autoFill="0" autoLine="0" autoPict="0">
                <anchor moveWithCells="1">
                  <from>
                    <xdr:col>11</xdr:col>
                    <xdr:colOff>400050</xdr:colOff>
                    <xdr:row>0</xdr:row>
                    <xdr:rowOff>95250</xdr:rowOff>
                  </from>
                  <to>
                    <xdr:col>11</xdr:col>
                    <xdr:colOff>1428750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W19"/>
  <sheetViews>
    <sheetView topLeftCell="LJ1" workbookViewId="0">
      <selection activeCell="LW14" sqref="LW14"/>
    </sheetView>
  </sheetViews>
  <sheetFormatPr defaultRowHeight="15" x14ac:dyDescent="0.25"/>
  <sheetData>
    <row r="1" spans="1:335" ht="30.75" customHeight="1" thickBot="1" x14ac:dyDescent="0.3">
      <c r="A1" s="11" t="s">
        <v>18</v>
      </c>
      <c r="B1" s="11" t="s">
        <v>19</v>
      </c>
      <c r="C1" s="11" t="s">
        <v>20</v>
      </c>
      <c r="D1" s="11" t="s">
        <v>21</v>
      </c>
      <c r="E1" s="250" t="s">
        <v>22</v>
      </c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51"/>
      <c r="R1" s="251"/>
      <c r="S1" s="250" t="s">
        <v>23</v>
      </c>
      <c r="T1" s="251"/>
      <c r="U1" s="251"/>
      <c r="V1" s="251"/>
      <c r="W1" s="251"/>
      <c r="X1" s="251"/>
      <c r="Y1" s="251"/>
      <c r="Z1" s="251"/>
      <c r="AA1" s="251"/>
      <c r="AB1" s="251"/>
      <c r="AC1" s="251"/>
      <c r="AD1" s="251"/>
      <c r="AE1" s="251"/>
      <c r="AF1" s="251"/>
      <c r="AG1" s="251"/>
      <c r="AH1" s="256"/>
      <c r="AI1" s="257" t="s">
        <v>24</v>
      </c>
      <c r="AJ1" s="257"/>
      <c r="AK1" s="257"/>
      <c r="AL1" s="234" t="s">
        <v>25</v>
      </c>
      <c r="AM1" s="234"/>
      <c r="AN1" s="234" t="s">
        <v>26</v>
      </c>
      <c r="AO1" s="234"/>
      <c r="AP1" s="234"/>
      <c r="AQ1" s="234"/>
      <c r="AR1" s="234"/>
      <c r="AS1" s="234"/>
      <c r="AT1" s="234"/>
      <c r="AU1" s="234" t="s">
        <v>27</v>
      </c>
      <c r="AV1" s="234"/>
      <c r="AW1" s="234"/>
      <c r="AX1" s="250" t="s">
        <v>28</v>
      </c>
      <c r="AY1" s="251"/>
      <c r="AZ1" s="252"/>
      <c r="BA1" s="253" t="s">
        <v>29</v>
      </c>
      <c r="BB1" s="254"/>
      <c r="BC1" s="254"/>
      <c r="BD1" s="255"/>
      <c r="BE1" s="245" t="str">
        <f>"Preço Fixo
"&amp;DOLLAR([2]ARBOR!C2,2)</f>
        <v>Preço Fixo
$75.84</v>
      </c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53" t="s">
        <v>30</v>
      </c>
      <c r="BS1" s="254"/>
      <c r="BT1" s="254"/>
      <c r="BU1" s="255"/>
      <c r="BV1" s="242" t="str">
        <f>"Produtos - Assinatura Velox 300Kb (PCS-30874g)
"&amp;DOLLAR(VLOOKUP("PCS-30874g",[2]ARBOR!$A:$C,3,0),2)</f>
        <v>Produtos - Assinatura Velox 300Kb (PCS-30874g)
$96.93</v>
      </c>
      <c r="BW1" s="243"/>
      <c r="BX1" s="243"/>
      <c r="BY1" s="244"/>
      <c r="BZ1" s="242" t="str">
        <f>"Produtos - Assinatura Velox 600Kb (PCS-30577g)
"&amp;DOLLAR(VLOOKUP("PCS-30577g",[2]ARBOR!$A:$C,3,0),2)</f>
        <v>Produtos - Assinatura Velox 600Kb (PCS-30577g)
$96.93</v>
      </c>
      <c r="CA1" s="243"/>
      <c r="CB1" s="243"/>
      <c r="CC1" s="244"/>
      <c r="CD1" s="242" t="str">
        <f>"Produtos - Assinatura Velox 1Mb (PCS-30604g)
"&amp;DOLLAR(VLOOKUP("PCS-30604g",[2]ARBOR!$A:$C,3,0),2)</f>
        <v>Produtos - Assinatura Velox 1Mb (PCS-30604g)
$96.93</v>
      </c>
      <c r="CE1" s="243"/>
      <c r="CF1" s="243"/>
      <c r="CG1" s="244"/>
      <c r="CH1" s="242" t="str">
        <f>"Produtos - Assinatura Velox 2Mb (PCS-30631g)
"&amp;DOLLAR(VLOOKUP("PCS-30631g",[2]ARBOR!$A:$C,3,0),2)</f>
        <v>Produtos - Assinatura Velox 2Mb (PCS-30631g)
$98.26</v>
      </c>
      <c r="CI1" s="243"/>
      <c r="CJ1" s="243"/>
      <c r="CK1" s="244"/>
      <c r="CL1" s="242" t="str">
        <f>"Produtos - Assinatura Velox 5Mb (PCS-30658g)
"&amp;DOLLAR(VLOOKUP("PCS-30658g",[2]ARBOR!$A:$C,3,0),2)</f>
        <v>Produtos - Assinatura Velox 5Mb (PCS-30658g)
$112.31</v>
      </c>
      <c r="CM1" s="243"/>
      <c r="CN1" s="243"/>
      <c r="CO1" s="244"/>
      <c r="CP1" s="242" t="str">
        <f>"Produtos - Assinatura Velox 10Mb (PCS-30685g)
"&amp;DOLLAR(VLOOKUP("PCS-30685g",[2]ARBOR!$A:$C,3,0),2)</f>
        <v>Produtos - Assinatura Velox 10Mb (PCS-30685g)
$126.34</v>
      </c>
      <c r="CQ1" s="243"/>
      <c r="CR1" s="243"/>
      <c r="CS1" s="244"/>
      <c r="CT1" s="242" t="str">
        <f>"Produtos - Assinatura Velox 15Mb (PCS-30712g)
"&amp;DOLLAR(VLOOKUP("PCS-30712g",[2]ARBOR!$A:$C,3,0),2)</f>
        <v>Produtos - Assinatura Velox 15Mb (PCS-30712g)
$140.38</v>
      </c>
      <c r="CU1" s="243"/>
      <c r="CV1" s="243"/>
      <c r="CW1" s="244"/>
      <c r="CX1" s="242" t="str">
        <f>"Produtos - Assinatura Velox 20Mb (PCS-30739g)
"&amp;DOLLAR(VLOOKUP("PCS-30739g",[2]ARBOR!$A:$C,3,0),2)</f>
        <v>Produtos - Assinatura Velox 20Mb (PCS-30739g)
$210.58</v>
      </c>
      <c r="CY1" s="243"/>
      <c r="CZ1" s="243"/>
      <c r="DA1" s="243"/>
      <c r="DB1" s="243"/>
      <c r="DC1" s="243"/>
      <c r="DD1" s="243"/>
      <c r="DE1" s="244"/>
      <c r="DF1" s="242" t="str">
        <f>"Produtos - Assinatura Velox 25Mb (PCS-30766g)
"&amp;DOLLAR(VLOOKUP("PCS-30766g",[2]ARBOR!$A:$C,3,0),2)</f>
        <v>Produtos - Assinatura Velox 25Mb (PCS-30766g)
$280.77</v>
      </c>
      <c r="DG1" s="243"/>
      <c r="DH1" s="243"/>
      <c r="DI1" s="243"/>
      <c r="DJ1" s="243"/>
      <c r="DK1" s="243"/>
      <c r="DL1" s="243"/>
      <c r="DM1" s="244"/>
      <c r="DN1" s="242" t="str">
        <f>"Produtos - Assinatura Velox 30Mb (PCS-30793g)
"&amp;DOLLAR(VLOOKUP("PCS-30793g",[2]ARBOR!$A:$C,3,0),2)</f>
        <v>Produtos - Assinatura Velox 30Mb (PCS-30793g)
$280.77</v>
      </c>
      <c r="DO1" s="243"/>
      <c r="DP1" s="243"/>
      <c r="DQ1" s="243"/>
      <c r="DR1" s="243"/>
      <c r="DS1" s="243"/>
      <c r="DT1" s="243"/>
      <c r="DU1" s="244"/>
      <c r="DV1" s="245" t="str">
        <f>"Produtos - Assinatura Velox 35Mb (PCS-30820g)
"&amp;DOLLAR(VLOOKUP("PCS-30820g",[2]ARBOR!$A:$C,3,0),2)</f>
        <v>Produtos - Assinatura Velox 35Mb (PCS-30820g)
$280.77</v>
      </c>
      <c r="DW1" s="246"/>
      <c r="DX1" s="246"/>
      <c r="DY1" s="246"/>
      <c r="DZ1" s="246"/>
      <c r="EA1" s="246"/>
      <c r="EB1" s="246"/>
      <c r="EC1" s="247"/>
      <c r="ED1" s="245" t="str">
        <f>"Oi Internet Móvel Substituta 10GB (PCS-21448p2)
"&amp;DOLLAR(VLOOKUP("PCS-21448p2",[2]ARBOR!$A:$C,3,0),2)</f>
        <v>Oi Internet Móvel Substituta 10GB (PCS-21448p2)
$127.90</v>
      </c>
      <c r="EE1" s="246"/>
      <c r="EF1" s="246"/>
      <c r="EG1" s="248" t="str">
        <f>"Benefício SVA Velox (Antivírus + Oi Cloud + Educa)
"&amp;DOLLAR(VLOOKUP("SVA",[2]ARBOR!$A:$C,3,0),2)</f>
        <v>Benefício SVA Velox (Antivírus + Oi Cloud + Educa)
$21.43</v>
      </c>
      <c r="EH1" s="249"/>
      <c r="EI1" s="249"/>
      <c r="EJ1" s="249"/>
      <c r="EK1" s="249"/>
      <c r="EL1" s="249"/>
      <c r="EM1" s="249"/>
      <c r="EN1" s="239" t="str">
        <f>"Produtos - Oi TV Start HD (PCS-OzTL40)
"&amp;DOLLAR(VLOOKUP("PCS-OzTL40",[2]ARBOR!$A:$C,3,0),2)</f>
        <v>Produtos - Oi TV Start HD (PCS-OzTL40)
$99.00</v>
      </c>
      <c r="EO1" s="240"/>
      <c r="EP1" s="240"/>
      <c r="EQ1" s="239" t="str">
        <f>"Produtos - Oi TV Mix HD (PCS-OzTL41)
"&amp;DOLLAR(VLOOKUP("PCS-OzTL41",[2]ARBOR!$A:$C,3,0),2)</f>
        <v>Produtos - Oi TV Mix HD (PCS-OzTL41)
$121.03</v>
      </c>
      <c r="ER1" s="240"/>
      <c r="ES1" s="240"/>
      <c r="ET1" s="239" t="str">
        <f>"Produtos - Oi TV Mix HBO Max HD (PCS-OzTL44)
"&amp;DOLLAR(VLOOKUP("PCS-OzTL44",[2]ARBOR!$A:$C,3,0),2)</f>
        <v>Produtos - Oi TV Mix HBO Max HD (PCS-OzTL44)
$192.61</v>
      </c>
      <c r="EU1" s="240"/>
      <c r="EV1" s="240"/>
      <c r="EW1" s="239" t="str">
        <f>"Produtos - Oi TV Mix Telecine HD (PCS-OzTL43)
"&amp;DOLLAR(VLOOKUP("PCS-OzTL43",[2]ARBOR!$A:$C,3,0),2)</f>
        <v>Produtos - Oi TV Mix Telecine HD (PCS-OzTL43)
$203.63</v>
      </c>
      <c r="EX1" s="240"/>
      <c r="EY1" s="240"/>
      <c r="EZ1" s="239" t="str">
        <f>"Produtos - Oi TV Mix Cinema HD (PCS-OzTL45)
"&amp;DOLLAR(VLOOKUP("PCS-OzTL45",[2]ARBOR!$A:$C,3,0),2)</f>
        <v>Produtos - Oi TV Mix Cinema HD (PCS-OzTL45)
$209.13</v>
      </c>
      <c r="FA1" s="240"/>
      <c r="FB1" s="240"/>
      <c r="FC1" s="239" t="str">
        <f>"Produtos - Oi TV Mix HD DVR (PCS-OzTL741)
"&amp;DOLLAR(VLOOKUP("PCS-OzTL741",[2]ARBOR!$A:$C,3,0),2)</f>
        <v>Produtos - Oi TV Mix HD DVR (PCS-OzTL741)
$176.09</v>
      </c>
      <c r="FD1" s="240"/>
      <c r="FE1" s="240"/>
      <c r="FF1" s="239" t="str">
        <f>"Produtos - Oi TV Mix HBOMax HD DVR (PCS-OzTL744)
"&amp;DOLLAR(VLOOKUP("PCS-OzTL744",[2]ARBOR!$A:$C,3,0),2)</f>
        <v>Produtos - Oi TV Mix HBOMax HD DVR (PCS-OzTL744)
$209.13</v>
      </c>
      <c r="FG1" s="240"/>
      <c r="FH1" s="240"/>
      <c r="FI1" s="239" t="str">
        <f>"Produtos - Oi TV Mix Telecine HD DVR (PCS-OzTL743)
"&amp;DOLLAR(VLOOKUP("PCS-OzTL743",[2]ARBOR!$A:$C,3,0),2)</f>
        <v>Produtos - Oi TV Mix Telecine HD DVR (PCS-OzTL743)
$220.14</v>
      </c>
      <c r="FJ1" s="240"/>
      <c r="FK1" s="240"/>
      <c r="FL1" s="239" t="str">
        <f>"Produtos - Oi TV Mix Cinema HD DVR (PCS-OzTL745)
"&amp;DOLLAR(VLOOKUP("PCS-OzTL745",[2]ARBOR!$A:$C,3,0),2)</f>
        <v>Produtos - Oi TV Mix Cinema HD DVR (PCS-OzTL745)
$253.18</v>
      </c>
      <c r="FM1" s="240"/>
      <c r="FN1" s="240"/>
      <c r="FO1" s="239" t="str">
        <f>"Produtos - Oi TV Total HD (PCS-OzTL42)
"&amp;DOLLAR(VLOOKUP("PCS-OzTL42",[2]ARBOR!$A:$C,3,0),2)</f>
        <v>Produtos - Oi TV Total HD (PCS-OzTL42)
$165.08</v>
      </c>
      <c r="FP1" s="240"/>
      <c r="FQ1" s="240"/>
      <c r="FR1" s="239" t="str">
        <f>"Produtos - Oi TV Total HBO Max HD (PCS-OzTL47)
"&amp;DOLLAR(VLOOKUP("PCS-OzTL47",[2]ARBOR!$A:$C,3,0),2)</f>
        <v>Produtos - Oi TV Total HBO Max HD (PCS-OzTL47)
$203.63</v>
      </c>
      <c r="FS1" s="240"/>
      <c r="FT1" s="240"/>
      <c r="FU1" s="239" t="str">
        <f>"Produtos - Oi TV Total Telecine HD (PCS-OzTL46)
"&amp;DOLLAR(VLOOKUP("PCS-OzTL46",[2]ARBOR!$A:$C,3,0),2)</f>
        <v>Produtos - Oi TV Total Telecine HD (PCS-OzTL46)
$214.64</v>
      </c>
      <c r="FV1" s="240"/>
      <c r="FW1" s="240"/>
      <c r="FX1" s="239" t="str">
        <f>"Produtos - Oi TV Total Cinema HD (PCS-OzTL48)
"&amp;DOLLAR(VLOOKUP("PCS-OzTL48",[2]ARBOR!$A:$C,3,0),2)</f>
        <v>Produtos - Oi TV Total Cinema HD (PCS-OzTL48)
$253.18</v>
      </c>
      <c r="FY1" s="240"/>
      <c r="FZ1" s="240"/>
      <c r="GA1" s="239" t="str">
        <f>"Produtos - Oi TV Total HD DVR (PCS-OzTL742)
"&amp;DOLLAR(VLOOKUP("PCS-OzTL742",[2]ARBOR!$A:$C,3,0),2)</f>
        <v>Produtos - Oi TV Total HD DVR (PCS-OzTL742)
$220.14</v>
      </c>
      <c r="GB1" s="240"/>
      <c r="GC1" s="240"/>
      <c r="GD1" s="239" t="str">
        <f>"Produtos - Oi TV Total HBOMax HD DVR (PCS-OzTL747)
"&amp;DOLLAR(VLOOKUP("PCS-OzTL747",[2]ARBOR!$A:$C,3,0),2)</f>
        <v>Produtos - Oi TV Total HBOMax HD DVR (PCS-OzTL747)
$258.69</v>
      </c>
      <c r="GE1" s="240"/>
      <c r="GF1" s="240"/>
      <c r="GG1" s="239" t="str">
        <f>"Produtos - Oi TV Total Telecine HD DVR (PCS-OzTL746)
"&amp;DOLLAR(VLOOKUP("PCS-OzTL746",[2]ARBOR!$A:$C,3,0),2)</f>
        <v>Produtos - Oi TV Total Telecine HD DVR (PCS-OzTL746)
$269.70</v>
      </c>
      <c r="GH1" s="240"/>
      <c r="GI1" s="240"/>
      <c r="GJ1" s="239" t="str">
        <f>"Produtos - Oi TV Total Cinema HD DVR (PCS-OzTL748)
"&amp;DOLLAR(VLOOKUP("PCS-OzTL748",[2]ARBOR!$A:$C,3,0),2)</f>
        <v>Produtos - Oi TV Total Cinema HD DVR (PCS-OzTL748)
$308.25</v>
      </c>
      <c r="GK1" s="240"/>
      <c r="GL1" s="240"/>
      <c r="GM1" s="239" t="str">
        <f>"Produtos - Oi TV Combate (PCS-OzTL34)
"&amp;DOLLAR(VLOOKUP("PCS-OzTL34",[2]ARBOR!$A:$C,3,0),2)</f>
        <v>Produtos - Oi TV Combate (PCS-OzTL34)
$110.13</v>
      </c>
      <c r="GN1" s="240"/>
      <c r="GO1" s="241"/>
      <c r="GP1" s="239" t="str">
        <f>"Produtos - Oi TV Sexy Hot (PCS-OzTL31)
"&amp;DOLLAR(VLOOKUP("PCS-OzTL31",[2]ARBOR!$A:$C,3,0),2)</f>
        <v>Produtos - Oi TV Sexy Hot (PCS-OzTL31)
$21.91</v>
      </c>
      <c r="GQ1" s="240"/>
      <c r="GR1" s="241"/>
      <c r="GS1" s="239" t="str">
        <f>"Produtos - Oi TV Playboy (PCS-OzTL32)
"&amp;DOLLAR(VLOOKUP("PCS-OzTL32",[2]ARBOR!$A:$C,3,0),2)</f>
        <v>Produtos - Oi TV Playboy (PCS-OzTL32)
$21.91</v>
      </c>
      <c r="GT1" s="240"/>
      <c r="GU1" s="241"/>
      <c r="GV1" s="239" t="str">
        <f>"Produtos - Oi TV Sexy Hot + Playboy (PCS-OzTL33)
"&amp;DOLLAR(VLOOKUP("PCS-OzTL33",[2]ARBOR!$A:$C,3,0),2)</f>
        <v>Produtos - Oi TV Sexy Hot + Playboy (PCS-OzTL33)
$32.92</v>
      </c>
      <c r="GW1" s="240"/>
      <c r="GX1" s="241"/>
      <c r="GY1" s="239" t="str">
        <f>"Produtos - Oi TV SexPrivê (PCS-OzTL503)
"&amp;DOLLAR(VLOOKUP("PCS-OzTL503",[2]ARBOR!$A:$C,3,0),2)</f>
        <v>Produtos - Oi TV SexPrivê (PCS-OzTL503)
$16.40</v>
      </c>
      <c r="GZ1" s="240"/>
      <c r="HA1" s="241"/>
      <c r="HB1" s="239" t="str">
        <f>"Produtos - Oi TV Étnicos (PCS-OzTL500)
"&amp;DOLLAR(VLOOKUP("PCS-OzTL500",[2]ARBOR!$A:$C,3,0),2)</f>
        <v>Produtos - Oi TV Étnicos (PCS-OzTL500)
$11.01</v>
      </c>
      <c r="HC1" s="240"/>
      <c r="HD1" s="241"/>
      <c r="HE1" s="239" t="str">
        <f>"Produtos - Coleção OI (PCS-OzTL50)
"&amp;DOLLAR(VLOOKUP("PCS-OzTL50",[2]ARBOR!$A:$C,3,0),2)</f>
        <v>Produtos - Coleção OI (PCS-OzTL50)
$0.00</v>
      </c>
      <c r="HF1" s="240"/>
      <c r="HG1" s="241"/>
      <c r="HH1" s="239" t="str">
        <f>"Produtos - Fox Premium (PCS-OzTL51)
"&amp;DOLLAR(VLOOKUP("PCS-OzTL51",[2]ARBOR!$A:$C,3,0),2)</f>
        <v>Produtos - Fox Premium (PCS-OzTL51)
$24.90</v>
      </c>
      <c r="HI1" s="240"/>
      <c r="HJ1" s="241"/>
      <c r="HK1" s="239" t="str">
        <f>"Produtos - PenVr (PCS-OzTL52)
"&amp;DOLLAR(VLOOKUP("PCS-OzTL52",[2]ARBOR!$A:$C,3,0),2)</f>
        <v>Produtos - PenVr (PCS-OzTL52)
$10.00</v>
      </c>
      <c r="HL1" s="240"/>
      <c r="HM1" s="241"/>
      <c r="HN1" s="239" t="str">
        <f>"Produtos - PFC Completo (PCS-OzTL53)
"&amp;DOLLAR(VLOOKUP("PCS-OzTL53",[2]ARBOR!$A:$C,3,0),2)</f>
        <v>Produtos - PFC Completo (PCS-OzTL53)
$104.90</v>
      </c>
      <c r="HO1" s="240"/>
      <c r="HP1" s="241"/>
      <c r="HQ1" s="239" t="str">
        <f>"Produtos - PFC Básico (PCS-OzTL54)
"&amp;DOLLAR(VLOOKUP("PCS-OzTL54",[2]ARBOR!$A:$C,3,0),2)</f>
        <v>Produtos - PFC Básico (PCS-OzTL54)
$64.90</v>
      </c>
      <c r="HR1" s="240"/>
      <c r="HS1" s="241"/>
      <c r="HT1" s="239" t="str">
        <f>"Produtos - Oi TV Ponto Adicional (PCS-OzTL99)
"&amp;DOLLAR(VLOOKUP("PCS-OzTL99",[2]ARBOR!$A:$C,3,0),2)</f>
        <v>Produtos - Oi TV Ponto Adicional (PCS-OzTL99)
$29.90</v>
      </c>
      <c r="HU1" s="240"/>
      <c r="HV1" s="240"/>
      <c r="HW1" s="240"/>
      <c r="HX1" s="241"/>
      <c r="HY1" s="237" t="s">
        <v>31</v>
      </c>
      <c r="HZ1" s="238"/>
      <c r="IA1" s="238"/>
      <c r="IB1" s="238"/>
      <c r="IC1" s="238"/>
      <c r="ID1" s="238"/>
      <c r="IE1" s="238"/>
      <c r="IF1" s="238"/>
      <c r="IG1" s="237" t="s">
        <v>32</v>
      </c>
      <c r="IH1" s="238"/>
      <c r="II1" s="238"/>
      <c r="IJ1" s="238"/>
      <c r="IK1" s="238"/>
      <c r="IL1" s="238"/>
      <c r="IM1" s="235" t="s">
        <v>33</v>
      </c>
      <c r="IN1" s="236"/>
      <c r="IO1" s="232" t="str">
        <f>"Oi Internet pra Celular 300MB (PCS-813566)
"&amp;DOLLAR(VLOOKUP("PCS-813566",[2]ARBOR!$A:$C,3,0),2)</f>
        <v>Oi Internet pra Celular 300MB (PCS-813566)
$18.92</v>
      </c>
      <c r="IP1" s="230"/>
      <c r="IQ1" s="230"/>
      <c r="IR1" s="230" t="str">
        <f>"SVA Dados 300MB (Bancas)
" &amp;DOLLAR(VLOOKUP("sva_bancas",[2]ARBOR!$A:$C,3,0),2)</f>
        <v>SVA Dados 300MB (Bancas)
$6.00</v>
      </c>
      <c r="IS1" s="230"/>
      <c r="IT1" s="231"/>
      <c r="IU1" s="232" t="str">
        <f>"Oi Internet pra Celular 500MB (PCS-813564)
"&amp;DOLLAR(VLOOKUP("PCS-813564",[2]ARBOR!$A:$C,3,0),2)</f>
        <v>Oi Internet pra Celular 500MB (PCS-813564)
$28.44</v>
      </c>
      <c r="IV1" s="230"/>
      <c r="IW1" s="230"/>
      <c r="IX1" s="230" t="str">
        <f>"SVA Dados 500MB (Bancas - Livros Narrados)
" &amp;DOLLAR(VLOOKUP("sva_livros",[2]ARBOR!$A:$C,3,0),2)</f>
        <v>SVA Dados 500MB (Bancas - Livros Narrados)
$14.00</v>
      </c>
      <c r="IY1" s="230"/>
      <c r="IZ1" s="231"/>
      <c r="JA1" s="232" t="str">
        <f>"Oi Internet pra Celular 1GB (PCS-10357)
"&amp;DOLLAR(VLOOKUP("PCS-10357",[2]ARBOR!$A:$C,3,0),2)</f>
        <v>Oi Internet pra Celular 1GB (PCS-10357)
$65.68</v>
      </c>
      <c r="JB1" s="230"/>
      <c r="JC1" s="230"/>
      <c r="JD1" s="230" t="str">
        <f>"SVA Dados 1GB (Bancas - Livros Narrados)
" &amp;DOLLAR(VLOOKUP("sva_livros",[2]ARBOR!$A:$C,3,0),2)</f>
        <v>SVA Dados 1GB (Bancas - Livros Narrados)
$14.00</v>
      </c>
      <c r="JE1" s="230"/>
      <c r="JF1" s="231"/>
      <c r="JG1" s="232" t="str">
        <f>"Oi Internet pra Celular 2GB (PCS-813565)
"&amp;DOLLAR(VLOOKUP("PCS-813565",[2]ARBOR!$A:$C,3,0),2)</f>
        <v>Oi Internet pra Celular 2GB (PCS-813565)
$37.95</v>
      </c>
      <c r="JH1" s="230"/>
      <c r="JI1" s="230"/>
      <c r="JJ1" s="230" t="str">
        <f>"SVA Dados 2GB (Bancas - Livros Narrados)
" &amp;DOLLAR(VLOOKUP("sva_livros",[2]ARBOR!$A:$C,3,0),2)</f>
        <v>SVA Dados 2GB (Bancas - Livros Narrados)
$14.00</v>
      </c>
      <c r="JK1" s="230"/>
      <c r="JL1" s="231"/>
      <c r="JM1" s="232" t="str">
        <f>"Oi Internet pra Celular 3GB (PCS-7171B)
"&amp;DOLLAR(VLOOKUP("PCS-7171B",[2]ARBOR!$A:$C,3,0),2)</f>
        <v>Oi Internet pra Celular 3GB (PCS-7171B)
$98.15</v>
      </c>
      <c r="JN1" s="230"/>
      <c r="JO1" s="230"/>
      <c r="JP1" s="230" t="str">
        <f>"SVA Dados 3GB (Bancas - Livros Narrados)
" &amp;DOLLAR(VLOOKUP("sva_livros",[2]ARBOR!$A:$C,3,0),2)</f>
        <v>SVA Dados 3GB (Bancas - Livros Narrados)
$14.00</v>
      </c>
      <c r="JQ1" s="230"/>
      <c r="JR1" s="231"/>
      <c r="JS1" s="232" t="str">
        <f>"Oi Internet pra Celular 5GB (PCS-51793o08)
"&amp;DOLLAR(VLOOKUP("PCS-51793o08",[2]ARBOR!$A:$C,3,0),2)</f>
        <v>Oi Internet pra Celular 5GB (PCS-51793o08)
$142.15</v>
      </c>
      <c r="JT1" s="230"/>
      <c r="JU1" s="230"/>
      <c r="JV1" s="230" t="str">
        <f>"SVA Dados 5GB (Bancas - Livros Narrados - Video Curtas)
" &amp;DOLLAR(VLOOKUP("sva_curtas",[2]ARBOR!$A:$C,3,0),2)</f>
        <v>SVA Dados 5GB (Bancas - Livros Narrados - Video Curtas)
$20.35</v>
      </c>
      <c r="JW1" s="230"/>
      <c r="JX1" s="231"/>
      <c r="JY1" s="232" t="str">
        <f>"Oi Internet pra Celular 10GB (PCS-7171A)
"&amp;DOLLAR(VLOOKUP("PCS-7171A",[2]ARBOR!$A:$C,3,0),2)</f>
        <v>Oi Internet pra Celular 10GB (PCS-7171A)
$196.31</v>
      </c>
      <c r="JZ1" s="230"/>
      <c r="KA1" s="230"/>
      <c r="KB1" s="230" t="str">
        <f>"SVA Dados 10GB (Bancas - Livros Narrados - Video Curtas)
" &amp;DOLLAR(VLOOKUP("sva_curtas",[2]ARBOR!$A:$C,3,0),2)</f>
        <v>SVA Dados 10GB (Bancas - Livros Narrados - Video Curtas)
$20.35</v>
      </c>
      <c r="KC1" s="230"/>
      <c r="KD1" s="231"/>
      <c r="KE1" s="233" t="s">
        <v>34</v>
      </c>
      <c r="KF1" s="233"/>
      <c r="KG1" s="234" t="s">
        <v>35</v>
      </c>
      <c r="KH1" s="234"/>
      <c r="KI1" s="234"/>
      <c r="KJ1" s="234"/>
      <c r="KK1" s="234"/>
      <c r="KL1" s="234"/>
      <c r="KM1" s="234"/>
      <c r="KN1" s="222" t="s">
        <v>36</v>
      </c>
      <c r="KO1" s="223"/>
      <c r="KP1" s="223"/>
      <c r="KQ1" s="222" t="s">
        <v>37</v>
      </c>
      <c r="KR1" s="223"/>
      <c r="KS1" s="223"/>
      <c r="KT1" s="12" t="s">
        <v>38</v>
      </c>
      <c r="KU1" s="224" t="s">
        <v>39</v>
      </c>
      <c r="KV1" s="225"/>
      <c r="KW1" s="225"/>
      <c r="KX1" s="225"/>
      <c r="KY1" s="225"/>
      <c r="KZ1" s="225"/>
      <c r="LA1" s="225"/>
      <c r="LB1" s="225"/>
      <c r="LC1" s="225"/>
      <c r="LD1" s="225"/>
      <c r="LE1" s="225"/>
      <c r="LF1" s="225"/>
      <c r="LG1" s="225"/>
      <c r="LH1" s="225"/>
      <c r="LI1" s="225"/>
      <c r="LJ1" s="225"/>
      <c r="LK1" s="226"/>
      <c r="LL1" s="227" t="s">
        <v>40</v>
      </c>
      <c r="LM1" s="228"/>
      <c r="LN1" s="228"/>
      <c r="LO1" s="228"/>
      <c r="LP1" s="228"/>
      <c r="LQ1" s="228"/>
      <c r="LR1" s="228"/>
      <c r="LS1" s="228"/>
      <c r="LT1" s="228"/>
      <c r="LU1" s="229"/>
      <c r="LV1" s="48"/>
      <c r="LW1" s="48"/>
    </row>
    <row r="2" spans="1:335" ht="157.5" customHeight="1" thickBot="1" x14ac:dyDescent="0.3">
      <c r="A2" s="13" t="s">
        <v>41</v>
      </c>
      <c r="B2" s="13" t="s">
        <v>42</v>
      </c>
      <c r="C2" s="13" t="s">
        <v>43</v>
      </c>
      <c r="D2" s="13" t="s">
        <v>44</v>
      </c>
      <c r="E2" s="14" t="s">
        <v>45</v>
      </c>
      <c r="F2" s="14" t="s">
        <v>46</v>
      </c>
      <c r="G2" s="14" t="s">
        <v>47</v>
      </c>
      <c r="H2" s="15" t="s">
        <v>48</v>
      </c>
      <c r="I2" s="14" t="s">
        <v>49</v>
      </c>
      <c r="J2" s="14" t="s">
        <v>50</v>
      </c>
      <c r="K2" s="14" t="s">
        <v>51</v>
      </c>
      <c r="L2" s="14" t="s">
        <v>52</v>
      </c>
      <c r="M2" s="14" t="s">
        <v>53</v>
      </c>
      <c r="N2" s="14" t="s">
        <v>54</v>
      </c>
      <c r="O2" s="14" t="s">
        <v>55</v>
      </c>
      <c r="P2" s="15" t="s">
        <v>56</v>
      </c>
      <c r="Q2" s="16"/>
      <c r="R2" s="16"/>
      <c r="S2" s="17" t="s">
        <v>57</v>
      </c>
      <c r="T2" s="17" t="s">
        <v>58</v>
      </c>
      <c r="U2" s="17" t="s">
        <v>59</v>
      </c>
      <c r="V2" s="17" t="s">
        <v>60</v>
      </c>
      <c r="W2" s="17" t="s">
        <v>61</v>
      </c>
      <c r="X2" s="17" t="s">
        <v>62</v>
      </c>
      <c r="Y2" s="18" t="s">
        <v>63</v>
      </c>
      <c r="Z2" s="17" t="s">
        <v>64</v>
      </c>
      <c r="AA2" s="17" t="s">
        <v>65</v>
      </c>
      <c r="AB2" s="17" t="s">
        <v>66</v>
      </c>
      <c r="AC2" s="17" t="s">
        <v>67</v>
      </c>
      <c r="AD2" s="17" t="s">
        <v>68</v>
      </c>
      <c r="AE2" s="17" t="s">
        <v>69</v>
      </c>
      <c r="AF2" s="17" t="s">
        <v>70</v>
      </c>
      <c r="AG2" s="19"/>
      <c r="AH2" s="19"/>
      <c r="AI2" s="20" t="s">
        <v>71</v>
      </c>
      <c r="AJ2" s="13" t="s">
        <v>72</v>
      </c>
      <c r="AK2" s="13" t="s">
        <v>73</v>
      </c>
      <c r="AL2" s="13" t="s">
        <v>74</v>
      </c>
      <c r="AM2" s="13" t="s">
        <v>75</v>
      </c>
      <c r="AN2" s="20" t="s">
        <v>76</v>
      </c>
      <c r="AO2" s="20" t="s">
        <v>77</v>
      </c>
      <c r="AP2" s="20" t="s">
        <v>78</v>
      </c>
      <c r="AQ2" s="20" t="s">
        <v>79</v>
      </c>
      <c r="AR2" s="20" t="s">
        <v>80</v>
      </c>
      <c r="AS2" s="20" t="s">
        <v>81</v>
      </c>
      <c r="AT2" s="20" t="s">
        <v>82</v>
      </c>
      <c r="AU2" s="21" t="s">
        <v>83</v>
      </c>
      <c r="AV2" s="22" t="s">
        <v>84</v>
      </c>
      <c r="AW2" s="22" t="s">
        <v>85</v>
      </c>
      <c r="AX2" s="20" t="s">
        <v>86</v>
      </c>
      <c r="AY2" s="13" t="s">
        <v>87</v>
      </c>
      <c r="AZ2" s="20" t="s">
        <v>88</v>
      </c>
      <c r="BA2" s="23" t="s">
        <v>89</v>
      </c>
      <c r="BB2" s="20" t="s">
        <v>90</v>
      </c>
      <c r="BC2" s="24" t="s">
        <v>91</v>
      </c>
      <c r="BD2" s="25" t="s">
        <v>92</v>
      </c>
      <c r="BE2" s="24" t="s">
        <v>93</v>
      </c>
      <c r="BF2" s="26" t="s">
        <v>94</v>
      </c>
      <c r="BG2" s="24" t="s">
        <v>95</v>
      </c>
      <c r="BH2" s="26" t="s">
        <v>96</v>
      </c>
      <c r="BI2" s="20" t="s">
        <v>90</v>
      </c>
      <c r="BJ2" s="24" t="s">
        <v>97</v>
      </c>
      <c r="BK2" s="26" t="s">
        <v>98</v>
      </c>
      <c r="BL2" s="24" t="s">
        <v>99</v>
      </c>
      <c r="BM2" s="26" t="s">
        <v>100</v>
      </c>
      <c r="BN2" s="27" t="s">
        <v>101</v>
      </c>
      <c r="BO2" s="20" t="s">
        <v>90</v>
      </c>
      <c r="BP2" s="26" t="s">
        <v>102</v>
      </c>
      <c r="BQ2" s="20" t="s">
        <v>90</v>
      </c>
      <c r="BR2" s="23" t="s">
        <v>89</v>
      </c>
      <c r="BS2" s="20" t="s">
        <v>90</v>
      </c>
      <c r="BT2" s="24" t="s">
        <v>91</v>
      </c>
      <c r="BU2" s="25" t="s">
        <v>92</v>
      </c>
      <c r="BV2" s="20" t="s">
        <v>103</v>
      </c>
      <c r="BW2" s="13" t="s">
        <v>104</v>
      </c>
      <c r="BX2" s="13" t="s">
        <v>105</v>
      </c>
      <c r="BY2" s="20" t="s">
        <v>90</v>
      </c>
      <c r="BZ2" s="20" t="s">
        <v>103</v>
      </c>
      <c r="CA2" s="13" t="s">
        <v>104</v>
      </c>
      <c r="CB2" s="13" t="s">
        <v>105</v>
      </c>
      <c r="CC2" s="20" t="s">
        <v>90</v>
      </c>
      <c r="CD2" s="20" t="s">
        <v>103</v>
      </c>
      <c r="CE2" s="13" t="s">
        <v>104</v>
      </c>
      <c r="CF2" s="13" t="s">
        <v>105</v>
      </c>
      <c r="CG2" s="20" t="s">
        <v>90</v>
      </c>
      <c r="CH2" s="20" t="s">
        <v>103</v>
      </c>
      <c r="CI2" s="13" t="s">
        <v>104</v>
      </c>
      <c r="CJ2" s="13" t="s">
        <v>105</v>
      </c>
      <c r="CK2" s="20" t="s">
        <v>90</v>
      </c>
      <c r="CL2" s="20" t="s">
        <v>103</v>
      </c>
      <c r="CM2" s="13" t="s">
        <v>104</v>
      </c>
      <c r="CN2" s="13" t="s">
        <v>105</v>
      </c>
      <c r="CO2" s="20" t="s">
        <v>90</v>
      </c>
      <c r="CP2" s="20" t="s">
        <v>103</v>
      </c>
      <c r="CQ2" s="13" t="s">
        <v>104</v>
      </c>
      <c r="CR2" s="13" t="s">
        <v>105</v>
      </c>
      <c r="CS2" s="20" t="s">
        <v>90</v>
      </c>
      <c r="CT2" s="20" t="s">
        <v>103</v>
      </c>
      <c r="CU2" s="13" t="s">
        <v>104</v>
      </c>
      <c r="CV2" s="13" t="s">
        <v>105</v>
      </c>
      <c r="CW2" s="20" t="s">
        <v>90</v>
      </c>
      <c r="CX2" s="20" t="s">
        <v>103</v>
      </c>
      <c r="CY2" s="13" t="s">
        <v>104</v>
      </c>
      <c r="CZ2" s="13" t="s">
        <v>105</v>
      </c>
      <c r="DA2" s="20" t="s">
        <v>106</v>
      </c>
      <c r="DB2" s="27" t="s">
        <v>104</v>
      </c>
      <c r="DC2" s="27" t="s">
        <v>107</v>
      </c>
      <c r="DD2" s="27" t="s">
        <v>105</v>
      </c>
      <c r="DE2" s="20" t="s">
        <v>108</v>
      </c>
      <c r="DF2" s="20" t="s">
        <v>103</v>
      </c>
      <c r="DG2" s="13" t="s">
        <v>104</v>
      </c>
      <c r="DH2" s="13" t="s">
        <v>105</v>
      </c>
      <c r="DI2" s="20" t="s">
        <v>106</v>
      </c>
      <c r="DJ2" s="27" t="s">
        <v>104</v>
      </c>
      <c r="DK2" s="27" t="s">
        <v>107</v>
      </c>
      <c r="DL2" s="27" t="s">
        <v>105</v>
      </c>
      <c r="DM2" s="20" t="s">
        <v>108</v>
      </c>
      <c r="DN2" s="20" t="s">
        <v>103</v>
      </c>
      <c r="DO2" s="13" t="s">
        <v>104</v>
      </c>
      <c r="DP2" s="13" t="s">
        <v>105</v>
      </c>
      <c r="DQ2" s="20" t="s">
        <v>106</v>
      </c>
      <c r="DR2" s="27" t="s">
        <v>104</v>
      </c>
      <c r="DS2" s="27" t="s">
        <v>107</v>
      </c>
      <c r="DT2" s="27" t="s">
        <v>105</v>
      </c>
      <c r="DU2" s="20" t="s">
        <v>108</v>
      </c>
      <c r="DV2" s="20" t="s">
        <v>103</v>
      </c>
      <c r="DW2" s="13" t="s">
        <v>104</v>
      </c>
      <c r="DX2" s="13" t="s">
        <v>105</v>
      </c>
      <c r="DY2" s="20" t="s">
        <v>106</v>
      </c>
      <c r="DZ2" s="27" t="s">
        <v>104</v>
      </c>
      <c r="EA2" s="27" t="s">
        <v>107</v>
      </c>
      <c r="EB2" s="27" t="s">
        <v>105</v>
      </c>
      <c r="EC2" s="20" t="s">
        <v>108</v>
      </c>
      <c r="ED2" s="28" t="s">
        <v>104</v>
      </c>
      <c r="EE2" s="28" t="s">
        <v>109</v>
      </c>
      <c r="EF2" s="20" t="s">
        <v>90</v>
      </c>
      <c r="EG2" s="29" t="s">
        <v>104</v>
      </c>
      <c r="EH2" s="30" t="s">
        <v>105</v>
      </c>
      <c r="EI2" s="30" t="s">
        <v>90</v>
      </c>
      <c r="EJ2" s="29" t="s">
        <v>110</v>
      </c>
      <c r="EK2" s="29" t="s">
        <v>101</v>
      </c>
      <c r="EL2" s="30" t="s">
        <v>105</v>
      </c>
      <c r="EM2" s="30" t="s">
        <v>90</v>
      </c>
      <c r="EN2" s="13" t="s">
        <v>104</v>
      </c>
      <c r="EO2" s="26" t="s">
        <v>109</v>
      </c>
      <c r="EP2" s="20" t="s">
        <v>90</v>
      </c>
      <c r="EQ2" s="13" t="s">
        <v>104</v>
      </c>
      <c r="ER2" s="26" t="s">
        <v>109</v>
      </c>
      <c r="ES2" s="20" t="s">
        <v>90</v>
      </c>
      <c r="ET2" s="13" t="s">
        <v>104</v>
      </c>
      <c r="EU2" s="26" t="s">
        <v>109</v>
      </c>
      <c r="EV2" s="20" t="s">
        <v>90</v>
      </c>
      <c r="EW2" s="13" t="s">
        <v>104</v>
      </c>
      <c r="EX2" s="26" t="s">
        <v>109</v>
      </c>
      <c r="EY2" s="20" t="s">
        <v>90</v>
      </c>
      <c r="EZ2" s="24" t="s">
        <v>104</v>
      </c>
      <c r="FA2" s="13" t="s">
        <v>109</v>
      </c>
      <c r="FB2" s="20" t="s">
        <v>90</v>
      </c>
      <c r="FC2" s="24" t="s">
        <v>104</v>
      </c>
      <c r="FD2" s="13" t="s">
        <v>109</v>
      </c>
      <c r="FE2" s="20" t="s">
        <v>90</v>
      </c>
      <c r="FF2" s="13" t="s">
        <v>104</v>
      </c>
      <c r="FG2" s="26" t="s">
        <v>109</v>
      </c>
      <c r="FH2" s="20" t="s">
        <v>90</v>
      </c>
      <c r="FI2" s="13" t="s">
        <v>104</v>
      </c>
      <c r="FJ2" s="26" t="s">
        <v>109</v>
      </c>
      <c r="FK2" s="20" t="s">
        <v>90</v>
      </c>
      <c r="FL2" s="24" t="s">
        <v>104</v>
      </c>
      <c r="FM2" s="13" t="s">
        <v>109</v>
      </c>
      <c r="FN2" s="20" t="s">
        <v>90</v>
      </c>
      <c r="FO2" s="13" t="s">
        <v>104</v>
      </c>
      <c r="FP2" s="26" t="s">
        <v>109</v>
      </c>
      <c r="FQ2" s="20" t="s">
        <v>90</v>
      </c>
      <c r="FR2" s="13" t="s">
        <v>104</v>
      </c>
      <c r="FS2" s="13" t="s">
        <v>109</v>
      </c>
      <c r="FT2" s="20" t="s">
        <v>90</v>
      </c>
      <c r="FU2" s="24" t="s">
        <v>104</v>
      </c>
      <c r="FV2" s="26" t="s">
        <v>109</v>
      </c>
      <c r="FW2" s="20" t="s">
        <v>90</v>
      </c>
      <c r="FX2" s="31" t="s">
        <v>104</v>
      </c>
      <c r="FY2" s="13" t="s">
        <v>109</v>
      </c>
      <c r="FZ2" s="20" t="s">
        <v>90</v>
      </c>
      <c r="GA2" s="13" t="s">
        <v>104</v>
      </c>
      <c r="GB2" s="32" t="s">
        <v>109</v>
      </c>
      <c r="GC2" s="20" t="s">
        <v>90</v>
      </c>
      <c r="GD2" s="13" t="s">
        <v>104</v>
      </c>
      <c r="GE2" s="32" t="s">
        <v>109</v>
      </c>
      <c r="GF2" s="20" t="s">
        <v>90</v>
      </c>
      <c r="GG2" s="13" t="s">
        <v>104</v>
      </c>
      <c r="GH2" s="32" t="s">
        <v>109</v>
      </c>
      <c r="GI2" s="20" t="s">
        <v>90</v>
      </c>
      <c r="GJ2" s="13" t="s">
        <v>104</v>
      </c>
      <c r="GK2" s="32" t="s">
        <v>109</v>
      </c>
      <c r="GL2" s="20" t="s">
        <v>90</v>
      </c>
      <c r="GM2" s="13" t="s">
        <v>104</v>
      </c>
      <c r="GN2" s="13" t="s">
        <v>105</v>
      </c>
      <c r="GO2" s="20" t="s">
        <v>90</v>
      </c>
      <c r="GP2" s="13" t="s">
        <v>104</v>
      </c>
      <c r="GQ2" s="13" t="s">
        <v>105</v>
      </c>
      <c r="GR2" s="20" t="s">
        <v>90</v>
      </c>
      <c r="GS2" s="13" t="s">
        <v>104</v>
      </c>
      <c r="GT2" s="13" t="s">
        <v>105</v>
      </c>
      <c r="GU2" s="20" t="s">
        <v>90</v>
      </c>
      <c r="GV2" s="13" t="s">
        <v>104</v>
      </c>
      <c r="GW2" s="13" t="s">
        <v>105</v>
      </c>
      <c r="GX2" s="20" t="s">
        <v>90</v>
      </c>
      <c r="GY2" s="13" t="s">
        <v>104</v>
      </c>
      <c r="GZ2" s="13" t="s">
        <v>105</v>
      </c>
      <c r="HA2" s="20" t="s">
        <v>90</v>
      </c>
      <c r="HB2" s="13" t="s">
        <v>104</v>
      </c>
      <c r="HC2" s="13" t="s">
        <v>105</v>
      </c>
      <c r="HD2" s="20" t="s">
        <v>90</v>
      </c>
      <c r="HE2" s="13" t="s">
        <v>104</v>
      </c>
      <c r="HF2" s="13" t="s">
        <v>105</v>
      </c>
      <c r="HG2" s="20" t="s">
        <v>90</v>
      </c>
      <c r="HH2" s="13" t="s">
        <v>104</v>
      </c>
      <c r="HI2" s="13" t="s">
        <v>105</v>
      </c>
      <c r="HJ2" s="20" t="s">
        <v>90</v>
      </c>
      <c r="HK2" s="13" t="s">
        <v>104</v>
      </c>
      <c r="HL2" s="13" t="s">
        <v>105</v>
      </c>
      <c r="HM2" s="20" t="s">
        <v>90</v>
      </c>
      <c r="HN2" s="13" t="s">
        <v>104</v>
      </c>
      <c r="HO2" s="13" t="s">
        <v>105</v>
      </c>
      <c r="HP2" s="20" t="s">
        <v>90</v>
      </c>
      <c r="HQ2" s="13" t="s">
        <v>104</v>
      </c>
      <c r="HR2" s="13" t="s">
        <v>105</v>
      </c>
      <c r="HS2" s="20" t="s">
        <v>90</v>
      </c>
      <c r="HT2" s="13" t="s">
        <v>104</v>
      </c>
      <c r="HU2" s="13" t="s">
        <v>105</v>
      </c>
      <c r="HV2" s="20" t="s">
        <v>90</v>
      </c>
      <c r="HW2" s="33" t="s">
        <v>111</v>
      </c>
      <c r="HX2" s="34" t="s">
        <v>90</v>
      </c>
      <c r="HY2" s="35" t="s">
        <v>112</v>
      </c>
      <c r="HZ2" s="13" t="s">
        <v>113</v>
      </c>
      <c r="IA2" s="13" t="s">
        <v>114</v>
      </c>
      <c r="IB2" s="20" t="s">
        <v>115</v>
      </c>
      <c r="IC2" s="20" t="s">
        <v>90</v>
      </c>
      <c r="ID2" s="13" t="s">
        <v>116</v>
      </c>
      <c r="IE2" s="13" t="s">
        <v>105</v>
      </c>
      <c r="IF2" s="20" t="s">
        <v>90</v>
      </c>
      <c r="IG2" s="13" t="s">
        <v>117</v>
      </c>
      <c r="IH2" s="20" t="s">
        <v>118</v>
      </c>
      <c r="II2" s="20" t="s">
        <v>90</v>
      </c>
      <c r="IJ2" s="13" t="s">
        <v>119</v>
      </c>
      <c r="IK2" s="20" t="s">
        <v>118</v>
      </c>
      <c r="IL2" s="20" t="s">
        <v>90</v>
      </c>
      <c r="IM2" s="36" t="s">
        <v>120</v>
      </c>
      <c r="IN2" s="37" t="s">
        <v>121</v>
      </c>
      <c r="IO2" s="13" t="s">
        <v>104</v>
      </c>
      <c r="IP2" s="13" t="s">
        <v>122</v>
      </c>
      <c r="IQ2" s="20" t="s">
        <v>90</v>
      </c>
      <c r="IR2" s="13" t="s">
        <v>104</v>
      </c>
      <c r="IS2" s="13" t="s">
        <v>105</v>
      </c>
      <c r="IT2" s="20" t="s">
        <v>90</v>
      </c>
      <c r="IU2" s="13" t="s">
        <v>104</v>
      </c>
      <c r="IV2" s="13" t="s">
        <v>122</v>
      </c>
      <c r="IW2" s="20" t="s">
        <v>90</v>
      </c>
      <c r="IX2" s="13" t="s">
        <v>104</v>
      </c>
      <c r="IY2" s="13" t="s">
        <v>105</v>
      </c>
      <c r="IZ2" s="20" t="s">
        <v>90</v>
      </c>
      <c r="JA2" s="13" t="s">
        <v>104</v>
      </c>
      <c r="JB2" s="13" t="s">
        <v>122</v>
      </c>
      <c r="JC2" s="20" t="s">
        <v>90</v>
      </c>
      <c r="JD2" s="13" t="s">
        <v>104</v>
      </c>
      <c r="JE2" s="13" t="s">
        <v>105</v>
      </c>
      <c r="JF2" s="20" t="s">
        <v>90</v>
      </c>
      <c r="JG2" s="13" t="s">
        <v>104</v>
      </c>
      <c r="JH2" s="13" t="s">
        <v>122</v>
      </c>
      <c r="JI2" s="20" t="s">
        <v>90</v>
      </c>
      <c r="JJ2" s="13" t="s">
        <v>104</v>
      </c>
      <c r="JK2" s="13" t="s">
        <v>105</v>
      </c>
      <c r="JL2" s="20" t="s">
        <v>90</v>
      </c>
      <c r="JM2" s="13" t="s">
        <v>104</v>
      </c>
      <c r="JN2" s="13" t="s">
        <v>122</v>
      </c>
      <c r="JO2" s="20" t="s">
        <v>90</v>
      </c>
      <c r="JP2" s="13" t="s">
        <v>104</v>
      </c>
      <c r="JQ2" s="13" t="s">
        <v>105</v>
      </c>
      <c r="JR2" s="20" t="s">
        <v>90</v>
      </c>
      <c r="JS2" s="13" t="s">
        <v>104</v>
      </c>
      <c r="JT2" s="13" t="s">
        <v>122</v>
      </c>
      <c r="JU2" s="20" t="s">
        <v>90</v>
      </c>
      <c r="JV2" s="13" t="s">
        <v>104</v>
      </c>
      <c r="JW2" s="13" t="s">
        <v>105</v>
      </c>
      <c r="JX2" s="20" t="s">
        <v>90</v>
      </c>
      <c r="JY2" s="13" t="s">
        <v>104</v>
      </c>
      <c r="JZ2" s="13" t="s">
        <v>122</v>
      </c>
      <c r="KA2" s="20" t="s">
        <v>90</v>
      </c>
      <c r="KB2" s="13" t="s">
        <v>104</v>
      </c>
      <c r="KC2" s="13" t="s">
        <v>105</v>
      </c>
      <c r="KD2" s="20" t="s">
        <v>90</v>
      </c>
      <c r="KE2" s="38" t="s">
        <v>123</v>
      </c>
      <c r="KF2" s="20" t="s">
        <v>124</v>
      </c>
      <c r="KG2" s="13" t="s">
        <v>125</v>
      </c>
      <c r="KH2" s="39" t="s">
        <v>126</v>
      </c>
      <c r="KI2" s="13" t="s">
        <v>127</v>
      </c>
      <c r="KJ2" s="38" t="s">
        <v>128</v>
      </c>
      <c r="KK2" s="20" t="s">
        <v>129</v>
      </c>
      <c r="KL2" s="40" t="s">
        <v>130</v>
      </c>
      <c r="KM2" s="20" t="s">
        <v>131</v>
      </c>
      <c r="KN2" s="38" t="s">
        <v>132</v>
      </c>
      <c r="KO2" s="40" t="s">
        <v>133</v>
      </c>
      <c r="KP2" s="40" t="s">
        <v>90</v>
      </c>
      <c r="KQ2" s="38" t="s">
        <v>132</v>
      </c>
      <c r="KR2" s="40" t="s">
        <v>133</v>
      </c>
      <c r="KS2" s="40" t="s">
        <v>90</v>
      </c>
      <c r="KT2" s="41" t="s">
        <v>134</v>
      </c>
      <c r="KU2" s="42" t="s">
        <v>135</v>
      </c>
      <c r="KV2" s="43" t="s">
        <v>136</v>
      </c>
      <c r="KW2" s="43" t="s">
        <v>137</v>
      </c>
      <c r="KX2" s="43" t="s">
        <v>138</v>
      </c>
      <c r="KY2" s="43" t="s">
        <v>139</v>
      </c>
      <c r="KZ2" s="43" t="s">
        <v>140</v>
      </c>
      <c r="LA2" s="43" t="s">
        <v>141</v>
      </c>
      <c r="LB2" s="43" t="s">
        <v>142</v>
      </c>
      <c r="LC2" s="43" t="s">
        <v>143</v>
      </c>
      <c r="LD2" s="43" t="s">
        <v>144</v>
      </c>
      <c r="LE2" s="43" t="s">
        <v>145</v>
      </c>
      <c r="LF2" s="43" t="s">
        <v>146</v>
      </c>
      <c r="LG2" s="43" t="s">
        <v>147</v>
      </c>
      <c r="LH2" s="43" t="s">
        <v>148</v>
      </c>
      <c r="LI2" s="43" t="s">
        <v>149</v>
      </c>
      <c r="LJ2" s="43" t="s">
        <v>150</v>
      </c>
      <c r="LK2" s="44" t="s">
        <v>151</v>
      </c>
      <c r="LL2" s="45" t="s">
        <v>152</v>
      </c>
      <c r="LM2" s="46" t="s">
        <v>153</v>
      </c>
      <c r="LN2" s="46" t="s">
        <v>154</v>
      </c>
      <c r="LO2" s="46" t="s">
        <v>155</v>
      </c>
      <c r="LP2" s="46" t="s">
        <v>156</v>
      </c>
      <c r="LQ2" s="46" t="s">
        <v>157</v>
      </c>
      <c r="LR2" s="46" t="s">
        <v>158</v>
      </c>
      <c r="LS2" s="46" t="s">
        <v>159</v>
      </c>
      <c r="LT2" s="46" t="s">
        <v>160</v>
      </c>
      <c r="LU2" s="47" t="s">
        <v>161</v>
      </c>
      <c r="LV2" s="47" t="s">
        <v>162</v>
      </c>
      <c r="LW2" s="47" t="s">
        <v>163</v>
      </c>
    </row>
    <row r="3" spans="1:335" x14ac:dyDescent="0.25">
      <c r="A3" s="49" t="s">
        <v>164</v>
      </c>
      <c r="B3" s="50" t="s">
        <v>165</v>
      </c>
      <c r="C3" s="50" t="s">
        <v>166</v>
      </c>
      <c r="D3" s="51" t="s">
        <v>167</v>
      </c>
      <c r="E3" s="52"/>
      <c r="F3" s="53"/>
      <c r="G3" s="53"/>
      <c r="H3" s="53"/>
      <c r="I3" s="53"/>
      <c r="J3" s="53"/>
      <c r="K3" s="53"/>
      <c r="L3" s="53"/>
      <c r="M3" s="53"/>
      <c r="N3" s="53"/>
      <c r="O3" s="53"/>
      <c r="P3" s="54"/>
      <c r="Q3" s="54"/>
      <c r="R3" s="54"/>
      <c r="S3" s="55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6"/>
      <c r="AF3" s="53"/>
      <c r="AG3" s="53"/>
      <c r="AH3" s="57"/>
      <c r="AI3" s="58" t="s">
        <v>4</v>
      </c>
      <c r="AJ3" s="59" t="s">
        <v>168</v>
      </c>
      <c r="AK3" s="60" t="s">
        <v>169</v>
      </c>
      <c r="AL3" s="61">
        <v>43039</v>
      </c>
      <c r="AM3" s="62">
        <v>43159</v>
      </c>
      <c r="AN3" s="63" t="s">
        <v>170</v>
      </c>
      <c r="AO3" s="64" t="s">
        <v>170</v>
      </c>
      <c r="AP3" s="65"/>
      <c r="AQ3" s="65" t="s">
        <v>171</v>
      </c>
      <c r="AR3" s="65">
        <v>20</v>
      </c>
      <c r="AS3" s="65">
        <v>10000</v>
      </c>
      <c r="AT3" s="66" t="s">
        <v>172</v>
      </c>
      <c r="AU3" s="67" t="s">
        <v>167</v>
      </c>
      <c r="AV3" s="68" t="s">
        <v>173</v>
      </c>
      <c r="AW3" s="69" t="s">
        <v>173</v>
      </c>
      <c r="AX3" s="70" t="s">
        <v>4</v>
      </c>
      <c r="AY3" s="71" t="s">
        <v>174</v>
      </c>
      <c r="AZ3" s="72" t="str">
        <f>IF(ISERROR(VLOOKUP(AY3,[2]PLANOS!B:C,2,0)),"",VLOOKUP(AY3,[2]PLANOS!B:C,2,0))</f>
        <v>PCS-3PLowpi</v>
      </c>
      <c r="BA3" s="73" t="s">
        <v>173</v>
      </c>
      <c r="BB3" s="74" t="str">
        <f>IF(BA3="Sim","OI-17101-1","")</f>
        <v/>
      </c>
      <c r="BC3" s="75"/>
      <c r="BD3" s="76"/>
      <c r="BE3" s="77">
        <v>55.11</v>
      </c>
      <c r="BF3" s="78">
        <f>IF(BE3=0,"",IF(BE3=VLOOKUP("FIXO",[2]ARBOR!$A:$C,3,0),0.0001,IF(BE3&gt;VLOOKUP("FIXO",[2]ARBOR!$A:$C,3,0),"Maior que CAP!",IF((DOLLAR(BE3+(VLOOKUP("FIXO",[2]ARBOR!$A:$C,3,0)*-TRUNC(BE3/VLOOKUP("FIXO",[2]ARBOR!$A:$C,3,0)-1,4)),6))&lt;&gt;(DOLLAR(VLOOKUP("FIXO",[2]ARBOR!$A:$C,3,0),6)),-TRUNC(BE3/VLOOKUP("FIXO",[2]ARBOR!$A:$C,3,0)-1,4)+0.0001,-TRUNC(BE3/VLOOKUP("FIXO",[2]ARBOR!$A:$C,3,0)-1,4)))))</f>
        <v>0.27339999999999998</v>
      </c>
      <c r="BG3" s="79"/>
      <c r="BH3" s="78" t="str">
        <f>IF(BG3=0,"",IF(BG3=VLOOKUP("FIXO",[2]ARBOR!$A:$C,3,0),0.0001,IF(BG3&gt;VLOOKUP("FIXO",[2]ARBOR!$A:$C,3,0),"Maior que CAP!",IF((DOLLAR(BG3+(VLOOKUP("FIXO",[2]ARBOR!$A:$C,3,0)*-TRUNC(BG3/VLOOKUP("FIXO",[2]ARBOR!$A:$C,3,0)-1,4)),6))&lt;&gt;(DOLLAR(VLOOKUP("FIXO",[2]ARBOR!$A:$C,3,0),6)),-TRUNC(BG3/VLOOKUP("FIXO",[2]ARBOR!$A:$C,3,0)-1,4)+0.0001,-TRUNC(BG3/VLOOKUP("FIXO",[2]ARBOR!$A:$C,3,0)-1,4)))))</f>
        <v/>
      </c>
      <c r="BI3" s="80" t="str">
        <f>IF(ISERROR(IF(BF3="","",VLOOKUP(($AY3&amp;BF3&amp;"Template de desconto FLAT bundle - Fixo - Varejo - Ganho Tributário Cross"),[2]BENEFICIOS!$A:$E,5,0))),"Criar",IF(BF3="","",VLOOKUP(($AY3&amp;BF3&amp;"Template de desconto FLAT bundle - Fixo - Varejo - Ganho Tributário Cross"),[2]BENEFICIOS!$A:$E,5,0)))</f>
        <v>MKT-1-9825728397</v>
      </c>
      <c r="BJ3" s="81"/>
      <c r="BK3" s="78" t="str">
        <f>IF(BL3&lt;&gt;"",0.0001,"")</f>
        <v/>
      </c>
      <c r="BL3" s="82"/>
      <c r="BM3" s="78" t="str">
        <f>IF(BL3=0,"",IF(BL3=VLOOKUP("FIXO",[2]ARBOR!$A:$C,3,0),0.0001,IF(BL3&gt;VLOOKUP("FIXO",[2]ARBOR!$A:$C,3,0),"Maior que CAP!",IF(BF3&lt;&gt;"",-ROUND(BL3/VLOOKUP("FIXO",[2]ARBOR!$A:$C,3,0)-1,4)-BF3,-ROUND(BL3/VLOOKUP("FIXO",[2]ARBOR!$A:$C,3,0)-1,4)))))</f>
        <v/>
      </c>
      <c r="BN3" s="83"/>
      <c r="BO3" s="78" t="str">
        <f>IF(ISERROR(IF(BK3="","",VLOOKUP(($AY3&amp;BK3&amp;"Template de desconto FLAT bundle - Fixo - Varejo - Ganho Tributário Cross"),[2]BENEFICIOS!$A:$E,5,0))),"Criar",IF(BK3="","",VLOOKUP(($AY3&amp;BK3&amp;"Template de desconto FLAT bundle - Fixo - Varejo - Ganho Tributário Cross"),[2]BENEFICIOS!$A:$E,5,0)))</f>
        <v/>
      </c>
      <c r="BP3" s="84" t="s">
        <v>175</v>
      </c>
      <c r="BQ3" s="85" t="s">
        <v>176</v>
      </c>
      <c r="BR3" s="86" t="s">
        <v>173</v>
      </c>
      <c r="BS3" s="87" t="str">
        <f t="shared" ref="BS3:BS19" si="0">IF(BR3="Sim","OI-17101-2","")</f>
        <v/>
      </c>
      <c r="BT3" s="75"/>
      <c r="BU3" s="88"/>
      <c r="BV3" s="89" t="s">
        <v>104</v>
      </c>
      <c r="BW3" s="90">
        <v>44.9</v>
      </c>
      <c r="BX3" s="78">
        <f>IF(BW3=0,"",IF(BW3=VLOOKUP("PCS-30874g",[2]ARBOR!$A:$C,3,0),0.0001,IF(BW3&gt;VLOOKUP("PCS-30874g",[2]ARBOR!$A:$C,3,0),"Maior que CAP!",IF((DOLLAR(BW3+(VLOOKUP("PCS-30874g",[2]ARBOR!$A:$C,3,0)*-TRUNC(BW3/VLOOKUP("PCS-30874g",[2]ARBOR!$A:$C,3,0)-1,4)),6))&lt;&gt;(DOLLAR(VLOOKUP("PCS-30874g",[2]ARBOR!$A:$C,3,0),6)),-TRUNC(BW3/VLOOKUP("PCS-30874g",[2]ARBOR!$A:$C,3,0)-1,4)+0.0001,-TRUNC(BW3/VLOOKUP("PCS-30874g",[2]ARBOR!$A:$C,3,0)-1,4)))))</f>
        <v>0.53679999999999994</v>
      </c>
      <c r="BY3" s="85" t="str">
        <f>IF(ISERROR(IF(BX3="","",VLOOKUP(($AY3&amp;BX3&amp;"Template de desconto FLAT bundle - Velox XDSL - Varejo"),[2]BENEFICIOS!$A:$E,5,0))),"Criar",IF(BX3="","",VLOOKUP(($AY3&amp;BX3&amp;"Template de desconto FLAT bundle - Velox XDSL - Varejo"),[2]BENEFICIOS!$A:$E,5,0)))</f>
        <v>MKT-1-9831719752</v>
      </c>
      <c r="BZ3" s="89" t="s">
        <v>104</v>
      </c>
      <c r="CA3" s="90">
        <v>44.9</v>
      </c>
      <c r="CB3" s="78">
        <f>IF(CA3=0,"",IF(CA3=VLOOKUP("PCS-30577g",[2]ARBOR!$A:$C,3,0),0.0001,IF(CA3&gt;VLOOKUP("PCS-30577g",[2]ARBOR!$A:$C,3,0),"Maior que CAP!",IF((DOLLAR(CA3+(VLOOKUP("PCS-30577g",[2]ARBOR!$A:$C,3,0)*-TRUNC(CA3/VLOOKUP("PCS-30577g",[2]ARBOR!$A:$C,3,0)-1,4)),6))&lt;&gt;(DOLLAR(VLOOKUP("PCS-30577g",[2]ARBOR!$A:$C,3,0),6)),-TRUNC(CA3/VLOOKUP("PCS-30577g",[2]ARBOR!$A:$C,3,0)-1,4)+0.0001,-TRUNC(CA3/VLOOKUP("PCS-30577g",[2]ARBOR!$A:$C,3,0)-1,4)))))</f>
        <v>0.53679999999999994</v>
      </c>
      <c r="CC3" s="85" t="str">
        <f>IF(ISERROR(IF(CB3="","",VLOOKUP(($AY3&amp;CB3&amp;"Template de desconto FLAT bundle - Velox XDSL - Varejo"),[2]BENEFICIOS!$A:$E,5,0))),"Criar",IF(CB3="","",VLOOKUP(($AY3&amp;CB3&amp;"Template de desconto FLAT bundle - Velox XDSL - Varejo"),[2]BENEFICIOS!$A:$E,5,0)))</f>
        <v>MKT-1-9831719752</v>
      </c>
      <c r="CD3" s="89" t="s">
        <v>104</v>
      </c>
      <c r="CE3" s="90">
        <v>44.9</v>
      </c>
      <c r="CF3" s="78">
        <f>IF(CE3=0,"",IF(CE3=VLOOKUP("PCS-30604g",[2]ARBOR!$A:$C,3,0),0.0001,IF(CE3&gt;VLOOKUP("PCS-30604g",[2]ARBOR!$A:$C,3,0),"Maior que CAP!",IF((DOLLAR(CE3+(VLOOKUP("PCS-30604g",[2]ARBOR!$A:$C,3,0)*-TRUNC(CE3/VLOOKUP("PCS-30604g",[2]ARBOR!$A:$C,3,0)-1,4)),6))&lt;&gt;(DOLLAR(VLOOKUP("PCS-30604g",[2]ARBOR!$A:$C,3,0),6)),-TRUNC(CE3/VLOOKUP("PCS-30604g",[2]ARBOR!$A:$C,3,0)-1,4)+0.0001,-TRUNC(CE3/VLOOKUP("PCS-30604g",[2]ARBOR!$A:$C,3,0)-1,4)))))</f>
        <v>0.53679999999999994</v>
      </c>
      <c r="CG3" s="85" t="str">
        <f>IF(ISERROR(IF(CF3="","",VLOOKUP(($AY3&amp;CF3&amp;"Template de desconto FLAT bundle - Velox XDSL - Varejo"),[2]BENEFICIOS!$A:$E,5,0))),"Criar",IF(CF3="","",VLOOKUP(($AY3&amp;CF3&amp;"Template de desconto FLAT bundle - Velox XDSL - Varejo"),[2]BENEFICIOS!$A:$E,5,0)))</f>
        <v>MKT-1-9831719752</v>
      </c>
      <c r="CH3" s="89" t="s">
        <v>104</v>
      </c>
      <c r="CI3" s="90">
        <v>44.9</v>
      </c>
      <c r="CJ3" s="78">
        <f>IF(CI3=0,"",IF(CI3=VLOOKUP("PCS-30631g",[2]ARBOR!$A:$C,3,0),0.0001,IF(CI3&gt;VLOOKUP("PCS-30631g",[2]ARBOR!$A:$C,3,0),"Maior que CAP!",IF((DOLLAR(CI3+(VLOOKUP("PCS-30631g",[2]ARBOR!$A:$C,3,0)*-TRUNC(CI3/VLOOKUP("PCS-30631g",[2]ARBOR!$A:$C,3,0)-1,4)),6))&lt;&gt;(DOLLAR(VLOOKUP("PCS-30631g",[2]ARBOR!$A:$C,3,0),6)),-TRUNC(CI3/VLOOKUP("PCS-30631g",[2]ARBOR!$A:$C,3,0)-1,4)+0.0001,-TRUNC(CI3/VLOOKUP("PCS-30631g",[2]ARBOR!$A:$C,3,0)-1,4)))))</f>
        <v>0.54310000000000003</v>
      </c>
      <c r="CK3" s="85" t="str">
        <f>IF(ISERROR(IF(CJ3="","",VLOOKUP(($AY3&amp;CJ3&amp;"Template de desconto FLAT bundle - Velox XDSL - Varejo"),[2]BENEFICIOS!$A:$E,5,0))),"Criar",IF(CJ3="","",VLOOKUP(($AY3&amp;CJ3&amp;"Template de desconto FLAT bundle - Velox XDSL - Varejo"),[2]BENEFICIOS!$A:$E,5,0)))</f>
        <v>MKT-1-9828191673</v>
      </c>
      <c r="CL3" s="89"/>
      <c r="CM3" s="90"/>
      <c r="CN3" s="78" t="str">
        <f>IF(CM3=0,"",IF(CM3=VLOOKUP("PCS-30658g",[2]ARBOR!$A:$C,3,0),0.0001,IF(CM3&gt;VLOOKUP("PCS-30658g",[2]ARBOR!$A:$C,3,0),"Maior que CAP!",IF((DOLLAR(CM3+(VLOOKUP("PCS-30658g",[2]ARBOR!$A:$C,3,0)*-TRUNC(CM3/VLOOKUP("PCS-30658g",[2]ARBOR!$A:$C,3,0)-1,4)),6))&lt;&gt;(DOLLAR(VLOOKUP("PCS-30658g",[2]ARBOR!$A:$C,3,0),6)),-TRUNC(CM3/VLOOKUP("PCS-30658g",[2]ARBOR!$A:$C,3,0)-1,4)+0.0001,-TRUNC(CM3/VLOOKUP("PCS-30658g",[2]ARBOR!$A:$C,3,0)-1,4)))))</f>
        <v/>
      </c>
      <c r="CO3" s="85" t="str">
        <f>IF(ISERROR(IF(CN3="","",VLOOKUP(($AY3&amp;CN3&amp;"Template de desconto FLAT bundle - Velox XDSL - Varejo"),[2]BENEFICIOS!$A:$E,5,0))),"Criar",IF(CN3="","",VLOOKUP(($AY3&amp;CN3&amp;"Template de desconto FLAT bundle - Velox XDSL - Varejo"),[2]BENEFICIOS!$A:$E,5,0)))</f>
        <v/>
      </c>
      <c r="CP3" s="89"/>
      <c r="CQ3" s="90"/>
      <c r="CR3" s="78" t="str">
        <f>IF(CQ3=0,"",IF(CQ3=VLOOKUP("PCS-30685g",[2]ARBOR!$A:$C,3,0),0.0001,IF(CQ3&gt;VLOOKUP("PCS-30685g",[2]ARBOR!$A:$C,3,0),"Maior que CAP!",IF((DOLLAR(CQ3+(VLOOKUP("PCS-30685g",[2]ARBOR!$A:$C,3,0)*-TRUNC(CQ3/VLOOKUP("PCS-30685g",[2]ARBOR!$A:$C,3,0)-1,4)),6))&lt;&gt;(DOLLAR(VLOOKUP("PCS-30685g",[2]ARBOR!$A:$C,3,0),6)),-TRUNC(CQ3/VLOOKUP("PCS-30685g",[2]ARBOR!$A:$C,3,0)-1,4)+0.0001,-TRUNC(CQ3/VLOOKUP("PCS-30685g",[2]ARBOR!$A:$C,3,0)-1,4)))))</f>
        <v/>
      </c>
      <c r="CS3" s="85" t="str">
        <f>IF(ISERROR(IF(CR3="","",VLOOKUP(($AY3&amp;CR3&amp;"Template de desconto FLAT bundle - Velox XDSL - Varejo"),[2]BENEFICIOS!$A:$E,5,0))),"Criar",IF(CR3="","",VLOOKUP(($AY3&amp;CR3&amp;"Template de desconto FLAT bundle - Velox XDSL - Varejo"),[2]BENEFICIOS!$A:$E,5,0)))</f>
        <v/>
      </c>
      <c r="CT3" s="89"/>
      <c r="CU3" s="90"/>
      <c r="CV3" s="78" t="str">
        <f>IF(CU3=0,"",IF(CU3=VLOOKUP("PCS-30712g",[2]ARBOR!$A:$C,3,0),0.0001,IF(CU3&gt;VLOOKUP("PCS-30712g",[2]ARBOR!$A:$C,3,0),"Maior que CAP!",IF((DOLLAR(CU3+(VLOOKUP("PCS-30712g",[2]ARBOR!$A:$C,3,0)*-TRUNC(CU3/VLOOKUP("PCS-30712g",[2]ARBOR!$A:$C,3,0)-1,4)),6))&lt;&gt;(DOLLAR(VLOOKUP("PCS-30712g",[2]ARBOR!$A:$C,3,0),6)),-TRUNC(CU3/VLOOKUP("PCS-30712g",[2]ARBOR!$A:$C,3,0)-1,4)+0.0001,-TRUNC(CU3/VLOOKUP("PCS-30712g",[2]ARBOR!$A:$C,3,0)-1,4)))))</f>
        <v/>
      </c>
      <c r="CW3" s="85" t="str">
        <f>IF(ISERROR(IF(CV3="","",VLOOKUP(($AY3&amp;CV3&amp;"Template de desconto FLAT bundle - Velox XDSL - Varejo"),[2]BENEFICIOS!$A:$E,5,0))),"Criar",IF(CV3="","",VLOOKUP(($AY3&amp;CV3&amp;"Template de desconto FLAT bundle - Velox XDSL - Varejo"),[2]BENEFICIOS!$A:$E,5,0)))</f>
        <v/>
      </c>
      <c r="CX3" s="89"/>
      <c r="CY3" s="90"/>
      <c r="CZ3" s="78" t="str">
        <f>IF(CY3=0,"",IF(CY3=VLOOKUP("PCS-30739g",[2]ARBOR!$A:$C,3,0),0.0001,IF(CY3&gt;VLOOKUP("PCS-30739g",[2]ARBOR!$A:$C,3,0),"Maior que CAP!",IF((DOLLAR(CY3+(VLOOKUP("PCS-30739g",[2]ARBOR!$A:$C,3,0)*-TRUNC(CY3/VLOOKUP("PCS-30739g",[2]ARBOR!$A:$C,3,0)-1,4)),6))&lt;&gt;(DOLLAR(VLOOKUP("PCS-30739g",[2]ARBOR!$A:$C,3,0),6)),-TRUNC(CY3/VLOOKUP("PCS-30739g",[2]ARBOR!$A:$C,3,0)-1,4)+0.0001,-TRUNC(CY3/VLOOKUP("PCS-30739g",[2]ARBOR!$A:$C,3,0)-1,4)))))</f>
        <v/>
      </c>
      <c r="DA3" s="91" t="str">
        <f>IF(ISERROR(IF(CZ3="","",VLOOKUP(($AY3&amp;CZ3&amp;"Template de desconto FLAT bundle - Velox XDSL - Varejo"),[2]BENEFICIOS!$A:$E,5,0))),"Criar",IF(CZ3="","",VLOOKUP(($AY3&amp;CZ3&amp;"Template de desconto FLAT bundle - Velox XDSL - Varejo"),[2]BENEFICIOS!$A:$E,5,0)))</f>
        <v/>
      </c>
      <c r="DB3" s="92"/>
      <c r="DC3" s="93"/>
      <c r="DD3" s="78" t="str">
        <f>IF(DB3=0,"",IF(DB3=VLOOKUP("PCS-30739g",[2]ARBOR!$A:$C,3,0),0.0001,IF(DB3&gt;VLOOKUP("PCS-30739g",[2]ARBOR!$A:$C,3,0),"Maior que CAP!",IF((DOLLAR(DB3+(VLOOKUP("PCS-30739g",[2]ARBOR!$A:$C,3,0)*-TRUNC(DB3/VLOOKUP("PCS-30739g",[2]ARBOR!$A:$C,3,0)-1,4)),6))&lt;&gt;(DOLLAR(VLOOKUP("PCS-30739g",[2]ARBOR!$A:$C,3,0),6)),(-TRUNC(DB3/VLOOKUP("PCS-30739g",[2]ARBOR!$A:$C,3,0)-1,4)+0.0001)-CZ3,-TRUNC(DB3/VLOOKUP("PCS-30739g",[2]ARBOR!$A:$C,3,0)-1,4)-CZ3))))</f>
        <v/>
      </c>
      <c r="DE3" s="85" t="str">
        <f>IF(ISERROR(IF(DD3="","",VLOOKUP(($AY3&amp;DD3&amp;"Template de desconto percentual Bundle - Velox XDSL - Varejo"),[2]BENEFICIOS!$A:$E,5,0))),"Criar",IF(DD3="","",VLOOKUP(($AY3&amp;DD3&amp;"Template de desconto percentual Bundle - Velox XDSL - Varejo"),[2]BENEFICIOS!$A:$E,5,0)))</f>
        <v/>
      </c>
      <c r="DF3" s="89"/>
      <c r="DG3" s="90"/>
      <c r="DH3" s="78" t="str">
        <f>IF(DG3=0,"",IF(DG3=VLOOKUP("PCS-30766g",[2]ARBOR!$A:$C,3,0),0.0001,IF(DG3&gt;VLOOKUP("PCS-30766g",[2]ARBOR!$A:$C,3,0),"Maior que CAP!",IF((DOLLAR(DG3+(VLOOKUP("PCS-30766g",[2]ARBOR!$A:$C,3,0)*-TRUNC(DG3/VLOOKUP("PCS-30766g",[2]ARBOR!$A:$C,3,0)-1,4)),6))&lt;&gt;(DOLLAR(VLOOKUP("PCS-30766g",[2]ARBOR!$A:$C,3,0),6)),-TRUNC(DG3/VLOOKUP("PCS-30766g",[2]ARBOR!$A:$C,3,0)-1,4)+0.0001,-TRUNC(DG3/VLOOKUP("PCS-30766g",[2]ARBOR!$A:$C,3,0)-1,4)))))</f>
        <v/>
      </c>
      <c r="DI3" s="91" t="str">
        <f>IF(ISERROR(IF(DH3="","",VLOOKUP(($AY3&amp;DH3&amp;"Template de desconto FLAT bundle - Velox XDSL - Varejo"),[2]BENEFICIOS!$A:$E,5,0))),"Criar",IF(DH3="","",VLOOKUP(($AY3&amp;DH3&amp;"Template de desconto FLAT bundle - Velox XDSL - Varejo"),[2]BENEFICIOS!$A:$E,5,0)))</f>
        <v/>
      </c>
      <c r="DJ3" s="92"/>
      <c r="DK3" s="93"/>
      <c r="DL3" s="78" t="str">
        <f>IF(DJ3=0,"",IF(DJ3=VLOOKUP("PCS-30766g",[2]ARBOR!$A:$C,3,0),0.0001,IF(DJ3&gt;VLOOKUP("PCS-30766g",[2]ARBOR!$A:$C,3,0),"Maior que CAP!",IF((DOLLAR(DJ3+(VLOOKUP("PCS-30766g",[2]ARBOR!$A:$C,3,0)*-TRUNC(DJ3/VLOOKUP("PCS-30766g",[2]ARBOR!$A:$C,3,0)-1,4)),6))&lt;&gt;(DOLLAR(VLOOKUP("PCS-30766g",[2]ARBOR!$A:$C,3,0),6)),(-TRUNC(DJ3/VLOOKUP("PCS-30766g",[2]ARBOR!$A:$C,3,0)-1,4)+0.0001)-DH3,-TRUNC(DJ3/VLOOKUP("PCS-30766g",[2]ARBOR!$A:$C,3,0)-1,4)-DH3))))</f>
        <v/>
      </c>
      <c r="DM3" s="85" t="str">
        <f>IF(ISERROR(IF(DL3="","",VLOOKUP(($AY3&amp;DL3&amp;"Template de desconto percentual Bundle - Velox XDSL - Varejo"),[2]BENEFICIOS!$A:$E,5,0))),"Criar",IF(DL3="","",VLOOKUP(($AY3&amp;DL3&amp;"Template de desconto percentual Bundle - Velox XDSL - Varejo"),[2]BENEFICIOS!$A:$E,5,0)))</f>
        <v/>
      </c>
      <c r="DN3" s="89"/>
      <c r="DO3" s="90"/>
      <c r="DP3" s="78" t="str">
        <f>IF(DO3=0,"",IF(DO3=VLOOKUP("PCS-30793g",[2]ARBOR!$A:$C,3,0),0.0001,IF(DO3&gt;VLOOKUP("PCS-30793g",[2]ARBOR!$A:$C,3,0),"Maior que CAP!",IF((DOLLAR(DO3+(VLOOKUP("PCS-30793g",[2]ARBOR!$A:$C,3,0)*-TRUNC(DO3/VLOOKUP("PCS-30793g",[2]ARBOR!$A:$C,3,0)-1,4)),6))&lt;&gt;(DOLLAR(VLOOKUP("PCS-30793g",[2]ARBOR!$A:$C,3,0),6)),-TRUNC(DO3/VLOOKUP("PCS-30793g",[2]ARBOR!$A:$C,3,0)-1,4)+0.0001,-TRUNC(DO3/VLOOKUP("PCS-30793g",[2]ARBOR!$A:$C,3,0)-1,4)))))</f>
        <v/>
      </c>
      <c r="DQ3" s="91" t="str">
        <f>IF(ISERROR(IF(DP3="","",VLOOKUP(($AY3&amp;DP3&amp;"Template de desconto FLAT bundle - Velox XDSL - Varejo"),[2]BENEFICIOS!$A:$E,5,0))),"Criar",IF(DP3="","",VLOOKUP(($AY3&amp;DP3&amp;"Template de desconto FLAT bundle - Velox XDSL - Varejo"),[2]BENEFICIOS!$A:$E,5,0)))</f>
        <v/>
      </c>
      <c r="DR3" s="92"/>
      <c r="DS3" s="93"/>
      <c r="DT3" s="78" t="str">
        <f>IF(DR3=0,"",IF(DR3=VLOOKUP("PCS-30793g",[2]ARBOR!$A:$C,3,0),0.0001,IF(DR3&gt;VLOOKUP("PCS-30793g",[2]ARBOR!$A:$C,3,0),"Maior que CAP!",IF((DOLLAR(DR3+(VLOOKUP("PCS-30793g",[2]ARBOR!$A:$C,3,0)*-TRUNC(DR3/VLOOKUP("PCS-30793g",[2]ARBOR!$A:$C,3,0)-1,4)),6))&lt;&gt;(DOLLAR(VLOOKUP("PCS-30793g",[2]ARBOR!$A:$C,3,0),6)),(-TRUNC(DR3/VLOOKUP("PCS-30793g",[2]ARBOR!$A:$C,3,0)-1,4)+0.0001)-DP3,-TRUNC(DR3/VLOOKUP("PCS-30793g",[2]ARBOR!$A:$C,3,0)-1,4)-DP3))))</f>
        <v/>
      </c>
      <c r="DU3" s="85" t="str">
        <f>IF(ISERROR(IF(DT3="","",VLOOKUP(($AY3&amp;DT3&amp;"Template de desconto percentual Bundle - Velox XDSL - Varejo"),[2]BENEFICIOS!$A:$E,5,0))),"Criar",IF(DT3="","",VLOOKUP(($AY3&amp;DT3&amp;"Template de desconto percentual Bundle - Velox XDSL - Varejo"),[2]BENEFICIOS!$A:$E,5,0)))</f>
        <v/>
      </c>
      <c r="DV3" s="89"/>
      <c r="DW3" s="90"/>
      <c r="DX3" s="78" t="str">
        <f>IF(DW3=0,"",IF(DW3=VLOOKUP("PCS-30820g",[2]ARBOR!$A:$C,3,0),0.0001,IF(DW3&gt;VLOOKUP("PCS-30820g",[2]ARBOR!$A:$C,3,0),"Maior que CAP!",IF((DOLLAR(DW3+(VLOOKUP("PCS-30820g",[2]ARBOR!$A:$C,3,0)*-TRUNC(DW3/VLOOKUP("PCS-30820g",[2]ARBOR!$A:$C,3,0)-1,4)),6))&lt;&gt;(DOLLAR(VLOOKUP("PCS-30820g",[2]ARBOR!$A:$C,3,0),6)),-TRUNC(DW3/VLOOKUP("PCS-30820g",[2]ARBOR!$A:$C,3,0)-1,4)+0.0001,-TRUNC(DW3/VLOOKUP("PCS-30820g",[2]ARBOR!$A:$C,3,0)-1,4)))))</f>
        <v/>
      </c>
      <c r="DY3" s="91" t="str">
        <f>IF(ISERROR(IF(DX3="","",VLOOKUP(($AY3&amp;DX3&amp;"Template de desconto FLAT bundle - Velox XDSL - Varejo"),[2]BENEFICIOS!$A:$E,5,0))),"Criar",IF(DX3="","",VLOOKUP(($AY3&amp;DX3&amp;"Template de desconto FLAT bundle - Velox XDSL - Varejo"),[2]BENEFICIOS!$A:$E,5,0)))</f>
        <v/>
      </c>
      <c r="DZ3" s="92"/>
      <c r="EA3" s="93"/>
      <c r="EB3" s="78" t="str">
        <f>IF(DZ3=0,"",IF(DZ3=VLOOKUP("PCS-30820g",[2]ARBOR!$A:$C,3,0),0.0001,IF(DZ3&gt;VLOOKUP("PCS-30820g",[2]ARBOR!$A:$C,3,0),"Maior que CAP!",IF((DOLLAR(DZ3+(VLOOKUP("PCS-30820g",[2]ARBOR!$A:$C,3,0)*-TRUNC(DZ3/VLOOKUP("PCS-30820g",[2]ARBOR!$A:$C,3,0)-1,4)),6))&lt;&gt;(DOLLAR(VLOOKUP("PCS-30820g",[2]ARBOR!$A:$C,3,0),6)),(-TRUNC(DZ3/VLOOKUP("PCS-30820g",[2]ARBOR!$A:$C,3,0)-1,4)+0.0001)-DX3,-TRUNC(DZ3/VLOOKUP("PCS-30820g",[2]ARBOR!$A:$C,3,0)-1,4)-DX3))))</f>
        <v/>
      </c>
      <c r="EC3" s="85" t="str">
        <f>IF(ISERROR(IF(EB3="","",VLOOKUP(($AY3&amp;EB3&amp;"Template de desconto percentual Bundle - Velox XDSL - Varejo"),[2]BENEFICIOS!$A:$E,5,0))),"Criar",IF(EB3="","",VLOOKUP(($AY3&amp;EB3&amp;"Template de desconto percentual Bundle - Velox XDSL - Varejo"),[2]BENEFICIOS!$A:$E,5,0)))</f>
        <v/>
      </c>
      <c r="ED3" s="94">
        <v>44.9</v>
      </c>
      <c r="EE3" s="78">
        <f>IF(ED3=0,"",IF(ED3=VLOOKUP("PCS-21448p2",[2]ARBOR!$A:$C,3,0),0.0001,IF(ED3&gt;VLOOKUP("PCS-21448p2",[2]ARBOR!$A:$C,3,0),"Maior que CAP!",IF((DOLLAR(ED3+(VLOOKUP("PCS-21448p2",[2]ARBOR!$A:$C,3,0)*-TRUNC(ED3/VLOOKUP("PCS-21448p2",[2]ARBOR!$A:$C,3,0)-1,4)),6))&lt;&gt;(DOLLAR(VLOOKUP("PCS-21448p2",[2]ARBOR!$A:$C,3,0),6)),-TRUNC(ED3/VLOOKUP("PCS-21448p2",[2]ARBOR!$A:$C,3,0)-1,4)+0.0001,-TRUNC(ED3/VLOOKUP("PCS-21448p2",[2]ARBOR!$A:$C,3,0)-1,4)))))</f>
        <v>0.64900000000000002</v>
      </c>
      <c r="EF3" s="78" t="str">
        <f>IF(ISERROR(IF(EE3="","",VLOOKUP(("Oi Conta Total Plug 10GB Downgrade"&amp;EE3&amp;"Template de desconto percentual BL Móvel - Internet Total - Varejo"),[2]BENEFICIOS!$A:$E,5,0))),"Criar",IF(EE3="","",VLOOKUP(("Oi Conta Total Plug 10GB Downgrade"&amp;EE3&amp;"Template de desconto percentual BL Móvel - Internet Total - Varejo"),[2]BENEFICIOS!$A:$E,5,0)))</f>
        <v>MKT-1-9825544790</v>
      </c>
      <c r="EG3" s="95">
        <v>16.5</v>
      </c>
      <c r="EH3" s="96">
        <f>IF(EG3=0,"",IF(EG3=VLOOKUP("SVA",[2]ARBOR!$A:$C,3,0),0.0001,IF(EG3&gt;VLOOKUP("SVA",[2]ARBOR!$A:$C,3,0),"Maior que CAP!",IF((DOLLAR(EG3+(VLOOKUP("SVA",[2]ARBOR!$A:$C,3,0)*-TRUNC(EG3/VLOOKUP("SVA",[2]ARBOR!$A:$C,3,0)-1,4)),6))&lt;&gt;(DOLLAR(VLOOKUP("SVA",[2]ARBOR!$A:$C,3,0),6)),-TRUNC(EG3/VLOOKUP("SVA",[2]ARBOR!$A:$C,3,0)-1,4)+0.0001,-TRUNC(EG3/VLOOKUP("SVA",[2]ARBOR!$A:$C,3,0)-1,4)))))</f>
        <v>0.2301</v>
      </c>
      <c r="EI3" s="96" t="s">
        <v>177</v>
      </c>
      <c r="EJ3" s="97"/>
      <c r="EK3" s="98"/>
      <c r="EL3" s="99" t="str">
        <f>IF(EJ3="Grátis",1-EH3,"")</f>
        <v/>
      </c>
      <c r="EM3" s="96" t="str">
        <f>IF(EL3="S/Desc","S/Desc",IF(ISERROR(IF(EL3="","",VLOOKUP(($BX3&amp;EL3&amp;"Template Desc. % sobre Serviço SVA B2C"),[2]BENEFICIOS!$A:$G,5,0))),"Criar",IF(EL3="","",VLOOKUP(($BX3&amp;EL3&amp;"Template Desc. % sobre Serviço SVA B2C"),[2]BENEFICIOS!$A:$G,5,0))))</f>
        <v/>
      </c>
      <c r="EN3" s="100">
        <v>84.9</v>
      </c>
      <c r="EO3" s="101">
        <f>IF(EN3=0,"",IF(EN3=VLOOKUP("PCS-OzTL40",[2]ARBOR!$A:$C,3,0),0.0001,IF(EN3&gt;VLOOKUP("PCS-OzTL40",[2]ARBOR!$A:$C,3,0),"Maior que CAP!",IF((DOLLAR(EN3+(VLOOKUP("PCS-OzTL40",[2]ARBOR!$A:$C,3,0)*-TRUNC(EN3/VLOOKUP("PCS-OzTL40",[2]ARBOR!$A:$C,3,0)-1,4)),6))&lt;&gt;(DOLLAR(VLOOKUP("PCS-OzTL40",[2]ARBOR!$A:$C,3,0),6)),-TRUNC(EN3/VLOOKUP("PCS-OzTL40",[2]ARBOR!$A:$C,3,0)-1,4)+0.0001,-TRUNC(EN3/VLOOKUP("PCS-OzTL40",[2]ARBOR!$A:$C,3,0)-1,4)))))</f>
        <v>0.14249999999999999</v>
      </c>
      <c r="EP3" s="85" t="str">
        <f>IF(ISERROR(IF(EO3="","",VLOOKUP(($AY3&amp;EO3&amp;"Template desconto FLAT Plano Principal Oi TV nível conta"),[2]BENEFICIOS!$A:$G,5,0))),"Criar",IF(EO3="","",VLOOKUP(($AY3&amp;EO3&amp;"Template desconto FLAT Plano Principal Oi TV nível conta"),[2]BENEFICIOS!$A:$G,5,0)))</f>
        <v>MKT-1-10140955511</v>
      </c>
      <c r="EQ3" s="100"/>
      <c r="ER3" s="101" t="str">
        <f>IF(EQ3=0,"",IF(EQ3=VLOOKUP("PCS-OzTL41",[2]ARBOR!$A:$C,3,0),0.0001,IF(EQ3&gt;VLOOKUP("PCS-OzTL41",[2]ARBOR!$A:$C,3,0),"Maior que CAP!",IF((DOLLAR(EQ3+(VLOOKUP("PCS-OzTL41",[2]ARBOR!$A:$C,3,0)*-TRUNC(EQ3/VLOOKUP("PCS-OzTL41",[2]ARBOR!$A:$C,3,0)-1,4)),6))&lt;&gt;(DOLLAR(VLOOKUP("PCS-OzTL41",[2]ARBOR!$A:$C,3,0),6)),-TRUNC(EQ3/VLOOKUP("PCS-OzTL41",[2]ARBOR!$A:$C,3,0)-1,4)+0.0001,-TRUNC(EQ3/VLOOKUP("PCS-OzTL41",[2]ARBOR!$A:$C,3,0)-1,4)))))</f>
        <v/>
      </c>
      <c r="ES3" s="102" t="str">
        <f>IF(ISERROR(IF(ER3="","",VLOOKUP(($AY3&amp;ER3&amp;"Template desconto FLAT Plano Principal Oi TV nível conta"),[2]BENEFICIOS!$A:$G,5,0))),"Criar",IF(ER3="","",VLOOKUP(($AY3&amp;ER3&amp;"Template desconto FLAT Plano Principal Oi TV nível conta"),[2]BENEFICIOS!$A:$G,5,0)))</f>
        <v/>
      </c>
      <c r="ET3" s="100"/>
      <c r="EU3" s="101" t="str">
        <f>IF(ET3=0,"",IF(ET3=VLOOKUP("PCS-OzTL44",[2]ARBOR!$A:$C,3,0),0.0001,IF(ET3&gt;VLOOKUP("PCS-OzTL44",[2]ARBOR!$A:$C,3,0),"Maior que CAP!",IF((DOLLAR(ET3+(VLOOKUP("PCS-OzTL44",[2]ARBOR!$A:$C,3,0)*-TRUNC(ET3/VLOOKUP("PCS-OzTL44",[2]ARBOR!$A:$C,3,0)-1,4)),6))&lt;&gt;(DOLLAR(VLOOKUP("PCS-OzTL44",[2]ARBOR!$A:$C,3,0),6)),-TRUNC(ET3/VLOOKUP("PCS-OzTL44",[2]ARBOR!$A:$C,3,0)-1,4)+0.0001,-TRUNC(ET3/VLOOKUP("PCS-OzTL44",[2]ARBOR!$A:$C,3,0)-1,4)))))</f>
        <v/>
      </c>
      <c r="EV3" s="102" t="str">
        <f>IF(ISERROR(IF(EU3="","",VLOOKUP(($AY3&amp;EU3&amp;"Template desconto FLAT Plano Principal Oi TV nível conta"),[2]BENEFICIOS!$A:$G,5,0))),"Criar",IF(EU3="","",VLOOKUP(($AY3&amp;EU3&amp;"Template desconto FLAT Plano Principal Oi TV nível conta"),[2]BENEFICIOS!$A:$G,5,0)))</f>
        <v/>
      </c>
      <c r="EW3" s="103"/>
      <c r="EX3" s="101" t="str">
        <f>IF(EW3=0,"",IF(EW3=VLOOKUP("PCS-OzTL43",[2]ARBOR!$A:$C,3,0),0.0001,IF(EW3&gt;VLOOKUP("PCS-OzTL43",[2]ARBOR!$A:$C,3,0),"Maior que CAP!",IF((DOLLAR(EW3+(VLOOKUP("PCS-OzTL43",[2]ARBOR!$A:$C,3,0)*-TRUNC(EW3/VLOOKUP("PCS-OzTL43",[2]ARBOR!$A:$C,3,0)-1,4)),6))&lt;&gt;(DOLLAR(VLOOKUP("PCS-OzTL43",[2]ARBOR!$A:$C,3,0),6)),-TRUNC(EW3/VLOOKUP("PCS-OzTL43",[2]ARBOR!$A:$C,3,0)-1,4)+0.0001,-TRUNC(EW3/VLOOKUP("PCS-OzTL43",[2]ARBOR!$A:$C,3,0)-1,4)))))</f>
        <v/>
      </c>
      <c r="EY3" s="102" t="str">
        <f>IF(ISERROR(IF(EX3="","",VLOOKUP(($AY3&amp;EX3&amp;"Template desconto FLAT Plano Principal Oi TV nível conta"),[2]BENEFICIOS!$A:$G,5,0))),"Criar",IF(EX3="","",VLOOKUP(($AY3&amp;EX3&amp;"Template desconto FLAT Plano Principal Oi TV nível conta"),[2]BENEFICIOS!$A:$G,5,0)))</f>
        <v/>
      </c>
      <c r="EZ3" s="103"/>
      <c r="FA3" s="101" t="str">
        <f>IF(EZ3=0,"",IF(EZ3=VLOOKUP("PCS-OzTL45",[2]ARBOR!$A:$C,3,0),0.0001,IF(EZ3&gt;VLOOKUP("PCS-OzTL45",[2]ARBOR!$A:$C,3,0),"Maior que CAP!",IF((DOLLAR(EZ3+(VLOOKUP("PCS-OzTL45",[2]ARBOR!$A:$C,3,0)*-TRUNC(EZ3/VLOOKUP("PCS-OzTL45",[2]ARBOR!$A:$C,3,0)-1,4)),6))&lt;&gt;(DOLLAR(VLOOKUP("PCS-OzTL45",[2]ARBOR!$A:$C,3,0),6)),-TRUNC(EZ3/VLOOKUP("PCS-OzTL45",[2]ARBOR!$A:$C,3,0)-1,4)+0.0001,-TRUNC(EZ3/VLOOKUP("PCS-OzTL45",[2]ARBOR!$A:$C,3,0)-1,4)))))</f>
        <v/>
      </c>
      <c r="FB3" s="102" t="str">
        <f>IF(ISERROR(IF(FA3="","",VLOOKUP(($AY3&amp;FA3&amp;"Template desconto FLAT Plano Principal Oi TV nível conta"),[2]BENEFICIOS!$A:$G,5,0))),"Criar",IF(FA3="","",VLOOKUP(($AY3&amp;FA3&amp;"Template desconto FLAT Plano Principal Oi TV nível conta"),[2]BENEFICIOS!$A:$G,5,0)))</f>
        <v/>
      </c>
      <c r="FC3" s="103"/>
      <c r="FD3" s="101" t="str">
        <f>IF(FC3=0,"",IF(FC3=VLOOKUP("PCS-OzTL741",[2]ARBOR!$A:$C,3,0),0.0001,IF(FC3&gt;VLOOKUP("PCS-OzTL741",[2]ARBOR!$A:$C,3,0),"Maior que CAP!",IF((DOLLAR(FC3+(VLOOKUP("PCS-OzTL741",[2]ARBOR!$A:$C,3,0)*-TRUNC(FC3/VLOOKUP("PCS-OzTL741",[2]ARBOR!$A:$C,3,0)-1,4)),6))&lt;&gt;(DOLLAR(VLOOKUP("PCS-OzTL741",[2]ARBOR!$A:$C,3,0),6)),-TRUNC(FC3/VLOOKUP("PCS-OzTL741",[2]ARBOR!$A:$C,3,0)-1,4)+0.0001,-TRUNC(FC3/VLOOKUP("PCS-OzTL741",[2]ARBOR!$A:$C,3,0)-1,4)))))</f>
        <v/>
      </c>
      <c r="FE3" s="102" t="str">
        <f>IF(ISERROR(IF(FD3="","",VLOOKUP(($AY3&amp;FD3&amp;"Template desconto FLAT Plano Principal Oi TV nível conta"),[2]BENEFICIOS!$A:$G,5,0))),"Criar",IF(FD3="","",VLOOKUP(($AY3&amp;FD3&amp;"Template desconto FLAT Plano Principal Oi TV nível conta"),[2]BENEFICIOS!$A:$G,5,0)))</f>
        <v/>
      </c>
      <c r="FF3" s="103"/>
      <c r="FG3" s="101" t="str">
        <f>IF(FF3=0,"",IF(FF3=VLOOKUP("PCS-OzTL744",[2]ARBOR!$A:$C,3,0),0.0001,IF(FF3&gt;VLOOKUP("PCS-OzTL744",[2]ARBOR!$A:$C,3,0),"Maior que CAP!",IF((DOLLAR(FF3+(VLOOKUP("PCS-OzTL744",[2]ARBOR!$A:$C,3,0)*-TRUNC(FF3/VLOOKUP("PCS-OzTL744",[2]ARBOR!$A:$C,3,0)-1,4)),6))&lt;&gt;(DOLLAR(VLOOKUP("PCS-OzTL744",[2]ARBOR!$A:$C,3,0),6)),-TRUNC(FF3/VLOOKUP("PCS-OzTL744",[2]ARBOR!$A:$C,3,0)-1,4)+0.0001,-TRUNC(FF3/VLOOKUP("PCS-OzTL744",[2]ARBOR!$A:$C,3,0)-1,4)))))</f>
        <v/>
      </c>
      <c r="FH3" s="102" t="str">
        <f>IF(ISERROR(IF(FG3="","",VLOOKUP(($AY3&amp;FG3&amp;"Template desconto FLAT Plano Principal Oi TV nível conta"),[2]BENEFICIOS!$A:$G,5,0))),"Criar",IF(FG3="","",VLOOKUP(($AY3&amp;FG3&amp;"Template desconto FLAT Plano Principal Oi TV nível conta"),[2]BENEFICIOS!$A:$G,5,0)))</f>
        <v/>
      </c>
      <c r="FI3" s="103"/>
      <c r="FJ3" s="101" t="str">
        <f>IF(FI3=0,"",IF(FI3=VLOOKUP("PCS-OzTL743",[2]ARBOR!$A:$C,3,0),0.0001,IF(FI3&gt;VLOOKUP("PCS-OzTL743",[2]ARBOR!$A:$C,3,0),"Maior que CAP!",IF((DOLLAR(FI3+(VLOOKUP("PCS-OzTL743",[2]ARBOR!$A:$C,3,0)*-TRUNC(FI3/VLOOKUP("PCS-OzTL743",[2]ARBOR!$A:$C,3,0)-1,4)),6))&lt;&gt;(DOLLAR(VLOOKUP("PCS-OzTL743",[2]ARBOR!$A:$C,3,0),6)),-TRUNC(FI3/VLOOKUP("PCS-OzTL743",[2]ARBOR!$A:$C,3,0)-1,4)+0.0001,-TRUNC(FI3/VLOOKUP("PCS-OzTL743",[2]ARBOR!$A:$C,3,0)-1,4)))))</f>
        <v/>
      </c>
      <c r="FK3" s="102" t="str">
        <f>IF(ISERROR(IF(FJ3="","",VLOOKUP(($AY3&amp;FJ3&amp;"Template desconto FLAT Plano Principal Oi TV nível conta"),[2]BENEFICIOS!$A:$G,5,0))),"Criar",IF(FJ3="","",VLOOKUP(($AY3&amp;FJ3&amp;"Template desconto FLAT Plano Principal Oi TV nível conta"),[2]BENEFICIOS!$A:$G,5,0)))</f>
        <v/>
      </c>
      <c r="FL3" s="103"/>
      <c r="FM3" s="101" t="str">
        <f>IF(FL3=0,"",IF(FL3=VLOOKUP("PCS-OzTL745",[2]ARBOR!$A:$C,3,0),0.0001,IF(FL3&gt;VLOOKUP("PCS-OzTL745",[2]ARBOR!$A:$C,3,0),"Maior que CAP!",IF((DOLLAR(FL3+(VLOOKUP("PCS-OzTL745",[2]ARBOR!$A:$C,3,0)*-TRUNC(FL3/VLOOKUP("PCS-OzTL745",[2]ARBOR!$A:$C,3,0)-1,4)),6))&lt;&gt;(DOLLAR(VLOOKUP("PCS-OzTL745",[2]ARBOR!$A:$C,3,0),6)),-TRUNC(FL3/VLOOKUP("PCS-OzTL745",[2]ARBOR!$A:$C,3,0)-1,4)+0.0001,-TRUNC(FL3/VLOOKUP("PCS-OzTL745",[2]ARBOR!$A:$C,3,0)-1,4)))))</f>
        <v/>
      </c>
      <c r="FN3" s="102" t="str">
        <f>IF(ISERROR(IF(FM3="","",VLOOKUP(($AY3&amp;FM3&amp;"Template desconto FLAT Plano Principal Oi TV nível conta"),[2]BENEFICIOS!$A:$G,5,0))),"Criar",IF(FM3="","",VLOOKUP(($AY3&amp;FM3&amp;"Template desconto FLAT Plano Principal Oi TV nível conta"),[2]BENEFICIOS!$A:$G,5,0)))</f>
        <v/>
      </c>
      <c r="FO3" s="103"/>
      <c r="FP3" s="101" t="str">
        <f>IF(FO3=0,"",IF(FO3=VLOOKUP("PCS-OzTL42",[2]ARBOR!$A:$C,3,0),0.0001,IF(FO3&gt;VLOOKUP("PCS-OzTL42",[2]ARBOR!$A:$C,3,0),"Maior que CAP!",IF((DOLLAR(FO3+(VLOOKUP("PCS-OzTL42",[2]ARBOR!$A:$C,3,0)*-TRUNC(FO3/VLOOKUP("PCS-OzTL42",[2]ARBOR!$A:$C,3,0)-1,4)),6))&lt;&gt;(DOLLAR(VLOOKUP("PCS-OzTL42",[2]ARBOR!$A:$C,3,0),6)),-TRUNC(FO3/VLOOKUP("PCS-OzTL42",[2]ARBOR!$A:$C,3,0)-1,4)+0.0001,-TRUNC(FO3/VLOOKUP("PCS-OzTL42",[2]ARBOR!$A:$C,3,0)-1,4)))))</f>
        <v/>
      </c>
      <c r="FQ3" s="102" t="str">
        <f>IF(ISERROR(IF(FP3="","",VLOOKUP(($AY3&amp;FP3&amp;"Template desconto FLAT Plano Principal Oi TV nível conta"),[2]BENEFICIOS!$A:$G,5,0))),"Criar",IF(FP3="","",VLOOKUP(($AY3&amp;FP3&amp;"Template desconto FLAT Plano Principal Oi TV nível conta"),[2]BENEFICIOS!$A:$G,5,0)))</f>
        <v/>
      </c>
      <c r="FR3" s="103"/>
      <c r="FS3" s="101" t="str">
        <f>IF(FR3=0,"",IF(FR3=VLOOKUP("PCS-OzTL47",[2]ARBOR!$A:$C,3,0),0.0001,IF(FR3&gt;VLOOKUP("PCS-OzTL47",[2]ARBOR!$A:$C,3,0),"Maior que CAP!",IF((DOLLAR(FR3+(VLOOKUP("PCS-OzTL47",[2]ARBOR!$A:$C,3,0)*-TRUNC(FR3/VLOOKUP("PCS-OzTL47",[2]ARBOR!$A:$C,3,0)-1,4)),6))&lt;&gt;(DOLLAR(VLOOKUP("PCS-OzTL47",[2]ARBOR!$A:$C,3,0),6)),-TRUNC(FR3/VLOOKUP("PCS-OzTL47",[2]ARBOR!$A:$C,3,0)-1,4)+0.0001,-TRUNC(FR3/VLOOKUP("PCS-OzTL47",[2]ARBOR!$A:$C,3,0)-1,4)))))</f>
        <v/>
      </c>
      <c r="FT3" s="102" t="str">
        <f>IF(ISERROR(IF(FS3="","",VLOOKUP(($AY3&amp;FS3&amp;"Template desconto FLAT Plano Principal Oi TV nível conta"),[2]BENEFICIOS!$A:$G,5,0))),"Criar",IF(FS3="","",VLOOKUP(($AY3&amp;FS3&amp;"Template desconto FLAT Plano Principal Oi TV nível conta"),[2]BENEFICIOS!$A:$G,5,0)))</f>
        <v/>
      </c>
      <c r="FU3" s="103"/>
      <c r="FV3" s="101" t="str">
        <f>IF(FU3=0,"",IF(FU3=VLOOKUP("PCS-OzTL46",[2]ARBOR!$A:$C,3,0),0.0001,IF(FU3&gt;VLOOKUP("PCS-OzTL46",[2]ARBOR!$A:$C,3,0),"Maior que CAP!",IF((DOLLAR(FU3+(VLOOKUP("PCS-OzTL46",[2]ARBOR!$A:$C,3,0)*-TRUNC(FU3/VLOOKUP("PCS-OzTL46",[2]ARBOR!$A:$C,3,0)-1,4)),6))&lt;&gt;(DOLLAR(VLOOKUP("PCS-OzTL46",[2]ARBOR!$A:$C,3,0),6)),-TRUNC(FU3/VLOOKUP("PCS-OzTL46",[2]ARBOR!$A:$C,3,0)-1,4)+0.0001,-TRUNC(FU3/VLOOKUP("PCS-OzTL46",[2]ARBOR!$A:$C,3,0)-1,4)))))</f>
        <v/>
      </c>
      <c r="FW3" s="102" t="str">
        <f>IF(ISERROR(IF(FV3="","",VLOOKUP(($AY3&amp;FV3&amp;"Template desconto FLAT Plano Principal Oi TV nível conta"),[2]BENEFICIOS!$A:$G,5,0))),"Criar",IF(FV3="","",VLOOKUP(($AY3&amp;FV3&amp;"Template desconto FLAT Plano Principal Oi TV nível conta"),[2]BENEFICIOS!$A:$G,5,0)))</f>
        <v/>
      </c>
      <c r="FX3" s="103"/>
      <c r="FY3" s="101" t="str">
        <f>IF(FX3=0,"",IF(FX3=VLOOKUP("PCS-OzTL48",[2]ARBOR!$A:$C,3,0),0.0001,IF(FX3&gt;VLOOKUP("PCS-OzTL48",[2]ARBOR!$A:$C,3,0),"Maior que CAP!",IF((DOLLAR(FX3+(VLOOKUP("PCS-OzTL48",[2]ARBOR!$A:$C,3,0)*-TRUNC(FX3/VLOOKUP("PCS-OzTL48",[2]ARBOR!$A:$C,3,0)-1,4)),6))&lt;&gt;(DOLLAR(VLOOKUP("PCS-OzTL48",[2]ARBOR!$A:$C,3,0),6)),-TRUNC(FX3/VLOOKUP("PCS-OzTL48",[2]ARBOR!$A:$C,3,0)-1,4)+0.0001,-TRUNC(FX3/VLOOKUP("PCS-OzTL48",[2]ARBOR!$A:$C,3,0)-1,4)))))</f>
        <v/>
      </c>
      <c r="FZ3" s="102" t="str">
        <f>IF(ISERROR(IF(FY3="","",VLOOKUP(($AY3&amp;FY3&amp;"Template desconto FLAT Plano Principal Oi TV nível conta"),[2]BENEFICIOS!$A:$G,5,0))),"Criar",IF(FY3="","",VLOOKUP(($AY3&amp;FY3&amp;"Template desconto FLAT Plano Principal Oi TV nível conta"),[2]BENEFICIOS!$A:$G,5,0)))</f>
        <v/>
      </c>
      <c r="GA3" s="103"/>
      <c r="GB3" s="101" t="str">
        <f>IF(GA3=0,"",IF(GA3=VLOOKUP("PCS-OzTL742",[2]ARBOR!$A:$C,3,0),0.0001,IF(GA3&gt;VLOOKUP("PCS-OzTL742",[2]ARBOR!$A:$C,3,0),"Maior que CAP!",IF((DOLLAR(GA3+(VLOOKUP("PCS-OzTL742",[2]ARBOR!$A:$C,3,0)*-TRUNC(GA3/VLOOKUP("PCS-OzTL742",[2]ARBOR!$A:$C,3,0)-1,4)),6))&lt;&gt;(DOLLAR(VLOOKUP("PCS-OzTL742",[2]ARBOR!$A:$C,3,0),6)),-TRUNC(GA3/VLOOKUP("PCS-OzTL742",[2]ARBOR!$A:$C,3,0)-1,4)+0.0001,-TRUNC(GA3/VLOOKUP("PCS-OzTL742",[2]ARBOR!$A:$C,3,0)-1,4)))))</f>
        <v/>
      </c>
      <c r="GC3" s="102" t="str">
        <f>IF(ISERROR(IF(GB3="","",VLOOKUP(($AY3&amp;GB3&amp;"Template desconto FLAT Plano Principal Oi TV nível conta"),[2]BENEFICIOS!$A:$G,5,0))),"Criar",IF(GB3="","",VLOOKUP(($AY3&amp;GB3&amp;"Template desconto FLAT Plano Principal Oi TV nível conta"),[2]BENEFICIOS!$A:$G,5,0)))</f>
        <v/>
      </c>
      <c r="GD3" s="103"/>
      <c r="GE3" s="101" t="str">
        <f>IF(GD3=0,"",IF(GD3=VLOOKUP("PCS-OzTL747",[2]ARBOR!$A:$C,3,0),0.0001,IF(GD3&gt;VLOOKUP("PCS-OzTL747",[2]ARBOR!$A:$C,3,0),"Maior que CAP!",IF((DOLLAR(GD3+(VLOOKUP("PCS-OzTL747",[2]ARBOR!$A:$C,3,0)*-TRUNC(GD3/VLOOKUP("PCS-OzTL747",[2]ARBOR!$A:$C,3,0)-1,4)),6))&lt;&gt;(DOLLAR(VLOOKUP("PCS-OzTL747",[2]ARBOR!$A:$C,3,0),6)),-TRUNC(GD3/VLOOKUP("PCS-OzTL747",[2]ARBOR!$A:$C,3,0)-1,4)+0.0001,-TRUNC(GD3/VLOOKUP("PCS-OzTL747",[2]ARBOR!$A:$C,3,0)-1,4)))))</f>
        <v/>
      </c>
      <c r="GF3" s="102" t="str">
        <f>IF(ISERROR(IF(GE3="","",VLOOKUP(($AY3&amp;GE3&amp;"Template desconto FLAT Plano Principal Oi TV nível conta"),[2]BENEFICIOS!$A:$G,5,0))),"Criar",IF(GE3="","",VLOOKUP(($AY3&amp;GE3&amp;"Template desconto FLAT Plano Principal Oi TV nível conta"),[2]BENEFICIOS!$A:$G,5,0)))</f>
        <v/>
      </c>
      <c r="GG3" s="103"/>
      <c r="GH3" s="101" t="str">
        <f>IF(GG3=0,"",IF(GG3=VLOOKUP("PCS-OzTL746",[2]ARBOR!$A:$C,3,0),0.0001,IF(GG3&gt;VLOOKUP("PCS-OzTL746",[2]ARBOR!$A:$C,3,0),"Maior que CAP!",IF((DOLLAR(GG3+(VLOOKUP("PCS-OzTL746",[2]ARBOR!$A:$C,3,0)*-TRUNC(GG3/VLOOKUP("PCS-OzTL746",[2]ARBOR!$A:$C,3,0)-1,4)),6))&lt;&gt;(DOLLAR(VLOOKUP("PCS-OzTL746",[2]ARBOR!$A:$C,3,0),6)),-TRUNC(GG3/VLOOKUP("PCS-OzTL746",[2]ARBOR!$A:$C,3,0)-1,4)+0.0001,-TRUNC(GG3/VLOOKUP("PCS-OzTL746",[2]ARBOR!$A:$C,3,0)-1,4)))))</f>
        <v/>
      </c>
      <c r="GI3" s="102" t="str">
        <f>IF(ISERROR(IF(GH3="","",VLOOKUP(($AY3&amp;GH3&amp;"Template desconto FLAT Plano Principal Oi TV nível conta"),[2]BENEFICIOS!$A:$G,5,0))),"Criar",IF(GH3="","",VLOOKUP(($AY3&amp;GH3&amp;"Template desconto FLAT Plano Principal Oi TV nível conta"),[2]BENEFICIOS!$A:$G,5,0)))</f>
        <v/>
      </c>
      <c r="GJ3" s="103"/>
      <c r="GK3" s="101" t="str">
        <f>IF(GJ3=0,"",IF(GJ3=VLOOKUP("PCS-OzTL748",[2]ARBOR!$A:$C,3,0),0.0001,IF(GJ3&gt;VLOOKUP("PCS-OzTL748",[2]ARBOR!$A:$C,3,0),"Maior que CAP!",IF((DOLLAR(GJ3+(VLOOKUP("PCS-OzTL748",[2]ARBOR!$A:$C,3,0)*-TRUNC(GJ3/VLOOKUP("PCS-OzTL748",[2]ARBOR!$A:$C,3,0)-1,4)),6))&lt;&gt;(DOLLAR(VLOOKUP("PCS-OzTL748",[2]ARBOR!$A:$C,3,0),6)),-TRUNC(GJ3/VLOOKUP("PCS-OzTL748",[2]ARBOR!$A:$C,3,0)-1,4)+0.0001,-TRUNC(GJ3/VLOOKUP("PCS-OzTL748",[2]ARBOR!$A:$C,3,0)-1,4)))))</f>
        <v/>
      </c>
      <c r="GL3" s="102" t="str">
        <f>IF(ISERROR(IF(GK3="","",VLOOKUP(($AY3&amp;GK3&amp;"Template desconto FLAT Plano Principal Oi TV nível conta"),[2]BENEFICIOS!$A:$G,5,0))),"Criar",IF(GK3="","",VLOOKUP(($AY3&amp;GK3&amp;"Template desconto FLAT Plano Principal Oi TV nível conta"),[2]BENEFICIOS!$A:$G,5,0)))</f>
        <v/>
      </c>
      <c r="GM3" s="103">
        <v>75</v>
      </c>
      <c r="GN3" s="101">
        <f>IF(GM3=0,"",IF(GM3=VLOOKUP("PCS-OzTL34",[2]ARBOR!$A:$C,3,0),0.0001,IF(GM3&gt;VLOOKUP("PCS-OzTL34",[2]ARBOR!$A:$C,3,0),"Maior que CAP!",IF((DOLLAR(GM3+(VLOOKUP("PCS-OzTL34",[2]ARBOR!$A:$C,3,0)*-TRUNC(GM3/VLOOKUP("PCS-OzTL34",[2]ARBOR!$A:$C,3,0)-1,4)),6))&lt;&gt;(DOLLAR(VLOOKUP("PCS-OzTL34",[2]ARBOR!$A:$C,3,0),6)),-TRUNC(GM3/VLOOKUP("PCS-OzTL34",[2]ARBOR!$A:$C,3,0)-1,4)+0.0001,-TRUNC(GM3/VLOOKUP("PCS-OzTL34",[2]ARBOR!$A:$C,3,0)-1,4)))))</f>
        <v>0.31900000000000001</v>
      </c>
      <c r="GO3" s="102" t="s">
        <v>178</v>
      </c>
      <c r="GP3" s="103">
        <v>19.899999999999999</v>
      </c>
      <c r="GQ3" s="101">
        <f>IF(GP3=0,"",IF(GP3=VLOOKUP("PCS-OzTL31",[2]ARBOR!$A:$C,3,0),0.0001,IF(GP3&gt;VLOOKUP("PCS-OzTL31",[2]ARBOR!$A:$C,3,0),"Maior que CAP!",IF((DOLLAR(GP3+(VLOOKUP("PCS-OzTL31",[2]ARBOR!$A:$C,3,0)*-TRUNC(GP3/VLOOKUP("PCS-OzTL31",[2]ARBOR!$A:$C,3,0)-1,4)),6))&lt;&gt;(DOLLAR(VLOOKUP("PCS-OzTL31",[2]ARBOR!$A:$C,3,0),6)),-TRUNC(GP3/VLOOKUP("PCS-OzTL31",[2]ARBOR!$A:$C,3,0)-1,4)+0.0001,-TRUNC(GP3/VLOOKUP("PCS-OzTL31",[2]ARBOR!$A:$C,3,0)-1,4)))))</f>
        <v>9.1800000000000007E-2</v>
      </c>
      <c r="GR3" s="102" t="s">
        <v>179</v>
      </c>
      <c r="GS3" s="103">
        <v>19.899999999999999</v>
      </c>
      <c r="GT3" s="101">
        <f>IF(GS3=0,"",IF(GS3=VLOOKUP("PCS-OzTL32",[2]ARBOR!$A:$C,3,0),0.0001,IF(GS3&gt;VLOOKUP("PCS-OzTL32",[2]ARBOR!$A:$C,3,0),"Maior que CAP!",IF((DOLLAR(GS3+(VLOOKUP("PCS-OzTL32",[2]ARBOR!$A:$C,3,0)*-TRUNC(GS3/VLOOKUP("PCS-OzTL32",[2]ARBOR!$A:$C,3,0)-1,4)),6))&lt;&gt;(DOLLAR(VLOOKUP("PCS-OzTL32",[2]ARBOR!$A:$C,3,0),6)),-TRUNC(GS3/VLOOKUP("PCS-OzTL32",[2]ARBOR!$A:$C,3,0)-1,4)+0.0001,-TRUNC(GS3/VLOOKUP("PCS-OzTL32",[2]ARBOR!$A:$C,3,0)-1,4)))))</f>
        <v>9.1800000000000007E-2</v>
      </c>
      <c r="GU3" s="102" t="s">
        <v>180</v>
      </c>
      <c r="GV3" s="103">
        <v>29.9</v>
      </c>
      <c r="GW3" s="101">
        <f>IF(GV3=0,"",IF(GV3=VLOOKUP("PCS-OzTL33",[2]ARBOR!$A:$C,3,0),0.0001,IF(GV3&gt;VLOOKUP("PCS-OzTL33",[2]ARBOR!$A:$C,3,0),"Maior que CAP!",IF((DOLLAR(GV3+(VLOOKUP("PCS-OzTL33",[2]ARBOR!$A:$C,3,0)*-TRUNC(GV3/VLOOKUP("PCS-OzTL33",[2]ARBOR!$A:$C,3,0)-1,4)),6))&lt;&gt;(DOLLAR(VLOOKUP("PCS-OzTL33",[2]ARBOR!$A:$C,3,0),6)),-TRUNC(GV3/VLOOKUP("PCS-OzTL33",[2]ARBOR!$A:$C,3,0)-1,4)+0.0001,-TRUNC(GV3/VLOOKUP("PCS-OzTL33",[2]ARBOR!$A:$C,3,0)-1,4)))))</f>
        <v>9.1800000000000007E-2</v>
      </c>
      <c r="GX3" s="102" t="s">
        <v>181</v>
      </c>
      <c r="GY3" s="103">
        <v>14.9</v>
      </c>
      <c r="GZ3" s="101">
        <f>IF(GY3=0,"",IF(GY3=VLOOKUP("PCS-OzTL503",[2]ARBOR!$A:$C,3,0),0.0001,IF(GY3&gt;VLOOKUP("PCS-OzTL503",[2]ARBOR!$A:$C,3,0),"Maior que CAP!",IF((DOLLAR(GY3+(VLOOKUP("PCS-OzTL503",[2]ARBOR!$A:$C,3,0)*-TRUNC(GY3/VLOOKUP("PCS-OzTL503",[2]ARBOR!$A:$C,3,0)-1,4)),6))&lt;&gt;(DOLLAR(VLOOKUP("PCS-OzTL503",[2]ARBOR!$A:$C,3,0),6)),-TRUNC(GY3/VLOOKUP("PCS-OzTL503",[2]ARBOR!$A:$C,3,0)-1,4)+0.0001,-TRUNC(GY3/VLOOKUP("PCS-OzTL503",[2]ARBOR!$A:$C,3,0)-1,4)))))</f>
        <v>9.1499999999999998E-2</v>
      </c>
      <c r="HA3" s="102" t="s">
        <v>182</v>
      </c>
      <c r="HB3" s="103">
        <v>10</v>
      </c>
      <c r="HC3" s="101">
        <f>IF(HB3=0,"",IF(HB3=VLOOKUP("PCS-OzTL500",[2]ARBOR!$A:$C,3,0),0.0001,IF(HB3&gt;VLOOKUP("PCS-OzTL500",[2]ARBOR!$A:$C,3,0),"Maior que CAP!",IF((DOLLAR(HB3+(VLOOKUP("PCS-OzTL500",[2]ARBOR!$A:$C,3,0)*-TRUNC(HB3/VLOOKUP("PCS-OzTL500",[2]ARBOR!$A:$C,3,0)-1,4)),6))&lt;&gt;(DOLLAR(VLOOKUP("PCS-OzTL500",[2]ARBOR!$A:$C,3,0),6)),-TRUNC(HB3/VLOOKUP("PCS-OzTL500",[2]ARBOR!$A:$C,3,0)-1,4)+0.0001,-TRUNC(HB3/VLOOKUP("PCS-OzTL500",[2]ARBOR!$A:$C,3,0)-1,4)))))</f>
        <v>9.1800000000000007E-2</v>
      </c>
      <c r="HD3" s="102" t="s">
        <v>183</v>
      </c>
      <c r="HE3" s="103" t="s">
        <v>184</v>
      </c>
      <c r="HF3" s="101"/>
      <c r="HG3" s="102"/>
      <c r="HH3" s="103" t="s">
        <v>185</v>
      </c>
      <c r="HI3" s="101"/>
      <c r="HJ3" s="102"/>
      <c r="HK3" s="103" t="s">
        <v>186</v>
      </c>
      <c r="HL3" s="101"/>
      <c r="HM3" s="102"/>
      <c r="HN3" s="103" t="s">
        <v>187</v>
      </c>
      <c r="HO3" s="101"/>
      <c r="HP3" s="102"/>
      <c r="HQ3" s="103" t="s">
        <v>188</v>
      </c>
      <c r="HR3" s="101"/>
      <c r="HS3" s="102"/>
      <c r="HT3" s="103">
        <v>24.9</v>
      </c>
      <c r="HU3" s="101">
        <f>IF(HT3=0,"",IF(HT3=VLOOKUP("PCS-OzTL99",[2]ARBOR!$A:$C,3,0),0.0001,IF(HT3&gt;VLOOKUP("PCS-OzTL99",[2]ARBOR!$A:$C,3,0),"Maior que CAP!",IF((DOLLAR(HT3+(VLOOKUP("PCS-OzTL99",[2]ARBOR!$A:$C,3,0)*-TRUNC(HT3/VLOOKUP("PCS-OzTL99",[2]ARBOR!$A:$C,3,0)-1,4)),6))&lt;&gt;(DOLLAR(VLOOKUP("PCS-OzTL99",[2]ARBOR!$A:$C,3,0),6)),-TRUNC(HT3/VLOOKUP("PCS-OzTL99",[2]ARBOR!$A:$C,3,0)-1,4)+0.0001,-TRUNC(HT3/VLOOKUP("PCS-OzTL99",[2]ARBOR!$A:$C,3,0)-1,4)))))</f>
        <v>0.16729999999999998</v>
      </c>
      <c r="HV3" s="104" t="s">
        <v>189</v>
      </c>
      <c r="HW3" s="92" t="s">
        <v>173</v>
      </c>
      <c r="HX3" s="102" t="str">
        <f>IF(HW3="Sim","PCS-34704","")</f>
        <v/>
      </c>
      <c r="HY3" s="105" t="str">
        <f>IFERROR((IF(AZ3="","",VLOOKUP(AZ3,[2]ARBOR!A:C,3,0))),"")</f>
        <v/>
      </c>
      <c r="HZ3" s="106"/>
      <c r="IA3" s="78" t="str">
        <f>IF(HZ3="","",ROUND(1-(HZ3/VLOOKUP(AZ3&amp;"ASS",[2]ARBOR!A:C,3,0)),4))</f>
        <v/>
      </c>
      <c r="IB3" s="79"/>
      <c r="IC3" s="107"/>
      <c r="ID3" s="108"/>
      <c r="IE3" s="78" t="str">
        <f>IF(ID3="","",ROUND(IF(ID3=0,"",IF(ID3=HY3,0.0001,1-((ID3+(VLOOKUP(AZ3&amp;"ASS",[2]ARBOR!A:C,3,0)-HZ3))/HY3))),4))</f>
        <v/>
      </c>
      <c r="IF3" s="78" t="str">
        <f>IF(ISERROR(IF(IE3="","",VLOOKUP(($AY3&amp;IE3&amp;"Template de desconto percentual FLAT Móvel - Conta Total - Varejo - Ganho Tributário Cross"),[2]BENEFICIOS!$A:$E,5,0))),"Criar",IF(IE3="","",VLOOKUP(($AY3&amp;IE3&amp;"Template de desconto percentual FLAT Móvel - Conta Total - Varejo - Ganho Tributário Cross"),[2]BENEFICIOS!$A:$E,5,0)))</f>
        <v/>
      </c>
      <c r="IG3" s="89"/>
      <c r="IH3" s="78"/>
      <c r="II3" s="109"/>
      <c r="IJ3" s="110"/>
      <c r="IK3" s="78"/>
      <c r="IL3" s="78"/>
      <c r="IM3" s="111"/>
      <c r="IN3" s="111"/>
      <c r="IO3" s="112"/>
      <c r="IP3" s="113" t="str">
        <f>IF(IO3=0,"",IF(IO3=VLOOKUP("PCS-813566",[2]ARBOR!$A:$C,3,0),0.0001,IF(IO3&gt;VLOOKUP("PCS-813566",[2]ARBOR!$A:$C,3,0),"Maior que CAP!",ROUND(-1*(IO3/VLOOKUP("PCS-813566",[2]ARBOR!$A:$C,3,0)-1),4))))</f>
        <v/>
      </c>
      <c r="IQ3" s="114" t="str">
        <f>IF(ISERROR(IF(IP3="","",VLOOKUP(("Oi Internet Pra Celular 300MB"&amp;IP3&amp;"Template Flat Instância Dados"),[2]BENEFICIOS!$A:$E,5,0))),"Criar",IF(IP3="","",VLOOKUP(("Oi Internet Pra Celular 300MB"&amp;IP3&amp;"Template Flat Instância Dados"),[2]BENEFICIOS!$A:$E,5,0)))</f>
        <v/>
      </c>
      <c r="IR3" s="115"/>
      <c r="IS3" s="116" t="str">
        <f>IF(IR3=0,"",IF(IR3=VLOOKUP("sva_bancas",[2]ARBOR!$A:$C,3,0),0.0001,IF(IR3&gt;VLOOKUP("sva_livros",[2]ARBOR!$A:$C,3,0),"Maior que CAP!",ROUND(-1*(IR3/VLOOKUP("sva_bancas",[2]ARBOR!$A:$C,3,0)-1),4))))</f>
        <v/>
      </c>
      <c r="IT3" s="117" t="str">
        <f>IF(ISERROR(IF(IS3="","",VLOOKUP(("Oi Internet Pra Celular 300MB"&amp;IS3&amp;"Template Desconto % SVA DADOS B2C"),[2]BENEFICIOS!$A:$E,5,0))),"Criar",IF(IS3="","",VLOOKUP(("Oi Internet Pra Celular 300MB"&amp;IS3&amp;"Template Desconto % SVA DADOS B2C"),[2]BENEFICIOS!$A:$E,5,0)))</f>
        <v/>
      </c>
      <c r="IU3" s="112"/>
      <c r="IV3" s="113" t="str">
        <f>IF(IU3=0,"",IF(IU3=VLOOKUP("PCS-813564",[2]ARBOR!$A:$C,3,0),0.0001,IF(IU3&gt;VLOOKUP("PCS-813564",[2]ARBOR!$A:$C,3,0),"Maior que CAP!",ROUND(-1*(IU3/VLOOKUP("PCS-813564",[2]ARBOR!$A:$C,3,0)-1),4))))</f>
        <v/>
      </c>
      <c r="IW3" s="114" t="str">
        <f>IF(ISERROR(IF(IV3="","",VLOOKUP(("Oi Internet Pra Celular 500MB"&amp;IV3&amp;"Template Flat Instância Dados"),[2]BENEFICIOS!$A:$E,5,0))),"Criar",IF(IV3="","",VLOOKUP(("Oi Internet Pra Celular 500MB"&amp;IV3&amp;"Template Flat Instância Dados"),[2]BENEFICIOS!$A:$E,5,0)))</f>
        <v/>
      </c>
      <c r="IX3" s="115"/>
      <c r="IY3" s="116" t="str">
        <f>IF(IX3=0,"",IF(IX3=VLOOKUP("sva_livros",[2]ARBOR!$A:$C,3,0),0.0001,IF(IX3&gt;VLOOKUP("sva_livros",[2]ARBOR!$A:$C,3,0),"Maior que CAP!",ROUND(-1*(IX3/VLOOKUP("sva_livros",[2]ARBOR!$A:$C,3,0)-1),4))))</f>
        <v/>
      </c>
      <c r="IZ3" s="117" t="str">
        <f>IF(ISERROR(IF(IY3="","",VLOOKUP(("Oi Internet Pra Celular 500MB"&amp;IY3&amp;"Template Desconto % SVA DADOS B2C"),[2]BENEFICIOS!$A:$E,5,0))),"Criar",IF(IY3="","",VLOOKUP(("Oi Internet Pra Celular 500MB"&amp;IY3&amp;"Template Desconto % SVA DADOS B2C"),[2]BENEFICIOS!$A:$E,5,0)))</f>
        <v/>
      </c>
      <c r="JA3" s="112"/>
      <c r="JB3" s="113" t="str">
        <f>IF(JA3=0,"",IF(JA3=VLOOKUP("PCS-10357",[2]ARBOR!$A:$C,3,0),0.0001,IF(JA3&gt;VLOOKUP("PCS-10357",[2]ARBOR!$A:$C,3,0),"Maior que CAP!",ROUND(-1*(JA3/VLOOKUP("PCS-10357",[2]ARBOR!$A:$C,3,0)-1),4))))</f>
        <v/>
      </c>
      <c r="JC3" s="114" t="str">
        <f>IF(ISERROR(IF(JB3="","",VLOOKUP(("Oi Internet Pra Celular 1GB"&amp;JB3&amp;"Template Flat Instância Dados"),[2]BENEFICIOS!$A:$E,5,0))),"Criar",IF(JB3="","",VLOOKUP(("Oi Internet Pra Celular 1GB"&amp;JB3&amp;"Template Flat Instância Dados"),[2]BENEFICIOS!$A:$E,5,0)))</f>
        <v/>
      </c>
      <c r="JD3" s="115"/>
      <c r="JE3" s="116" t="str">
        <f>IF(JD3=0,"",IF(JD3=VLOOKUP("sva_livros",[2]ARBOR!$A:$C,3,0),0.0001,IF(JD3&gt;VLOOKUP("sva_livros",[2]ARBOR!$A:$C,3,0),"Maior que CAP!",ROUND(-1*(JD3/VLOOKUP("sva_livros",[2]ARBOR!$A:$C,3,0)-1),4))))</f>
        <v/>
      </c>
      <c r="JF3" s="117" t="str">
        <f>IF(ISERROR(IF(JE3="","",VLOOKUP(("Oi Internet Pra Celular 1GB"&amp;JE3&amp;"Template Desconto % SVA DADOS B2C"),[2]BENEFICIOS!$A:$E,5,0))),"Criar",IF(JE3="","",VLOOKUP(("Oi Internet Pra Celular 1GB"&amp;JE3&amp;"Template Desconto % SVA DADOS B2C"),[2]BENEFICIOS!$A:$E,5,0)))</f>
        <v/>
      </c>
      <c r="JG3" s="112"/>
      <c r="JH3" s="113" t="str">
        <f>IF(JG3=0,"",IF(JG3=VLOOKUP("PCS-813565",[2]ARBOR!$A:$C,3,0),0.0001,IF(JG3&gt;VLOOKUP("PCS-813565",[2]ARBOR!$A:$C,3,0),"Maior que CAP!",ROUND(-1*(JG3/VLOOKUP("PCS-813565",[2]ARBOR!$A:$C,3,0)-1),4))))</f>
        <v/>
      </c>
      <c r="JI3" s="114" t="str">
        <f>IF(ISERROR(IF(JH3="","",VLOOKUP(("Oi Internet Pra Celular 2GB"&amp;JH3&amp;"Template Flat Instância Dados"),[2]BENEFICIOS!$A:$E,5,0))),"Criar",IF(JH3="","",VLOOKUP(("Oi Internet Pra Celular 2GB"&amp;JH3&amp;"Template Flat Instância Dados"),[2]BENEFICIOS!$A:$E,5,0)))</f>
        <v/>
      </c>
      <c r="JJ3" s="115"/>
      <c r="JK3" s="116" t="str">
        <f>IF(JJ3=0,"",IF(JJ3=VLOOKUP("sva_livros",[2]ARBOR!$A:$C,3,0),0.0001,IF(JJ3&gt;VLOOKUP("sva_livros",[2]ARBOR!$A:$C,3,0),"Maior que CAP!",ROUND(-1*(JJ3/VLOOKUP("sva_livros",[2]ARBOR!$A:$C,3,0)-1),4))))</f>
        <v/>
      </c>
      <c r="JL3" s="117" t="str">
        <f>IF(ISERROR(IF(JK3="","",VLOOKUP(("Oi Internet Pra Celular 2GB"&amp;JK3&amp;"Template Desconto % SVA DADOS B2C"),[2]BENEFICIOS!$A:$E,5,0))),"Criar",IF(JK3="","",VLOOKUP(("Oi Internet Pra Celular 2GB"&amp;JK3&amp;"Template Desconto % SVA DADOS B2C"),[2]BENEFICIOS!$A:$E,5,0)))</f>
        <v/>
      </c>
      <c r="JM3" s="112"/>
      <c r="JN3" s="113" t="str">
        <f>IF(JM3=0,"",IF(JM3=VLOOKUP("PCS-7171B",[2]ARBOR!$A:$C,3,0),0.0001,IF(JM3&gt;VLOOKUP("PCS-7171B",[2]ARBOR!$A:$C,3,0),"Maior que CAP!",ROUND(-1*(JM3/VLOOKUP("PCS-7171B",[2]ARBOR!$A:$C,3,0)-1),4))))</f>
        <v/>
      </c>
      <c r="JO3" s="114" t="str">
        <f>IF(ISERROR(IF(JN3="","",VLOOKUP(("Oi Internet Pra Celular 3GB"&amp;JN3&amp;"Template Flat Instância Dados"),[2]BENEFICIOS!$A:$E,5,0))),"Criar",IF(JN3="","",VLOOKUP(("Oi Internet Pra Celular 3GB"&amp;JN3&amp;"Template Flat Instância Dados"),[2]BENEFICIOS!$A:$E,5,0)))</f>
        <v/>
      </c>
      <c r="JP3" s="115"/>
      <c r="JQ3" s="116" t="str">
        <f>IF(JP3=0,"",IF(JP3=VLOOKUP("sva_livros",[2]ARBOR!$A:$C,3,0),0.0001,IF(JP3&gt;VLOOKUP("sva_livros",[2]ARBOR!$A:$C,3,0),"Maior que CAP!",ROUND(-1*(JP3/VLOOKUP("sva_livros",[2]ARBOR!$A:$C,3,0)-1),4))))</f>
        <v/>
      </c>
      <c r="JR3" s="117" t="str">
        <f>IF(ISERROR(IF(JQ3="","",VLOOKUP(("Oi Internet Pra Celular 3GB"&amp;JQ3&amp;"Template Desconto % SVA DADOS B2C"),[2]BENEFICIOS!$A:$E,5,0))),"Criar",IF(JQ3="","",VLOOKUP(("Oi Internet Pra Celular 3GB"&amp;JQ3&amp;"Template Desconto % SVA DADOS B2C"),[2]BENEFICIOS!$A:$E,5,0)))</f>
        <v/>
      </c>
      <c r="JS3" s="112"/>
      <c r="JT3" s="113" t="str">
        <f>IF(JS3=0,"",IF(JS3=VLOOKUP("PCS-51793o08",[2]ARBOR!$A:$C,3,0),0.0001,IF(JS3&gt;VLOOKUP("PCS-51793o08",[2]ARBOR!$A:$C,3,0),"Maior que CAP!",ROUND(-1*(JS3/VLOOKUP("PCS-51793o08",[2]ARBOR!$A:$C,3,0)-1),4))))</f>
        <v/>
      </c>
      <c r="JU3" s="114" t="str">
        <f>IF(ISERROR(IF(JT3="","",VLOOKUP(("Oi Internet Pra Celular 5GB"&amp;JT3&amp;"Template Flat Instância Dados"),[2]BENEFICIOS!$A:$E,5,0))),"Criar",IF(JT3="","",VLOOKUP(("Oi Internet Pra Celular 5GB"&amp;JT3&amp;"Template Flat Instância Dados"),[2]BENEFICIOS!$A:$E,5,0)))</f>
        <v/>
      </c>
      <c r="JV3" s="115"/>
      <c r="JW3" s="116" t="str">
        <f>IF(JV3=0,"",IF(JV3=VLOOKUP("sva_curtas",[2]ARBOR!$A:$C,3,0),0.0001,IF(JV3&gt;VLOOKUP("sva_curtas",[2]ARBOR!$A:$C,3,0),"Maior que CAP!",ROUND(-1*(JV3/VLOOKUP("sva_curtas",[2]ARBOR!$A:$C,3,0)-1),4))))</f>
        <v/>
      </c>
      <c r="JX3" s="117" t="str">
        <f>IF(ISERROR(IF(JW3="","",VLOOKUP(("Oi Internet Pra Celular 5GB"&amp;JW3&amp;"Template Desconto % SVA DADOS B2C"),[2]BENEFICIOS!$A:$E,5,0))),"Criar",IF(JW3="","",VLOOKUP(("Oi Internet Pra Celular 5GB"&amp;JW3&amp;"Template Desconto % SVA DADOS B2C"),[2]BENEFICIOS!$A:$E,5,0)))</f>
        <v/>
      </c>
      <c r="JY3" s="112"/>
      <c r="JZ3" s="113" t="str">
        <f>IF(JY3=0,"",IF(JY3=VLOOKUP("PCS-7171A",[2]ARBOR!$A:$C,3,0),0.0001,IF(JY3&gt;VLOOKUP("PCS-7171A",[2]ARBOR!$A:$C,3,0),"Maior que CAP!",ROUND(-1*(JY3/VLOOKUP("PCS-7171A",[2]ARBOR!$A:$C,3,0)-1),4))))</f>
        <v/>
      </c>
      <c r="KA3" s="118" t="str">
        <f>IF(ISERROR(IF(JZ3="","",VLOOKUP(("Oi Internet Pra Celular 10GB"&amp;JZ3&amp;"Template Flat Instância Dados"),[2]BENEFICIOS!$A:$E,5,0))),"Criar",IF(JZ3="","",VLOOKUP(("Oi Internet Pra Celular 10GB"&amp;JZ3&amp;"Template Flat Instância Dados"),[2]BENEFICIOS!$A:$E,5,0)))</f>
        <v/>
      </c>
      <c r="KB3" s="115"/>
      <c r="KC3" s="116" t="str">
        <f>IF(KB3=0,"",IF(KB3=VLOOKUP("sva_curtas",[2]ARBOR!$A:$C,3,0),0.0001,IF(KB3&gt;VLOOKUP("sva_curtas",[2]ARBOR!$A:$C,3,0),"Maior que CAP!",ROUND(-1*(KB3/VLOOKUP("sva_curtas",[2]ARBOR!$A:$C,3,0)-1),4))))</f>
        <v/>
      </c>
      <c r="KD3" s="117" t="str">
        <f>IF(ISERROR(IF(KC3="","",VLOOKUP(("Oi Internet Pra Celular 10GB"&amp;KC3&amp;"Template Desconto % SVA DADOS B2C"),[2]BENEFICIOS!$A:$E,5,0))),"Criar",IF(KC3="","",VLOOKUP(("Oi Internet Pra Celular 10GB"&amp;KC3&amp;"Template Desconto % SVA DADOS B2C"),[2]BENEFICIOS!$A:$E,5,0)))</f>
        <v/>
      </c>
      <c r="KE3" s="119"/>
      <c r="KF3" s="120"/>
      <c r="KG3" s="121" t="s">
        <v>167</v>
      </c>
      <c r="KH3" s="122" t="s">
        <v>190</v>
      </c>
      <c r="KI3" s="123">
        <v>599</v>
      </c>
      <c r="KJ3" s="122">
        <v>12</v>
      </c>
      <c r="KK3" s="124" t="str">
        <f>IF(KH3="Benefício","Oi benefício fidelização Multiprodutos","")</f>
        <v>Oi benefício fidelização Multiprodutos</v>
      </c>
      <c r="KL3" s="125" t="str">
        <f>IF(KH3="Benefício","PCS-Fk83324","")</f>
        <v>PCS-Fk83324</v>
      </c>
      <c r="KM3" s="125" t="str">
        <f>IF(KG3="Sim","PCS-SBL553142","")</f>
        <v>PCS-SBL553142</v>
      </c>
      <c r="KN3" s="126" t="s">
        <v>191</v>
      </c>
      <c r="KO3" s="127" t="s">
        <v>192</v>
      </c>
      <c r="KP3" s="127" t="s">
        <v>193</v>
      </c>
      <c r="KQ3" s="126" t="s">
        <v>194</v>
      </c>
      <c r="KR3" s="124" t="s">
        <v>195</v>
      </c>
      <c r="KS3" s="125" t="s">
        <v>196</v>
      </c>
      <c r="KT3" s="128" t="s">
        <v>197</v>
      </c>
      <c r="KU3" s="129">
        <v>130.01</v>
      </c>
      <c r="KV3" s="129" t="s">
        <v>198</v>
      </c>
      <c r="KW3" s="129" t="s">
        <v>198</v>
      </c>
      <c r="KX3" s="129" t="s">
        <v>198</v>
      </c>
      <c r="KY3" s="129" t="s">
        <v>198</v>
      </c>
      <c r="KZ3" s="129" t="s">
        <v>198</v>
      </c>
      <c r="LA3" s="129" t="s">
        <v>198</v>
      </c>
      <c r="LB3" s="129" t="s">
        <v>198</v>
      </c>
      <c r="LC3" s="129" t="s">
        <v>198</v>
      </c>
      <c r="LD3" s="129" t="s">
        <v>198</v>
      </c>
      <c r="LE3" s="129" t="s">
        <v>198</v>
      </c>
      <c r="LF3" s="129" t="s">
        <v>198</v>
      </c>
      <c r="LG3" s="129" t="s">
        <v>198</v>
      </c>
      <c r="LH3" s="129" t="s">
        <v>198</v>
      </c>
      <c r="LI3" s="129" t="s">
        <v>198</v>
      </c>
      <c r="LJ3" s="129" t="s">
        <v>198</v>
      </c>
      <c r="LK3" s="130" t="s">
        <v>198</v>
      </c>
      <c r="LL3" s="131"/>
      <c r="LM3" s="132"/>
      <c r="LN3" s="132"/>
      <c r="LO3" s="132"/>
      <c r="LP3" s="132"/>
      <c r="LQ3" s="132"/>
      <c r="LR3" s="132"/>
      <c r="LS3" s="132"/>
      <c r="LT3" s="132"/>
      <c r="LU3" s="133"/>
      <c r="LV3" t="s">
        <v>199</v>
      </c>
      <c r="LW3" t="s">
        <v>200</v>
      </c>
    </row>
    <row r="4" spans="1:335" x14ac:dyDescent="0.25">
      <c r="A4" s="134" t="s">
        <v>164</v>
      </c>
      <c r="B4" s="135" t="s">
        <v>165</v>
      </c>
      <c r="C4" s="135" t="s">
        <v>166</v>
      </c>
      <c r="D4" s="136" t="s">
        <v>167</v>
      </c>
      <c r="E4" s="137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9"/>
      <c r="Q4" s="139"/>
      <c r="R4" s="139"/>
      <c r="S4" s="140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41"/>
      <c r="AF4" s="138"/>
      <c r="AG4" s="138"/>
      <c r="AH4" s="142"/>
      <c r="AI4" s="58" t="s">
        <v>5</v>
      </c>
      <c r="AJ4" s="59" t="s">
        <v>168</v>
      </c>
      <c r="AK4" s="60" t="s">
        <v>169</v>
      </c>
      <c r="AL4" s="143">
        <v>43039</v>
      </c>
      <c r="AM4" s="144">
        <v>43159</v>
      </c>
      <c r="AN4" s="63" t="s">
        <v>170</v>
      </c>
      <c r="AO4" s="64" t="s">
        <v>170</v>
      </c>
      <c r="AP4" s="145"/>
      <c r="AQ4" s="145" t="s">
        <v>171</v>
      </c>
      <c r="AR4" s="145">
        <v>20</v>
      </c>
      <c r="AS4" s="145">
        <v>10000</v>
      </c>
      <c r="AT4" s="146" t="s">
        <v>172</v>
      </c>
      <c r="AU4" s="147" t="s">
        <v>167</v>
      </c>
      <c r="AV4" s="148" t="s">
        <v>173</v>
      </c>
      <c r="AW4" s="149" t="s">
        <v>173</v>
      </c>
      <c r="AX4" s="150" t="s">
        <v>5</v>
      </c>
      <c r="AY4" s="151" t="s">
        <v>201</v>
      </c>
      <c r="AZ4" s="152" t="str">
        <f>IF(ISERROR(VLOOKUP(AY4,[2]PLANOS!B:C,2,0)),"",VLOOKUP(AY4,[2]PLANOS!B:C,2,0))</f>
        <v>PCS-3PMepi</v>
      </c>
      <c r="BA4" s="153" t="s">
        <v>173</v>
      </c>
      <c r="BB4" s="154" t="str">
        <f t="shared" ref="BB4:BB19" si="1">IF(BA4="Sim","OI-17101-1","")</f>
        <v/>
      </c>
      <c r="BC4" s="155"/>
      <c r="BD4" s="156"/>
      <c r="BE4" s="157">
        <v>50.11</v>
      </c>
      <c r="BF4" s="101">
        <f>IF(BE4=0,"",IF(BE4=VLOOKUP("FIXO",[2]ARBOR!$A:$C,3,0),0.0001,IF(BE4&gt;VLOOKUP("FIXO",[2]ARBOR!$A:$C,3,0),"Maior que CAP!",IF((DOLLAR(BE4+(VLOOKUP("FIXO",[2]ARBOR!$A:$C,3,0)*-TRUNC(BE4/VLOOKUP("FIXO",[2]ARBOR!$A:$C,3,0)-1,4)),6))&lt;&gt;(DOLLAR(VLOOKUP("FIXO",[2]ARBOR!$A:$C,3,0),6)),-TRUNC(BE4/VLOOKUP("FIXO",[2]ARBOR!$A:$C,3,0)-1,4)+0.0001,-TRUNC(BE4/VLOOKUP("FIXO",[2]ARBOR!$A:$C,3,0)-1,4)))))</f>
        <v>0.33929999999999999</v>
      </c>
      <c r="BG4" s="158"/>
      <c r="BH4" s="101" t="str">
        <f>IF(BG4=0,"",IF(BG4=VLOOKUP("FIXO",[2]ARBOR!$A:$C,3,0),0.0001,IF(BG4&gt;VLOOKUP("FIXO",[2]ARBOR!$A:$C,3,0),"Maior que CAP!",IF((DOLLAR(BG4+(VLOOKUP("FIXO",[2]ARBOR!$A:$C,3,0)*-TRUNC(BG4/VLOOKUP("FIXO",[2]ARBOR!$A:$C,3,0)-1,4)),6))&lt;&gt;(DOLLAR(VLOOKUP("FIXO",[2]ARBOR!$A:$C,3,0),6)),-TRUNC(BG4/VLOOKUP("FIXO",[2]ARBOR!$A:$C,3,0)-1,4)+0.0001,-TRUNC(BG4/VLOOKUP("FIXO",[2]ARBOR!$A:$C,3,0)-1,4)))))</f>
        <v/>
      </c>
      <c r="BI4" s="101" t="str">
        <f>IF(ISERROR(IF(BF4="","",VLOOKUP(($AY4&amp;BF4&amp;"Template de desconto FLAT bundle - Fixo - Varejo - Ganho Tributário Cross"),[2]BENEFICIOS!$A:$E,5,0))),"Criar",IF(BF4="","",VLOOKUP(($AY4&amp;BF4&amp;"Template de desconto FLAT bundle - Fixo - Varejo - Ganho Tributário Cross"),[2]BENEFICIOS!$A:$E,5,0)))</f>
        <v>MKT-1-9825718835</v>
      </c>
      <c r="BJ4" s="159"/>
      <c r="BK4" s="101" t="str">
        <f t="shared" ref="BK4:BK19" si="2">IF(BL4&lt;&gt;"",0.0001,"")</f>
        <v/>
      </c>
      <c r="BL4" s="160"/>
      <c r="BM4" s="101" t="str">
        <f>IF(BL4=0,"",IF(BL4=VLOOKUP("FIXO",[2]ARBOR!$A:$C,3,0),0.0001,IF(BL4&gt;VLOOKUP("FIXO",[2]ARBOR!$A:$C,3,0),"Maior que CAP!",IF(BF4&lt;&gt;"",-ROUND(BL4/VLOOKUP("FIXO",[2]ARBOR!$A:$C,3,0)-1,4)-BF4,-ROUND(BL4/VLOOKUP("FIXO",[2]ARBOR!$A:$C,3,0)-1,4)))))</f>
        <v/>
      </c>
      <c r="BN4" s="161"/>
      <c r="BO4" s="101" t="str">
        <f>IF(ISERROR(IF(BK4="","",VLOOKUP(($AY4&amp;BK4&amp;"Template de desconto FLAT bundle - Fixo - Varejo - Ganho Tributário Cross"),[2]BENEFICIOS!$A:$E,5,0))),"Criar",IF(BK4="","",VLOOKUP(($AY4&amp;BK4&amp;"Template de desconto FLAT bundle - Fixo - Varejo - Ganho Tributário Cross"),[2]BENEFICIOS!$A:$E,5,0)))</f>
        <v/>
      </c>
      <c r="BP4" s="162" t="s">
        <v>175</v>
      </c>
      <c r="BQ4" s="163" t="s">
        <v>176</v>
      </c>
      <c r="BR4" s="164" t="s">
        <v>173</v>
      </c>
      <c r="BS4" s="165" t="str">
        <f t="shared" si="0"/>
        <v/>
      </c>
      <c r="BT4" s="155"/>
      <c r="BU4" s="166"/>
      <c r="BV4" s="167" t="s">
        <v>104</v>
      </c>
      <c r="BW4" s="168">
        <v>44.9</v>
      </c>
      <c r="BX4" s="101">
        <f>IF(BW4=0,"",IF(BW4=VLOOKUP("PCS-30874g",[2]ARBOR!$A:$C,3,0),0.0001,IF(BW4&gt;VLOOKUP("PCS-30874g",[2]ARBOR!$A:$C,3,0),"Maior que CAP!",IF((DOLLAR(BW4+(VLOOKUP("PCS-30874g",[2]ARBOR!$A:$C,3,0)*-TRUNC(BW4/VLOOKUP("PCS-30874g",[2]ARBOR!$A:$C,3,0)-1,4)),6))&lt;&gt;(DOLLAR(VLOOKUP("PCS-30874g",[2]ARBOR!$A:$C,3,0),6)),-TRUNC(BW4/VLOOKUP("PCS-30874g",[2]ARBOR!$A:$C,3,0)-1,4)+0.0001,-TRUNC(BW4/VLOOKUP("PCS-30874g",[2]ARBOR!$A:$C,3,0)-1,4)))))</f>
        <v>0.53679999999999994</v>
      </c>
      <c r="BY4" s="163" t="str">
        <f>IF(ISERROR(IF(BX4="","",VLOOKUP(($AY4&amp;BX4&amp;"Template de desconto FLAT bundle - Velox XDSL - Varejo"),[2]BENEFICIOS!$A:$E,5,0))),"Criar",IF(BX4="","",VLOOKUP(($AY4&amp;BX4&amp;"Template de desconto FLAT bundle - Velox XDSL - Varejo"),[2]BENEFICIOS!$A:$E,5,0)))</f>
        <v>MKT-1-9828849818</v>
      </c>
      <c r="BZ4" s="167" t="s">
        <v>104</v>
      </c>
      <c r="CA4" s="168">
        <v>44.9</v>
      </c>
      <c r="CB4" s="101">
        <f>IF(CA4=0,"",IF(CA4=VLOOKUP("PCS-30577g",[2]ARBOR!$A:$C,3,0),0.0001,IF(CA4&gt;VLOOKUP("PCS-30577g",[2]ARBOR!$A:$C,3,0),"Maior que CAP!",IF((DOLLAR(CA4+(VLOOKUP("PCS-30577g",[2]ARBOR!$A:$C,3,0)*-TRUNC(CA4/VLOOKUP("PCS-30577g",[2]ARBOR!$A:$C,3,0)-1,4)),6))&lt;&gt;(DOLLAR(VLOOKUP("PCS-30577g",[2]ARBOR!$A:$C,3,0),6)),-TRUNC(CA4/VLOOKUP("PCS-30577g",[2]ARBOR!$A:$C,3,0)-1,4)+0.0001,-TRUNC(CA4/VLOOKUP("PCS-30577g",[2]ARBOR!$A:$C,3,0)-1,4)))))</f>
        <v>0.53679999999999994</v>
      </c>
      <c r="CC4" s="163" t="str">
        <f>IF(ISERROR(IF(CB4="","",VLOOKUP(($AY4&amp;CB4&amp;"Template de desconto FLAT bundle - Velox XDSL - Varejo"),[2]BENEFICIOS!$A:$E,5,0))),"Criar",IF(CB4="","",VLOOKUP(($AY4&amp;CB4&amp;"Template de desconto FLAT bundle - Velox XDSL - Varejo"),[2]BENEFICIOS!$A:$E,5,0)))</f>
        <v>MKT-1-9828849818</v>
      </c>
      <c r="CD4" s="167" t="s">
        <v>104</v>
      </c>
      <c r="CE4" s="168">
        <v>44.9</v>
      </c>
      <c r="CF4" s="101">
        <f>IF(CE4=0,"",IF(CE4=VLOOKUP("PCS-30604g",[2]ARBOR!$A:$C,3,0),0.0001,IF(CE4&gt;VLOOKUP("PCS-30604g",[2]ARBOR!$A:$C,3,0),"Maior que CAP!",IF((DOLLAR(CE4+(VLOOKUP("PCS-30604g",[2]ARBOR!$A:$C,3,0)*-TRUNC(CE4/VLOOKUP("PCS-30604g",[2]ARBOR!$A:$C,3,0)-1,4)),6))&lt;&gt;(DOLLAR(VLOOKUP("PCS-30604g",[2]ARBOR!$A:$C,3,0),6)),-TRUNC(CE4/VLOOKUP("PCS-30604g",[2]ARBOR!$A:$C,3,0)-1,4)+0.0001,-TRUNC(CE4/VLOOKUP("PCS-30604g",[2]ARBOR!$A:$C,3,0)-1,4)))))</f>
        <v>0.53679999999999994</v>
      </c>
      <c r="CG4" s="163" t="str">
        <f>IF(ISERROR(IF(CF4="","",VLOOKUP(($AY4&amp;CF4&amp;"Template de desconto FLAT bundle - Velox XDSL - Varejo"),[2]BENEFICIOS!$A:$E,5,0))),"Criar",IF(CF4="","",VLOOKUP(($AY4&amp;CF4&amp;"Template de desconto FLAT bundle - Velox XDSL - Varejo"),[2]BENEFICIOS!$A:$E,5,0)))</f>
        <v>MKT-1-9828849818</v>
      </c>
      <c r="CH4" s="167" t="s">
        <v>104</v>
      </c>
      <c r="CI4" s="168">
        <v>44.9</v>
      </c>
      <c r="CJ4" s="101">
        <f>IF(CI4=0,"",IF(CI4=VLOOKUP("PCS-30631g",[2]ARBOR!$A:$C,3,0),0.0001,IF(CI4&gt;VLOOKUP("PCS-30631g",[2]ARBOR!$A:$C,3,0),"Maior que CAP!",IF((DOLLAR(CI4+(VLOOKUP("PCS-30631g",[2]ARBOR!$A:$C,3,0)*-TRUNC(CI4/VLOOKUP("PCS-30631g",[2]ARBOR!$A:$C,3,0)-1,4)),6))&lt;&gt;(DOLLAR(VLOOKUP("PCS-30631g",[2]ARBOR!$A:$C,3,0),6)),-TRUNC(CI4/VLOOKUP("PCS-30631g",[2]ARBOR!$A:$C,3,0)-1,4)+0.0001,-TRUNC(CI4/VLOOKUP("PCS-30631g",[2]ARBOR!$A:$C,3,0)-1,4)))))</f>
        <v>0.54310000000000003</v>
      </c>
      <c r="CK4" s="163" t="str">
        <f>IF(ISERROR(IF(CJ4="","",VLOOKUP(($AY4&amp;CJ4&amp;"Template de desconto FLAT bundle - Velox XDSL - Varejo"),[2]BENEFICIOS!$A:$E,5,0))),"Criar",IF(CJ4="","",VLOOKUP(($AY4&amp;CJ4&amp;"Template de desconto FLAT bundle - Velox XDSL - Varejo"),[2]BENEFICIOS!$A:$E,5,0)))</f>
        <v>MKT-1-9828191916</v>
      </c>
      <c r="CL4" s="167"/>
      <c r="CM4" s="168"/>
      <c r="CN4" s="101" t="str">
        <f>IF(CM4=0,"",IF(CM4=VLOOKUP("PCS-30658g",[2]ARBOR!$A:$C,3,0),0.0001,IF(CM4&gt;VLOOKUP("PCS-30658g",[2]ARBOR!$A:$C,3,0),"Maior que CAP!",IF((DOLLAR(CM4+(VLOOKUP("PCS-30658g",[2]ARBOR!$A:$C,3,0)*-TRUNC(CM4/VLOOKUP("PCS-30658g",[2]ARBOR!$A:$C,3,0)-1,4)),6))&lt;&gt;(DOLLAR(VLOOKUP("PCS-30658g",[2]ARBOR!$A:$C,3,0),6)),-TRUNC(CM4/VLOOKUP("PCS-30658g",[2]ARBOR!$A:$C,3,0)-1,4)+0.0001,-TRUNC(CM4/VLOOKUP("PCS-30658g",[2]ARBOR!$A:$C,3,0)-1,4)))))</f>
        <v/>
      </c>
      <c r="CO4" s="163" t="str">
        <f>IF(ISERROR(IF(CN4="","",VLOOKUP(($AY4&amp;CN4&amp;"Template de desconto FLAT bundle - Velox XDSL - Varejo"),[2]BENEFICIOS!$A:$E,5,0))),"Criar",IF(CN4="","",VLOOKUP(($AY4&amp;CN4&amp;"Template de desconto FLAT bundle - Velox XDSL - Varejo"),[2]BENEFICIOS!$A:$E,5,0)))</f>
        <v/>
      </c>
      <c r="CP4" s="167"/>
      <c r="CQ4" s="168"/>
      <c r="CR4" s="101" t="str">
        <f>IF(CQ4=0,"",IF(CQ4=VLOOKUP("PCS-30685g",[2]ARBOR!$A:$C,3,0),0.0001,IF(CQ4&gt;VLOOKUP("PCS-30685g",[2]ARBOR!$A:$C,3,0),"Maior que CAP!",IF((DOLLAR(CQ4+(VLOOKUP("PCS-30685g",[2]ARBOR!$A:$C,3,0)*-TRUNC(CQ4/VLOOKUP("PCS-30685g",[2]ARBOR!$A:$C,3,0)-1,4)),6))&lt;&gt;(DOLLAR(VLOOKUP("PCS-30685g",[2]ARBOR!$A:$C,3,0),6)),-TRUNC(CQ4/VLOOKUP("PCS-30685g",[2]ARBOR!$A:$C,3,0)-1,4)+0.0001,-TRUNC(CQ4/VLOOKUP("PCS-30685g",[2]ARBOR!$A:$C,3,0)-1,4)))))</f>
        <v/>
      </c>
      <c r="CS4" s="163" t="str">
        <f>IF(ISERROR(IF(CR4="","",VLOOKUP(($AY4&amp;CR4&amp;"Template de desconto FLAT bundle - Velox XDSL - Varejo"),[2]BENEFICIOS!$A:$E,5,0))),"Criar",IF(CR4="","",VLOOKUP(($AY4&amp;CR4&amp;"Template de desconto FLAT bundle - Velox XDSL - Varejo"),[2]BENEFICIOS!$A:$E,5,0)))</f>
        <v/>
      </c>
      <c r="CT4" s="167"/>
      <c r="CU4" s="168"/>
      <c r="CV4" s="101" t="str">
        <f>IF(CU4=0,"",IF(CU4=VLOOKUP("PCS-30712g",[2]ARBOR!$A:$C,3,0),0.0001,IF(CU4&gt;VLOOKUP("PCS-30712g",[2]ARBOR!$A:$C,3,0),"Maior que CAP!",IF((DOLLAR(CU4+(VLOOKUP("PCS-30712g",[2]ARBOR!$A:$C,3,0)*-TRUNC(CU4/VLOOKUP("PCS-30712g",[2]ARBOR!$A:$C,3,0)-1,4)),6))&lt;&gt;(DOLLAR(VLOOKUP("PCS-30712g",[2]ARBOR!$A:$C,3,0),6)),-TRUNC(CU4/VLOOKUP("PCS-30712g",[2]ARBOR!$A:$C,3,0)-1,4)+0.0001,-TRUNC(CU4/VLOOKUP("PCS-30712g",[2]ARBOR!$A:$C,3,0)-1,4)))))</f>
        <v/>
      </c>
      <c r="CW4" s="163" t="str">
        <f>IF(ISERROR(IF(CV4="","",VLOOKUP(($AY4&amp;CV4&amp;"Template de desconto FLAT bundle - Velox XDSL - Varejo"),[2]BENEFICIOS!$A:$E,5,0))),"Criar",IF(CV4="","",VLOOKUP(($AY4&amp;CV4&amp;"Template de desconto FLAT bundle - Velox XDSL - Varejo"),[2]BENEFICIOS!$A:$E,5,0)))</f>
        <v/>
      </c>
      <c r="CX4" s="167"/>
      <c r="CY4" s="168"/>
      <c r="CZ4" s="101" t="str">
        <f>IF(CY4=0,"",IF(CY4=VLOOKUP("PCS-30739g",[2]ARBOR!$A:$C,3,0),0.0001,IF(CY4&gt;VLOOKUP("PCS-30739g",[2]ARBOR!$A:$C,3,0),"Maior que CAP!",IF((DOLLAR(CY4+(VLOOKUP("PCS-30739g",[2]ARBOR!$A:$C,3,0)*-TRUNC(CY4/VLOOKUP("PCS-30739g",[2]ARBOR!$A:$C,3,0)-1,4)),6))&lt;&gt;(DOLLAR(VLOOKUP("PCS-30739g",[2]ARBOR!$A:$C,3,0),6)),-TRUNC(CY4/VLOOKUP("PCS-30739g",[2]ARBOR!$A:$C,3,0)-1,4)+0.0001,-TRUNC(CY4/VLOOKUP("PCS-30739g",[2]ARBOR!$A:$C,3,0)-1,4)))))</f>
        <v/>
      </c>
      <c r="DA4" s="169" t="str">
        <f>IF(ISERROR(IF(CZ4="","",VLOOKUP(($AY4&amp;CZ4&amp;"Template de desconto FLAT bundle - Velox XDSL - Varejo"),[2]BENEFICIOS!$A:$E,5,0))),"Criar",IF(CZ4="","",VLOOKUP(($AY4&amp;CZ4&amp;"Template de desconto FLAT bundle - Velox XDSL - Varejo"),[2]BENEFICIOS!$A:$E,5,0)))</f>
        <v/>
      </c>
      <c r="DB4" s="170"/>
      <c r="DC4" s="171"/>
      <c r="DD4" s="101" t="str">
        <f>IF(DB4=0,"",IF(DB4=VLOOKUP("PCS-30739g",[2]ARBOR!$A:$C,3,0),0.0001,IF(DB4&gt;VLOOKUP("PCS-30739g",[2]ARBOR!$A:$C,3,0),"Maior que CAP!",IF((DOLLAR(DB4+(VLOOKUP("PCS-30739g",[2]ARBOR!$A:$C,3,0)*-TRUNC(DB4/VLOOKUP("PCS-30739g",[2]ARBOR!$A:$C,3,0)-1,4)),6))&lt;&gt;(DOLLAR(VLOOKUP("PCS-30739g",[2]ARBOR!$A:$C,3,0),6)),(-TRUNC(DB4/VLOOKUP("PCS-30739g",[2]ARBOR!$A:$C,3,0)-1,4)+0.0001)-CZ4,-TRUNC(DB4/VLOOKUP("PCS-30739g",[2]ARBOR!$A:$C,3,0)-1,4)-CZ4))))</f>
        <v/>
      </c>
      <c r="DE4" s="163" t="str">
        <f>IF(ISERROR(IF(DD4="","",VLOOKUP(($AY4&amp;DD4&amp;"Template de desconto percentual Bundle - Velox XDSL - Varejo"),[2]BENEFICIOS!$A:$E,5,0))),"Criar",IF(DD4="","",VLOOKUP(($AY4&amp;DD4&amp;"Template de desconto percentual Bundle - Velox XDSL - Varejo"),[2]BENEFICIOS!$A:$E,5,0)))</f>
        <v/>
      </c>
      <c r="DF4" s="167"/>
      <c r="DG4" s="168"/>
      <c r="DH4" s="101" t="str">
        <f>IF(DG4=0,"",IF(DG4=VLOOKUP("PCS-30766g",[2]ARBOR!$A:$C,3,0),0.0001,IF(DG4&gt;VLOOKUP("PCS-30766g",[2]ARBOR!$A:$C,3,0),"Maior que CAP!",IF((DOLLAR(DG4+(VLOOKUP("PCS-30766g",[2]ARBOR!$A:$C,3,0)*-TRUNC(DG4/VLOOKUP("PCS-30766g",[2]ARBOR!$A:$C,3,0)-1,4)),6))&lt;&gt;(DOLLAR(VLOOKUP("PCS-30766g",[2]ARBOR!$A:$C,3,0),6)),-TRUNC(DG4/VLOOKUP("PCS-30766g",[2]ARBOR!$A:$C,3,0)-1,4)+0.0001,-TRUNC(DG4/VLOOKUP("PCS-30766g",[2]ARBOR!$A:$C,3,0)-1,4)))))</f>
        <v/>
      </c>
      <c r="DI4" s="169" t="str">
        <f>IF(ISERROR(IF(DH4="","",VLOOKUP(($AY4&amp;DH4&amp;"Template de desconto FLAT bundle - Velox XDSL - Varejo"),[2]BENEFICIOS!$A:$E,5,0))),"Criar",IF(DH4="","",VLOOKUP(($AY4&amp;DH4&amp;"Template de desconto FLAT bundle - Velox XDSL - Varejo"),[2]BENEFICIOS!$A:$E,5,0)))</f>
        <v/>
      </c>
      <c r="DJ4" s="170"/>
      <c r="DK4" s="171"/>
      <c r="DL4" s="101" t="str">
        <f>IF(DJ4=0,"",IF(DJ4=VLOOKUP("PCS-30766g",[2]ARBOR!$A:$C,3,0),0.0001,IF(DJ4&gt;VLOOKUP("PCS-30766g",[2]ARBOR!$A:$C,3,0),"Maior que CAP!",IF((DOLLAR(DJ4+(VLOOKUP("PCS-30766g",[2]ARBOR!$A:$C,3,0)*-TRUNC(DJ4/VLOOKUP("PCS-30766g",[2]ARBOR!$A:$C,3,0)-1,4)),6))&lt;&gt;(DOLLAR(VLOOKUP("PCS-30766g",[2]ARBOR!$A:$C,3,0),6)),(-TRUNC(DJ4/VLOOKUP("PCS-30766g",[2]ARBOR!$A:$C,3,0)-1,4)+0.0001)-DH4,-TRUNC(DJ4/VLOOKUP("PCS-30766g",[2]ARBOR!$A:$C,3,0)-1,4)-DH4))))</f>
        <v/>
      </c>
      <c r="DM4" s="163" t="str">
        <f>IF(ISERROR(IF(DL4="","",VLOOKUP(($AY4&amp;DL4&amp;"Template de desconto percentual Bundle - Velox XDSL - Varejo"),[2]BENEFICIOS!$A:$E,5,0))),"Criar",IF(DL4="","",VLOOKUP(($AY4&amp;DL4&amp;"Template de desconto percentual Bundle - Velox XDSL - Varejo"),[2]BENEFICIOS!$A:$E,5,0)))</f>
        <v/>
      </c>
      <c r="DN4" s="167"/>
      <c r="DO4" s="168"/>
      <c r="DP4" s="101" t="str">
        <f>IF(DO4=0,"",IF(DO4=VLOOKUP("PCS-30793g",[2]ARBOR!$A:$C,3,0),0.0001,IF(DO4&gt;VLOOKUP("PCS-30793g",[2]ARBOR!$A:$C,3,0),"Maior que CAP!",IF((DOLLAR(DO4+(VLOOKUP("PCS-30793g",[2]ARBOR!$A:$C,3,0)*-TRUNC(DO4/VLOOKUP("PCS-30793g",[2]ARBOR!$A:$C,3,0)-1,4)),6))&lt;&gt;(DOLLAR(VLOOKUP("PCS-30793g",[2]ARBOR!$A:$C,3,0),6)),-TRUNC(DO4/VLOOKUP("PCS-30793g",[2]ARBOR!$A:$C,3,0)-1,4)+0.0001,-TRUNC(DO4/VLOOKUP("PCS-30793g",[2]ARBOR!$A:$C,3,0)-1,4)))))</f>
        <v/>
      </c>
      <c r="DQ4" s="169" t="str">
        <f>IF(ISERROR(IF(DP4="","",VLOOKUP(($AY4&amp;DP4&amp;"Template de desconto FLAT bundle - Velox XDSL - Varejo"),[2]BENEFICIOS!$A:$E,5,0))),"Criar",IF(DP4="","",VLOOKUP(($AY4&amp;DP4&amp;"Template de desconto FLAT bundle - Velox XDSL - Varejo"),[2]BENEFICIOS!$A:$E,5,0)))</f>
        <v/>
      </c>
      <c r="DR4" s="170"/>
      <c r="DS4" s="171"/>
      <c r="DT4" s="101" t="str">
        <f>IF(DR4=0,"",IF(DR4=VLOOKUP("PCS-30793g",[2]ARBOR!$A:$C,3,0),0.0001,IF(DR4&gt;VLOOKUP("PCS-30793g",[2]ARBOR!$A:$C,3,0),"Maior que CAP!",IF((DOLLAR(DR4+(VLOOKUP("PCS-30793g",[2]ARBOR!$A:$C,3,0)*-TRUNC(DR4/VLOOKUP("PCS-30793g",[2]ARBOR!$A:$C,3,0)-1,4)),6))&lt;&gt;(DOLLAR(VLOOKUP("PCS-30793g",[2]ARBOR!$A:$C,3,0),6)),(-TRUNC(DR4/VLOOKUP("PCS-30793g",[2]ARBOR!$A:$C,3,0)-1,4)+0.0001)-DP4,-TRUNC(DR4/VLOOKUP("PCS-30793g",[2]ARBOR!$A:$C,3,0)-1,4)-DP4))))</f>
        <v/>
      </c>
      <c r="DU4" s="163" t="str">
        <f>IF(ISERROR(IF(DT4="","",VLOOKUP(($AY4&amp;DT4&amp;"Template de desconto percentual Bundle - Velox XDSL - Varejo"),[2]BENEFICIOS!$A:$E,5,0))),"Criar",IF(DT4="","",VLOOKUP(($AY4&amp;DT4&amp;"Template de desconto percentual Bundle - Velox XDSL - Varejo"),[2]BENEFICIOS!$A:$E,5,0)))</f>
        <v/>
      </c>
      <c r="DV4" s="167"/>
      <c r="DW4" s="168"/>
      <c r="DX4" s="101" t="str">
        <f>IF(DW4=0,"",IF(DW4=VLOOKUP("PCS-30820g",[2]ARBOR!$A:$C,3,0),0.0001,IF(DW4&gt;VLOOKUP("PCS-30820g",[2]ARBOR!$A:$C,3,0),"Maior que CAP!",IF((DOLLAR(DW4+(VLOOKUP("PCS-30820g",[2]ARBOR!$A:$C,3,0)*-TRUNC(DW4/VLOOKUP("PCS-30820g",[2]ARBOR!$A:$C,3,0)-1,4)),6))&lt;&gt;(DOLLAR(VLOOKUP("PCS-30820g",[2]ARBOR!$A:$C,3,0),6)),-TRUNC(DW4/VLOOKUP("PCS-30820g",[2]ARBOR!$A:$C,3,0)-1,4)+0.0001,-TRUNC(DW4/VLOOKUP("PCS-30820g",[2]ARBOR!$A:$C,3,0)-1,4)))))</f>
        <v/>
      </c>
      <c r="DY4" s="169" t="str">
        <f>IF(ISERROR(IF(DX4="","",VLOOKUP(($AY4&amp;DX4&amp;"Template de desconto FLAT bundle - Velox XDSL - Varejo"),[2]BENEFICIOS!$A:$E,5,0))),"Criar",IF(DX4="","",VLOOKUP(($AY4&amp;DX4&amp;"Template de desconto FLAT bundle - Velox XDSL - Varejo"),[2]BENEFICIOS!$A:$E,5,0)))</f>
        <v/>
      </c>
      <c r="DZ4" s="170"/>
      <c r="EA4" s="171"/>
      <c r="EB4" s="101" t="str">
        <f>IF(DZ4=0,"",IF(DZ4=VLOOKUP("PCS-30820g",[2]ARBOR!$A:$C,3,0),0.0001,IF(DZ4&gt;VLOOKUP("PCS-30820g",[2]ARBOR!$A:$C,3,0),"Maior que CAP!",IF((DOLLAR(DZ4+(VLOOKUP("PCS-30820g",[2]ARBOR!$A:$C,3,0)*-TRUNC(DZ4/VLOOKUP("PCS-30820g",[2]ARBOR!$A:$C,3,0)-1,4)),6))&lt;&gt;(DOLLAR(VLOOKUP("PCS-30820g",[2]ARBOR!$A:$C,3,0),6)),(-TRUNC(DZ4/VLOOKUP("PCS-30820g",[2]ARBOR!$A:$C,3,0)-1,4)+0.0001)-DX4,-TRUNC(DZ4/VLOOKUP("PCS-30820g",[2]ARBOR!$A:$C,3,0)-1,4)-DX4))))</f>
        <v/>
      </c>
      <c r="EC4" s="163" t="str">
        <f>IF(ISERROR(IF(EB4="","",VLOOKUP(($AY4&amp;EB4&amp;"Template de desconto percentual Bundle - Velox XDSL - Varejo"),[2]BENEFICIOS!$A:$E,5,0))),"Criar",IF(EB4="","",VLOOKUP(($AY4&amp;EB4&amp;"Template de desconto percentual Bundle - Velox XDSL - Varejo"),[2]BENEFICIOS!$A:$E,5,0)))</f>
        <v/>
      </c>
      <c r="ED4" s="172">
        <v>44.9</v>
      </c>
      <c r="EE4" s="101">
        <f>IF(ED4=0,"",IF(ED4=VLOOKUP("PCS-21448p2",[2]ARBOR!$A:$C,3,0),0.0001,IF(ED4&gt;VLOOKUP("PCS-21448p2",[2]ARBOR!$A:$C,3,0),"Maior que CAP!",IF((DOLLAR(ED4+(VLOOKUP("PCS-21448p2",[2]ARBOR!$A:$C,3,0)*-TRUNC(ED4/VLOOKUP("PCS-21448p2",[2]ARBOR!$A:$C,3,0)-1,4)),6))&lt;&gt;(DOLLAR(VLOOKUP("PCS-21448p2",[2]ARBOR!$A:$C,3,0),6)),-TRUNC(ED4/VLOOKUP("PCS-21448p2",[2]ARBOR!$A:$C,3,0)-1,4)+0.0001,-TRUNC(ED4/VLOOKUP("PCS-21448p2",[2]ARBOR!$A:$C,3,0)-1,4)))))</f>
        <v>0.64900000000000002</v>
      </c>
      <c r="EF4" s="101" t="str">
        <f>IF(ISERROR(IF(EE4="","",VLOOKUP(("Oi Conta Total Plug 10GB Downgrade"&amp;EE4&amp;"Template de desconto percentual BL Móvel - Internet Total - Varejo"),[2]BENEFICIOS!$A:$E,5,0))),"Criar",IF(EE4="","",VLOOKUP(("Oi Conta Total Plug 10GB Downgrade"&amp;EE4&amp;"Template de desconto percentual BL Móvel - Internet Total - Varejo"),[2]BENEFICIOS!$A:$E,5,0)))</f>
        <v>MKT-1-9825544790</v>
      </c>
      <c r="EG4" s="173">
        <v>16.5</v>
      </c>
      <c r="EH4" s="174">
        <f>IF(EG4=0,"",IF(EG4=VLOOKUP("SVA",[2]ARBOR!$A:$C,3,0),0.0001,IF(EG4&gt;VLOOKUP("SVA",[2]ARBOR!$A:$C,3,0),"Maior que CAP!",IF((DOLLAR(EG4+(VLOOKUP("SVA",[2]ARBOR!$A:$C,3,0)*-TRUNC(EG4/VLOOKUP("SVA",[2]ARBOR!$A:$C,3,0)-1,4)),6))&lt;&gt;(DOLLAR(VLOOKUP("SVA",[2]ARBOR!$A:$C,3,0),6)),-TRUNC(EG4/VLOOKUP("SVA",[2]ARBOR!$A:$C,3,0)-1,4)+0.0001,-TRUNC(EG4/VLOOKUP("SVA",[2]ARBOR!$A:$C,3,0)-1,4)))))</f>
        <v>0.2301</v>
      </c>
      <c r="EI4" s="174" t="s">
        <v>177</v>
      </c>
      <c r="EJ4" s="175"/>
      <c r="EK4" s="176"/>
      <c r="EL4" s="177" t="str">
        <f t="shared" ref="EL4:EL19" si="3">IF(EJ4="Grátis",1-EH4,"")</f>
        <v/>
      </c>
      <c r="EM4" s="174" t="str">
        <f>IF(EL4="S/Desc","S/Desc",IF(ISERROR(IF(EL4="","",VLOOKUP(($BX4&amp;EL4&amp;"Template Desc. % sobre Serviço SVA B2C"),[2]BENEFICIOS!$A:$G,5,0))),"Criar",IF(EL4="","",VLOOKUP(($BX4&amp;EL4&amp;"Template Desc. % sobre Serviço SVA B2C"),[2]BENEFICIOS!$A:$G,5,0))))</f>
        <v/>
      </c>
      <c r="EN4" s="103"/>
      <c r="EO4" s="101" t="str">
        <f>IF(EN4=0,"",IF(EN4=VLOOKUP("PCS-OzTL40",[2]ARBOR!$A:$C,3,0),0.0001,IF(EN4&gt;VLOOKUP("PCS-OzTL40",[2]ARBOR!$A:$C,3,0),"Maior que CAP!",IF((DOLLAR(EN4+(VLOOKUP("PCS-OzTL40",[2]ARBOR!$A:$C,3,0)*-TRUNC(EN4/VLOOKUP("PCS-OzTL40",[2]ARBOR!$A:$C,3,0)-1,4)),6))&lt;&gt;(DOLLAR(VLOOKUP("PCS-OzTL40",[2]ARBOR!$A:$C,3,0),6)),-TRUNC(EN4/VLOOKUP("PCS-OzTL40",[2]ARBOR!$A:$C,3,0)-1,4)+0.0001,-TRUNC(EN4/VLOOKUP("PCS-OzTL40",[2]ARBOR!$A:$C,3,0)-1,4)))))</f>
        <v/>
      </c>
      <c r="EP4" s="163" t="str">
        <f>IF(ISERROR(IF(EO4="","",VLOOKUP(($AY4&amp;EO4&amp;"Template desconto FLAT Plano Principal Oi TV nível conta"),[2]BENEFICIOS!$A:$G,5,0))),"Criar",IF(EO4="","",VLOOKUP(($AY4&amp;EO4&amp;"Template desconto FLAT Plano Principal Oi TV nível conta"),[2]BENEFICIOS!$A:$G,5,0)))</f>
        <v/>
      </c>
      <c r="EQ4" s="103">
        <v>99.9</v>
      </c>
      <c r="ER4" s="101">
        <f>IF(EQ4=0,"",IF(EQ4=VLOOKUP("PCS-OzTL41",[2]ARBOR!$A:$C,3,0),0.0001,IF(EQ4&gt;VLOOKUP("PCS-OzTL41",[2]ARBOR!$A:$C,3,0),"Maior que CAP!",IF((DOLLAR(EQ4+(VLOOKUP("PCS-OzTL41",[2]ARBOR!$A:$C,3,0)*-TRUNC(EQ4/VLOOKUP("PCS-OzTL41",[2]ARBOR!$A:$C,3,0)-1,4)),6))&lt;&gt;(DOLLAR(VLOOKUP("PCS-OzTL41",[2]ARBOR!$A:$C,3,0),6)),-TRUNC(EQ4/VLOOKUP("PCS-OzTL41",[2]ARBOR!$A:$C,3,0)-1,4)+0.0001,-TRUNC(EQ4/VLOOKUP("PCS-OzTL41",[2]ARBOR!$A:$C,3,0)-1,4)))))</f>
        <v>0.17459999999999998</v>
      </c>
      <c r="ES4" s="178" t="str">
        <f>IF(ISERROR(IF(ER4="","",VLOOKUP(($AY4&amp;ER4&amp;"Template desconto FLAT Plano Principal Oi TV nível conta"),[2]BENEFICIOS!$A:$G,5,0))),"Criar",IF(ER4="","",VLOOKUP(($AY4&amp;ER4&amp;"Template desconto FLAT Plano Principal Oi TV nível conta"),[2]BENEFICIOS!$A:$G,5,0)))</f>
        <v>MKT-1-9827346410</v>
      </c>
      <c r="ET4" s="103"/>
      <c r="EU4" s="101" t="str">
        <f>IF(ET4=0,"",IF(ET4=VLOOKUP("PCS-OzTL44",[2]ARBOR!$A:$C,3,0),0.0001,IF(ET4&gt;VLOOKUP("PCS-OzTL44",[2]ARBOR!$A:$C,3,0),"Maior que CAP!",IF((DOLLAR(ET4+(VLOOKUP("PCS-OzTL44",[2]ARBOR!$A:$C,3,0)*-TRUNC(ET4/VLOOKUP("PCS-OzTL44",[2]ARBOR!$A:$C,3,0)-1,4)),6))&lt;&gt;(DOLLAR(VLOOKUP("PCS-OzTL44",[2]ARBOR!$A:$C,3,0),6)),-TRUNC(ET4/VLOOKUP("PCS-OzTL44",[2]ARBOR!$A:$C,3,0)-1,4)+0.0001,-TRUNC(ET4/VLOOKUP("PCS-OzTL44",[2]ARBOR!$A:$C,3,0)-1,4)))))</f>
        <v/>
      </c>
      <c r="EV4" s="178" t="str">
        <f>IF(ISERROR(IF(EU4="","",VLOOKUP(($AY4&amp;EU4&amp;"Template desconto FLAT Plano Principal Oi TV nível conta"),[2]BENEFICIOS!$A:$G,5,0))),"Criar",IF(EU4="","",VLOOKUP(($AY4&amp;EU4&amp;"Template desconto FLAT Plano Principal Oi TV nível conta"),[2]BENEFICIOS!$A:$G,5,0)))</f>
        <v/>
      </c>
      <c r="EW4" s="103"/>
      <c r="EX4" s="101" t="str">
        <f>IF(EW4=0,"",IF(EW4=VLOOKUP("PCS-OzTL43",[2]ARBOR!$A:$C,3,0),0.0001,IF(EW4&gt;VLOOKUP("PCS-OzTL43",[2]ARBOR!$A:$C,3,0),"Maior que CAP!",IF((DOLLAR(EW4+(VLOOKUP("PCS-OzTL43",[2]ARBOR!$A:$C,3,0)*-TRUNC(EW4/VLOOKUP("PCS-OzTL43",[2]ARBOR!$A:$C,3,0)-1,4)),6))&lt;&gt;(DOLLAR(VLOOKUP("PCS-OzTL43",[2]ARBOR!$A:$C,3,0),6)),-TRUNC(EW4/VLOOKUP("PCS-OzTL43",[2]ARBOR!$A:$C,3,0)-1,4)+0.0001,-TRUNC(EW4/VLOOKUP("PCS-OzTL43",[2]ARBOR!$A:$C,3,0)-1,4)))))</f>
        <v/>
      </c>
      <c r="EY4" s="178" t="str">
        <f>IF(ISERROR(IF(EX4="","",VLOOKUP(($AY4&amp;EX4&amp;"Template desconto FLAT Plano Principal Oi TV nível conta"),[2]BENEFICIOS!$A:$G,5,0))),"Criar",IF(EX4="","",VLOOKUP(($AY4&amp;EX4&amp;"Template desconto FLAT Plano Principal Oi TV nível conta"),[2]BENEFICIOS!$A:$G,5,0)))</f>
        <v/>
      </c>
      <c r="EZ4" s="103"/>
      <c r="FA4" s="101" t="str">
        <f>IF(EZ4=0,"",IF(EZ4=VLOOKUP("PCS-OzTL45",[2]ARBOR!$A:$C,3,0),0.0001,IF(EZ4&gt;VLOOKUP("PCS-OzTL45",[2]ARBOR!$A:$C,3,0),"Maior que CAP!",IF((DOLLAR(EZ4+(VLOOKUP("PCS-OzTL45",[2]ARBOR!$A:$C,3,0)*-TRUNC(EZ4/VLOOKUP("PCS-OzTL45",[2]ARBOR!$A:$C,3,0)-1,4)),6))&lt;&gt;(DOLLAR(VLOOKUP("PCS-OzTL45",[2]ARBOR!$A:$C,3,0),6)),-TRUNC(EZ4/VLOOKUP("PCS-OzTL45",[2]ARBOR!$A:$C,3,0)-1,4)+0.0001,-TRUNC(EZ4/VLOOKUP("PCS-OzTL45",[2]ARBOR!$A:$C,3,0)-1,4)))))</f>
        <v/>
      </c>
      <c r="FB4" s="178" t="str">
        <f>IF(ISERROR(IF(FA4="","",VLOOKUP(($AY4&amp;FA4&amp;"Template desconto FLAT Plano Principal Oi TV nível conta"),[2]BENEFICIOS!$A:$G,5,0))),"Criar",IF(FA4="","",VLOOKUP(($AY4&amp;FA4&amp;"Template desconto FLAT Plano Principal Oi TV nível conta"),[2]BENEFICIOS!$A:$G,5,0)))</f>
        <v/>
      </c>
      <c r="FC4" s="103"/>
      <c r="FD4" s="101" t="str">
        <f>IF(FC4=0,"",IF(FC4=VLOOKUP("PCS-OzTL741",[2]ARBOR!$A:$C,3,0),0.0001,IF(FC4&gt;VLOOKUP("PCS-OzTL741",[2]ARBOR!$A:$C,3,0),"Maior que CAP!",IF((DOLLAR(FC4+(VLOOKUP("PCS-OzTL741",[2]ARBOR!$A:$C,3,0)*-TRUNC(FC4/VLOOKUP("PCS-OzTL741",[2]ARBOR!$A:$C,3,0)-1,4)),6))&lt;&gt;(DOLLAR(VLOOKUP("PCS-OzTL741",[2]ARBOR!$A:$C,3,0),6)),-TRUNC(FC4/VLOOKUP("PCS-OzTL741",[2]ARBOR!$A:$C,3,0)-1,4)+0.0001,-TRUNC(FC4/VLOOKUP("PCS-OzTL741",[2]ARBOR!$A:$C,3,0)-1,4)))))</f>
        <v/>
      </c>
      <c r="FE4" s="178" t="str">
        <f>IF(ISERROR(IF(FD4="","",VLOOKUP(($AY4&amp;FD4&amp;"Template desconto FLAT Plano Principal Oi TV nível conta"),[2]BENEFICIOS!$A:$G,5,0))),"Criar",IF(FD4="","",VLOOKUP(($AY4&amp;FD4&amp;"Template desconto FLAT Plano Principal Oi TV nível conta"),[2]BENEFICIOS!$A:$G,5,0)))</f>
        <v/>
      </c>
      <c r="FF4" s="103"/>
      <c r="FG4" s="101" t="str">
        <f>IF(FF4=0,"",IF(FF4=VLOOKUP("PCS-OzTL744",[2]ARBOR!$A:$C,3,0),0.0001,IF(FF4&gt;VLOOKUP("PCS-OzTL744",[2]ARBOR!$A:$C,3,0),"Maior que CAP!",IF((DOLLAR(FF4+(VLOOKUP("PCS-OzTL744",[2]ARBOR!$A:$C,3,0)*-TRUNC(FF4/VLOOKUP("PCS-OzTL744",[2]ARBOR!$A:$C,3,0)-1,4)),6))&lt;&gt;(DOLLAR(VLOOKUP("PCS-OzTL744",[2]ARBOR!$A:$C,3,0),6)),-TRUNC(FF4/VLOOKUP("PCS-OzTL744",[2]ARBOR!$A:$C,3,0)-1,4)+0.0001,-TRUNC(FF4/VLOOKUP("PCS-OzTL744",[2]ARBOR!$A:$C,3,0)-1,4)))))</f>
        <v/>
      </c>
      <c r="FH4" s="178" t="str">
        <f>IF(ISERROR(IF(FG4="","",VLOOKUP(($AY4&amp;FG4&amp;"Template desconto FLAT Plano Principal Oi TV nível conta"),[2]BENEFICIOS!$A:$G,5,0))),"Criar",IF(FG4="","",VLOOKUP(($AY4&amp;FG4&amp;"Template desconto FLAT Plano Principal Oi TV nível conta"),[2]BENEFICIOS!$A:$G,5,0)))</f>
        <v/>
      </c>
      <c r="FI4" s="103"/>
      <c r="FJ4" s="101" t="str">
        <f>IF(FI4=0,"",IF(FI4=VLOOKUP("PCS-OzTL743",[2]ARBOR!$A:$C,3,0),0.0001,IF(FI4&gt;VLOOKUP("PCS-OzTL743",[2]ARBOR!$A:$C,3,0),"Maior que CAP!",IF((DOLLAR(FI4+(VLOOKUP("PCS-OzTL743",[2]ARBOR!$A:$C,3,0)*-TRUNC(FI4/VLOOKUP("PCS-OzTL743",[2]ARBOR!$A:$C,3,0)-1,4)),6))&lt;&gt;(DOLLAR(VLOOKUP("PCS-OzTL743",[2]ARBOR!$A:$C,3,0),6)),-TRUNC(FI4/VLOOKUP("PCS-OzTL743",[2]ARBOR!$A:$C,3,0)-1,4)+0.0001,-TRUNC(FI4/VLOOKUP("PCS-OzTL743",[2]ARBOR!$A:$C,3,0)-1,4)))))</f>
        <v/>
      </c>
      <c r="FK4" s="178" t="str">
        <f>IF(ISERROR(IF(FJ4="","",VLOOKUP(($AY4&amp;FJ4&amp;"Template desconto FLAT Plano Principal Oi TV nível conta"),[2]BENEFICIOS!$A:$G,5,0))),"Criar",IF(FJ4="","",VLOOKUP(($AY4&amp;FJ4&amp;"Template desconto FLAT Plano Principal Oi TV nível conta"),[2]BENEFICIOS!$A:$G,5,0)))</f>
        <v/>
      </c>
      <c r="FL4" s="103"/>
      <c r="FM4" s="101" t="str">
        <f>IF(FL4=0,"",IF(FL4=VLOOKUP("PCS-OzTL745",[2]ARBOR!$A:$C,3,0),0.0001,IF(FL4&gt;VLOOKUP("PCS-OzTL745",[2]ARBOR!$A:$C,3,0),"Maior que CAP!",IF((DOLLAR(FL4+(VLOOKUP("PCS-OzTL745",[2]ARBOR!$A:$C,3,0)*-TRUNC(FL4/VLOOKUP("PCS-OzTL745",[2]ARBOR!$A:$C,3,0)-1,4)),6))&lt;&gt;(DOLLAR(VLOOKUP("PCS-OzTL745",[2]ARBOR!$A:$C,3,0),6)),-TRUNC(FL4/VLOOKUP("PCS-OzTL745",[2]ARBOR!$A:$C,3,0)-1,4)+0.0001,-TRUNC(FL4/VLOOKUP("PCS-OzTL745",[2]ARBOR!$A:$C,3,0)-1,4)))))</f>
        <v/>
      </c>
      <c r="FN4" s="178" t="str">
        <f>IF(ISERROR(IF(FM4="","",VLOOKUP(($AY4&amp;FM4&amp;"Template desconto FLAT Plano Principal Oi TV nível conta"),[2]BENEFICIOS!$A:$G,5,0))),"Criar",IF(FM4="","",VLOOKUP(($AY4&amp;FM4&amp;"Template desconto FLAT Plano Principal Oi TV nível conta"),[2]BENEFICIOS!$A:$G,5,0)))</f>
        <v/>
      </c>
      <c r="FO4" s="103"/>
      <c r="FP4" s="101" t="str">
        <f>IF(FO4=0,"",IF(FO4=VLOOKUP("PCS-OzTL42",[2]ARBOR!$A:$C,3,0),0.0001,IF(FO4&gt;VLOOKUP("PCS-OzTL42",[2]ARBOR!$A:$C,3,0),"Maior que CAP!",IF((DOLLAR(FO4+(VLOOKUP("PCS-OzTL42",[2]ARBOR!$A:$C,3,0)*-TRUNC(FO4/VLOOKUP("PCS-OzTL42",[2]ARBOR!$A:$C,3,0)-1,4)),6))&lt;&gt;(DOLLAR(VLOOKUP("PCS-OzTL42",[2]ARBOR!$A:$C,3,0),6)),-TRUNC(FO4/VLOOKUP("PCS-OzTL42",[2]ARBOR!$A:$C,3,0)-1,4)+0.0001,-TRUNC(FO4/VLOOKUP("PCS-OzTL42",[2]ARBOR!$A:$C,3,0)-1,4)))))</f>
        <v/>
      </c>
      <c r="FQ4" s="178" t="str">
        <f>IF(ISERROR(IF(FP4="","",VLOOKUP(($AY4&amp;FP4&amp;"Template desconto FLAT Plano Principal Oi TV nível conta"),[2]BENEFICIOS!$A:$G,5,0))),"Criar",IF(FP4="","",VLOOKUP(($AY4&amp;FP4&amp;"Template desconto FLAT Plano Principal Oi TV nível conta"),[2]BENEFICIOS!$A:$G,5,0)))</f>
        <v/>
      </c>
      <c r="FR4" s="103"/>
      <c r="FS4" s="101" t="str">
        <f>IF(FR4=0,"",IF(FR4=VLOOKUP("PCS-OzTL47",[2]ARBOR!$A:$C,3,0),0.0001,IF(FR4&gt;VLOOKUP("PCS-OzTL47",[2]ARBOR!$A:$C,3,0),"Maior que CAP!",IF((DOLLAR(FR4+(VLOOKUP("PCS-OzTL47",[2]ARBOR!$A:$C,3,0)*-TRUNC(FR4/VLOOKUP("PCS-OzTL47",[2]ARBOR!$A:$C,3,0)-1,4)),6))&lt;&gt;(DOLLAR(VLOOKUP("PCS-OzTL47",[2]ARBOR!$A:$C,3,0),6)),-TRUNC(FR4/VLOOKUP("PCS-OzTL47",[2]ARBOR!$A:$C,3,0)-1,4)+0.0001,-TRUNC(FR4/VLOOKUP("PCS-OzTL47",[2]ARBOR!$A:$C,3,0)-1,4)))))</f>
        <v/>
      </c>
      <c r="FT4" s="178" t="str">
        <f>IF(ISERROR(IF(FS4="","",VLOOKUP(($AY4&amp;FS4&amp;"Template desconto FLAT Plano Principal Oi TV nível conta"),[2]BENEFICIOS!$A:$G,5,0))),"Criar",IF(FS4="","",VLOOKUP(($AY4&amp;FS4&amp;"Template desconto FLAT Plano Principal Oi TV nível conta"),[2]BENEFICIOS!$A:$G,5,0)))</f>
        <v/>
      </c>
      <c r="FU4" s="103"/>
      <c r="FV4" s="101" t="str">
        <f>IF(FU4=0,"",IF(FU4=VLOOKUP("PCS-OzTL46",[2]ARBOR!$A:$C,3,0),0.0001,IF(FU4&gt;VLOOKUP("PCS-OzTL46",[2]ARBOR!$A:$C,3,0),"Maior que CAP!",IF((DOLLAR(FU4+(VLOOKUP("PCS-OzTL46",[2]ARBOR!$A:$C,3,0)*-TRUNC(FU4/VLOOKUP("PCS-OzTL46",[2]ARBOR!$A:$C,3,0)-1,4)),6))&lt;&gt;(DOLLAR(VLOOKUP("PCS-OzTL46",[2]ARBOR!$A:$C,3,0),6)),-TRUNC(FU4/VLOOKUP("PCS-OzTL46",[2]ARBOR!$A:$C,3,0)-1,4)+0.0001,-TRUNC(FU4/VLOOKUP("PCS-OzTL46",[2]ARBOR!$A:$C,3,0)-1,4)))))</f>
        <v/>
      </c>
      <c r="FW4" s="178" t="str">
        <f>IF(ISERROR(IF(FV4="","",VLOOKUP(($AY4&amp;FV4&amp;"Template desconto FLAT Plano Principal Oi TV nível conta"),[2]BENEFICIOS!$A:$G,5,0))),"Criar",IF(FV4="","",VLOOKUP(($AY4&amp;FV4&amp;"Template desconto FLAT Plano Principal Oi TV nível conta"),[2]BENEFICIOS!$A:$G,5,0)))</f>
        <v/>
      </c>
      <c r="FX4" s="103"/>
      <c r="FY4" s="101" t="str">
        <f>IF(FX4=0,"",IF(FX4=VLOOKUP("PCS-OzTL48",[2]ARBOR!$A:$C,3,0),0.0001,IF(FX4&gt;VLOOKUP("PCS-OzTL48",[2]ARBOR!$A:$C,3,0),"Maior que CAP!",IF((DOLLAR(FX4+(VLOOKUP("PCS-OzTL48",[2]ARBOR!$A:$C,3,0)*-TRUNC(FX4/VLOOKUP("PCS-OzTL48",[2]ARBOR!$A:$C,3,0)-1,4)),6))&lt;&gt;(DOLLAR(VLOOKUP("PCS-OzTL48",[2]ARBOR!$A:$C,3,0),6)),-TRUNC(FX4/VLOOKUP("PCS-OzTL48",[2]ARBOR!$A:$C,3,0)-1,4)+0.0001,-TRUNC(FX4/VLOOKUP("PCS-OzTL48",[2]ARBOR!$A:$C,3,0)-1,4)))))</f>
        <v/>
      </c>
      <c r="FZ4" s="178" t="str">
        <f>IF(ISERROR(IF(FY4="","",VLOOKUP(($AY4&amp;FY4&amp;"Template desconto FLAT Plano Principal Oi TV nível conta"),[2]BENEFICIOS!$A:$G,5,0))),"Criar",IF(FY4="","",VLOOKUP(($AY4&amp;FY4&amp;"Template desconto FLAT Plano Principal Oi TV nível conta"),[2]BENEFICIOS!$A:$G,5,0)))</f>
        <v/>
      </c>
      <c r="GA4" s="103"/>
      <c r="GB4" s="101" t="str">
        <f>IF(GA4=0,"",IF(GA4=VLOOKUP("PCS-OzTL742",[2]ARBOR!$A:$C,3,0),0.0001,IF(GA4&gt;VLOOKUP("PCS-OzTL742",[2]ARBOR!$A:$C,3,0),"Maior que CAP!",IF((DOLLAR(GA4+(VLOOKUP("PCS-OzTL742",[2]ARBOR!$A:$C,3,0)*-TRUNC(GA4/VLOOKUP("PCS-OzTL742",[2]ARBOR!$A:$C,3,0)-1,4)),6))&lt;&gt;(DOLLAR(VLOOKUP("PCS-OzTL742",[2]ARBOR!$A:$C,3,0),6)),-TRUNC(GA4/VLOOKUP("PCS-OzTL742",[2]ARBOR!$A:$C,3,0)-1,4)+0.0001,-TRUNC(GA4/VLOOKUP("PCS-OzTL742",[2]ARBOR!$A:$C,3,0)-1,4)))))</f>
        <v/>
      </c>
      <c r="GC4" s="178" t="str">
        <f>IF(ISERROR(IF(GB4="","",VLOOKUP(($AY4&amp;GB4&amp;"Template desconto FLAT Plano Principal Oi TV nível conta"),[2]BENEFICIOS!$A:$G,5,0))),"Criar",IF(GB4="","",VLOOKUP(($AY4&amp;GB4&amp;"Template desconto FLAT Plano Principal Oi TV nível conta"),[2]BENEFICIOS!$A:$G,5,0)))</f>
        <v/>
      </c>
      <c r="GD4" s="103"/>
      <c r="GE4" s="101" t="str">
        <f>IF(GD4=0,"",IF(GD4=VLOOKUP("PCS-OzTL747",[2]ARBOR!$A:$C,3,0),0.0001,IF(GD4&gt;VLOOKUP("PCS-OzTL747",[2]ARBOR!$A:$C,3,0),"Maior que CAP!",IF((DOLLAR(GD4+(VLOOKUP("PCS-OzTL747",[2]ARBOR!$A:$C,3,0)*-TRUNC(GD4/VLOOKUP("PCS-OzTL747",[2]ARBOR!$A:$C,3,0)-1,4)),6))&lt;&gt;(DOLLAR(VLOOKUP("PCS-OzTL747",[2]ARBOR!$A:$C,3,0),6)),-TRUNC(GD4/VLOOKUP("PCS-OzTL747",[2]ARBOR!$A:$C,3,0)-1,4)+0.0001,-TRUNC(GD4/VLOOKUP("PCS-OzTL747",[2]ARBOR!$A:$C,3,0)-1,4)))))</f>
        <v/>
      </c>
      <c r="GF4" s="178" t="str">
        <f>IF(ISERROR(IF(GE4="","",VLOOKUP(($AY4&amp;GE4&amp;"Template desconto FLAT Plano Principal Oi TV nível conta"),[2]BENEFICIOS!$A:$G,5,0))),"Criar",IF(GE4="","",VLOOKUP(($AY4&amp;GE4&amp;"Template desconto FLAT Plano Principal Oi TV nível conta"),[2]BENEFICIOS!$A:$G,5,0)))</f>
        <v/>
      </c>
      <c r="GG4" s="103"/>
      <c r="GH4" s="101" t="str">
        <f>IF(GG4=0,"",IF(GG4=VLOOKUP("PCS-OzTL746",[2]ARBOR!$A:$C,3,0),0.0001,IF(GG4&gt;VLOOKUP("PCS-OzTL746",[2]ARBOR!$A:$C,3,0),"Maior que CAP!",IF((DOLLAR(GG4+(VLOOKUP("PCS-OzTL746",[2]ARBOR!$A:$C,3,0)*-TRUNC(GG4/VLOOKUP("PCS-OzTL746",[2]ARBOR!$A:$C,3,0)-1,4)),6))&lt;&gt;(DOLLAR(VLOOKUP("PCS-OzTL746",[2]ARBOR!$A:$C,3,0),6)),-TRUNC(GG4/VLOOKUP("PCS-OzTL746",[2]ARBOR!$A:$C,3,0)-1,4)+0.0001,-TRUNC(GG4/VLOOKUP("PCS-OzTL746",[2]ARBOR!$A:$C,3,0)-1,4)))))</f>
        <v/>
      </c>
      <c r="GI4" s="178" t="str">
        <f>IF(ISERROR(IF(GH4="","",VLOOKUP(($AY4&amp;GH4&amp;"Template desconto FLAT Plano Principal Oi TV nível conta"),[2]BENEFICIOS!$A:$G,5,0))),"Criar",IF(GH4="","",VLOOKUP(($AY4&amp;GH4&amp;"Template desconto FLAT Plano Principal Oi TV nível conta"),[2]BENEFICIOS!$A:$G,5,0)))</f>
        <v/>
      </c>
      <c r="GJ4" s="103"/>
      <c r="GK4" s="101" t="str">
        <f>IF(GJ4=0,"",IF(GJ4=VLOOKUP("PCS-OzTL748",[2]ARBOR!$A:$C,3,0),0.0001,IF(GJ4&gt;VLOOKUP("PCS-OzTL748",[2]ARBOR!$A:$C,3,0),"Maior que CAP!",IF((DOLLAR(GJ4+(VLOOKUP("PCS-OzTL748",[2]ARBOR!$A:$C,3,0)*-TRUNC(GJ4/VLOOKUP("PCS-OzTL748",[2]ARBOR!$A:$C,3,0)-1,4)),6))&lt;&gt;(DOLLAR(VLOOKUP("PCS-OzTL748",[2]ARBOR!$A:$C,3,0),6)),-TRUNC(GJ4/VLOOKUP("PCS-OzTL748",[2]ARBOR!$A:$C,3,0)-1,4)+0.0001,-TRUNC(GJ4/VLOOKUP("PCS-OzTL748",[2]ARBOR!$A:$C,3,0)-1,4)))))</f>
        <v/>
      </c>
      <c r="GL4" s="178" t="str">
        <f>IF(ISERROR(IF(GK4="","",VLOOKUP(($AY4&amp;GK4&amp;"Template desconto FLAT Plano Principal Oi TV nível conta"),[2]BENEFICIOS!$A:$G,5,0))),"Criar",IF(GK4="","",VLOOKUP(($AY4&amp;GK4&amp;"Template desconto FLAT Plano Principal Oi TV nível conta"),[2]BENEFICIOS!$A:$G,5,0)))</f>
        <v/>
      </c>
      <c r="GM4" s="103">
        <v>75</v>
      </c>
      <c r="GN4" s="101">
        <f>IF(GM4=0,"",IF(GM4=VLOOKUP("PCS-OzTL34",[2]ARBOR!$A:$C,3,0),0.0001,IF(GM4&gt;VLOOKUP("PCS-OzTL34",[2]ARBOR!$A:$C,3,0),"Maior que CAP!",IF((DOLLAR(GM4+(VLOOKUP("PCS-OzTL34",[2]ARBOR!$A:$C,3,0)*-TRUNC(GM4/VLOOKUP("PCS-OzTL34",[2]ARBOR!$A:$C,3,0)-1,4)),6))&lt;&gt;(DOLLAR(VLOOKUP("PCS-OzTL34",[2]ARBOR!$A:$C,3,0),6)),-TRUNC(GM4/VLOOKUP("PCS-OzTL34",[2]ARBOR!$A:$C,3,0)-1,4)+0.0001,-TRUNC(GM4/VLOOKUP("PCS-OzTL34",[2]ARBOR!$A:$C,3,0)-1,4)))))</f>
        <v>0.31900000000000001</v>
      </c>
      <c r="GO4" s="178" t="s">
        <v>178</v>
      </c>
      <c r="GP4" s="103">
        <v>19.899999999999999</v>
      </c>
      <c r="GQ4" s="101">
        <f>IF(GP4=0,"",IF(GP4=VLOOKUP("PCS-OzTL31",[2]ARBOR!$A:$C,3,0),0.0001,IF(GP4&gt;VLOOKUP("PCS-OzTL31",[2]ARBOR!$A:$C,3,0),"Maior que CAP!",IF((DOLLAR(GP4+(VLOOKUP("PCS-OzTL31",[2]ARBOR!$A:$C,3,0)*-TRUNC(GP4/VLOOKUP("PCS-OzTL31",[2]ARBOR!$A:$C,3,0)-1,4)),6))&lt;&gt;(DOLLAR(VLOOKUP("PCS-OzTL31",[2]ARBOR!$A:$C,3,0),6)),-TRUNC(GP4/VLOOKUP("PCS-OzTL31",[2]ARBOR!$A:$C,3,0)-1,4)+0.0001,-TRUNC(GP4/VLOOKUP("PCS-OzTL31",[2]ARBOR!$A:$C,3,0)-1,4)))))</f>
        <v>9.1800000000000007E-2</v>
      </c>
      <c r="GR4" s="178" t="s">
        <v>179</v>
      </c>
      <c r="GS4" s="103">
        <v>19.899999999999999</v>
      </c>
      <c r="GT4" s="101">
        <f>IF(GS4=0,"",IF(GS4=VLOOKUP("PCS-OzTL32",[2]ARBOR!$A:$C,3,0),0.0001,IF(GS4&gt;VLOOKUP("PCS-OzTL32",[2]ARBOR!$A:$C,3,0),"Maior que CAP!",IF((DOLLAR(GS4+(VLOOKUP("PCS-OzTL32",[2]ARBOR!$A:$C,3,0)*-TRUNC(GS4/VLOOKUP("PCS-OzTL32",[2]ARBOR!$A:$C,3,0)-1,4)),6))&lt;&gt;(DOLLAR(VLOOKUP("PCS-OzTL32",[2]ARBOR!$A:$C,3,0),6)),-TRUNC(GS4/VLOOKUP("PCS-OzTL32",[2]ARBOR!$A:$C,3,0)-1,4)+0.0001,-TRUNC(GS4/VLOOKUP("PCS-OzTL32",[2]ARBOR!$A:$C,3,0)-1,4)))))</f>
        <v>9.1800000000000007E-2</v>
      </c>
      <c r="GU4" s="178" t="s">
        <v>180</v>
      </c>
      <c r="GV4" s="103">
        <v>29.9</v>
      </c>
      <c r="GW4" s="101">
        <f>IF(GV4=0,"",IF(GV4=VLOOKUP("PCS-OzTL33",[2]ARBOR!$A:$C,3,0),0.0001,IF(GV4&gt;VLOOKUP("PCS-OzTL33",[2]ARBOR!$A:$C,3,0),"Maior que CAP!",IF((DOLLAR(GV4+(VLOOKUP("PCS-OzTL33",[2]ARBOR!$A:$C,3,0)*-TRUNC(GV4/VLOOKUP("PCS-OzTL33",[2]ARBOR!$A:$C,3,0)-1,4)),6))&lt;&gt;(DOLLAR(VLOOKUP("PCS-OzTL33",[2]ARBOR!$A:$C,3,0),6)),-TRUNC(GV4/VLOOKUP("PCS-OzTL33",[2]ARBOR!$A:$C,3,0)-1,4)+0.0001,-TRUNC(GV4/VLOOKUP("PCS-OzTL33",[2]ARBOR!$A:$C,3,0)-1,4)))))</f>
        <v>9.1800000000000007E-2</v>
      </c>
      <c r="GX4" s="178" t="s">
        <v>181</v>
      </c>
      <c r="GY4" s="103">
        <v>14.9</v>
      </c>
      <c r="GZ4" s="101">
        <f>IF(GY4=0,"",IF(GY4=VLOOKUP("PCS-OzTL503",[2]ARBOR!$A:$C,3,0),0.0001,IF(GY4&gt;VLOOKUP("PCS-OzTL503",[2]ARBOR!$A:$C,3,0),"Maior que CAP!",IF((DOLLAR(GY4+(VLOOKUP("PCS-OzTL503",[2]ARBOR!$A:$C,3,0)*-TRUNC(GY4/VLOOKUP("PCS-OzTL503",[2]ARBOR!$A:$C,3,0)-1,4)),6))&lt;&gt;(DOLLAR(VLOOKUP("PCS-OzTL503",[2]ARBOR!$A:$C,3,0),6)),-TRUNC(GY4/VLOOKUP("PCS-OzTL503",[2]ARBOR!$A:$C,3,0)-1,4)+0.0001,-TRUNC(GY4/VLOOKUP("PCS-OzTL503",[2]ARBOR!$A:$C,3,0)-1,4)))))</f>
        <v>9.1499999999999998E-2</v>
      </c>
      <c r="HA4" s="178" t="s">
        <v>182</v>
      </c>
      <c r="HB4" s="103">
        <v>10</v>
      </c>
      <c r="HC4" s="101">
        <f>IF(HB4=0,"",IF(HB4=VLOOKUP("PCS-OzTL500",[2]ARBOR!$A:$C,3,0),0.0001,IF(HB4&gt;VLOOKUP("PCS-OzTL500",[2]ARBOR!$A:$C,3,0),"Maior que CAP!",IF((DOLLAR(HB4+(VLOOKUP("PCS-OzTL500",[2]ARBOR!$A:$C,3,0)*-TRUNC(HB4/VLOOKUP("PCS-OzTL500",[2]ARBOR!$A:$C,3,0)-1,4)),6))&lt;&gt;(DOLLAR(VLOOKUP("PCS-OzTL500",[2]ARBOR!$A:$C,3,0),6)),-TRUNC(HB4/VLOOKUP("PCS-OzTL500",[2]ARBOR!$A:$C,3,0)-1,4)+0.0001,-TRUNC(HB4/VLOOKUP("PCS-OzTL500",[2]ARBOR!$A:$C,3,0)-1,4)))))</f>
        <v>9.1800000000000007E-2</v>
      </c>
      <c r="HD4" s="178" t="s">
        <v>183</v>
      </c>
      <c r="HE4" s="103" t="s">
        <v>184</v>
      </c>
      <c r="HF4" s="101"/>
      <c r="HG4" s="178"/>
      <c r="HH4" s="103" t="s">
        <v>185</v>
      </c>
      <c r="HI4" s="101"/>
      <c r="HJ4" s="178"/>
      <c r="HK4" s="103" t="s">
        <v>186</v>
      </c>
      <c r="HL4" s="101"/>
      <c r="HM4" s="178"/>
      <c r="HN4" s="103" t="s">
        <v>187</v>
      </c>
      <c r="HO4" s="101"/>
      <c r="HP4" s="178"/>
      <c r="HQ4" s="103" t="s">
        <v>188</v>
      </c>
      <c r="HR4" s="101"/>
      <c r="HS4" s="178"/>
      <c r="HT4" s="103">
        <v>24.9</v>
      </c>
      <c r="HU4" s="101">
        <f>IF(HT4=0,"",IF(HT4=VLOOKUP("PCS-OzTL99",[2]ARBOR!$A:$C,3,0),0.0001,IF(HT4&gt;VLOOKUP("PCS-OzTL99",[2]ARBOR!$A:$C,3,0),"Maior que CAP!",IF((DOLLAR(HT4+(VLOOKUP("PCS-OzTL99",[2]ARBOR!$A:$C,3,0)*-TRUNC(HT4/VLOOKUP("PCS-OzTL99",[2]ARBOR!$A:$C,3,0)-1,4)),6))&lt;&gt;(DOLLAR(VLOOKUP("PCS-OzTL99",[2]ARBOR!$A:$C,3,0),6)),-TRUNC(HT4/VLOOKUP("PCS-OzTL99",[2]ARBOR!$A:$C,3,0)-1,4)+0.0001,-TRUNC(HT4/VLOOKUP("PCS-OzTL99",[2]ARBOR!$A:$C,3,0)-1,4)))))</f>
        <v>0.16729999999999998</v>
      </c>
      <c r="HV4" s="179" t="s">
        <v>189</v>
      </c>
      <c r="HW4" s="170" t="s">
        <v>167</v>
      </c>
      <c r="HX4" s="178" t="str">
        <f t="shared" ref="HX4:HX19" si="4">IF(HW4="Sim","PCS-34704","")</f>
        <v>PCS-34704</v>
      </c>
      <c r="HY4" s="180" t="str">
        <f>IFERROR((IF(AZ4="","",VLOOKUP(AZ4,[2]ARBOR!A:C,3,0))),"")</f>
        <v/>
      </c>
      <c r="HZ4" s="181"/>
      <c r="IA4" s="158" t="str">
        <f>IF(HZ4="","",ROUND(1-(HZ4/VLOOKUP(AZ4&amp;"ASS",[2]ARBOR!A:C,3,0)),4))</f>
        <v/>
      </c>
      <c r="IB4" s="158"/>
      <c r="IC4" s="182"/>
      <c r="ID4" s="183"/>
      <c r="IE4" s="101" t="str">
        <f>IF(ID4="","",ROUND(IF(ID4=0,"",IF(ID4=HY4,0.0001,1-((ID4+(VLOOKUP(AZ4&amp;"ASS",[2]ARBOR!A:C,3,0)-HZ4))/HY4))),4))</f>
        <v/>
      </c>
      <c r="IF4" s="101" t="str">
        <f>IF(ISERROR(IF(IE4="","",VLOOKUP(($AY4&amp;IE4&amp;"Template de desconto percentual FLAT Móvel - Conta Total - Varejo - Ganho Tributário Cross"),[2]BENEFICIOS!$A:$E,5,0))),"Criar",IF(IE4="","",VLOOKUP(($AY4&amp;IE4&amp;"Template de desconto percentual FLAT Móvel - Conta Total - Varejo - Ganho Tributário Cross"),[2]BENEFICIOS!$A:$E,5,0)))</f>
        <v/>
      </c>
      <c r="IG4" s="167"/>
      <c r="IH4" s="101"/>
      <c r="II4" s="184"/>
      <c r="IJ4" s="185"/>
      <c r="IK4" s="101"/>
      <c r="IL4" s="101"/>
      <c r="IM4" s="186"/>
      <c r="IN4" s="186"/>
      <c r="IO4" s="187"/>
      <c r="IP4" s="188" t="str">
        <f>IF(IO4=0,"",IF(IO4=VLOOKUP("PCS-813566",[2]ARBOR!$A:$C,3,0),0.0001,IF(IO4&gt;VLOOKUP("PCS-813566",[2]ARBOR!$A:$C,3,0),"Maior que CAP!",ROUND(-1*(IO4/VLOOKUP("PCS-813566",[2]ARBOR!$A:$C,3,0)-1),4))))</f>
        <v/>
      </c>
      <c r="IQ4" s="189" t="str">
        <f>IF(ISERROR(IF(IP4="","",VLOOKUP(("Oi Internet Pra Celular 300MB"&amp;IP4&amp;"Template Flat Instância Dados"),[2]BENEFICIOS!$A:$E,5,0))),"Criar",IF(IP4="","",VLOOKUP(("Oi Internet Pra Celular 300MB"&amp;IP4&amp;"Template Flat Instância Dados"),[2]BENEFICIOS!$A:$E,5,0)))</f>
        <v/>
      </c>
      <c r="IR4" s="190"/>
      <c r="IS4" s="191" t="str">
        <f>IF(IR4=0,"",IF(IR4=VLOOKUP("sva_bancas",[2]ARBOR!$A:$C,3,0),0.0001,IF(IR4&gt;VLOOKUP("sva_livros",[2]ARBOR!$A:$C,3,0),"Maior que CAP!",ROUND(-1*(IR4/VLOOKUP("sva_bancas",[2]ARBOR!$A:$C,3,0)-1),4))))</f>
        <v/>
      </c>
      <c r="IT4" s="192" t="str">
        <f>IF(ISERROR(IF(IS4="","",VLOOKUP(("Oi Internet Pra Celular 300MB"&amp;IS4&amp;"Template Desconto % SVA DADOS B2C"),[2]BENEFICIOS!$A:$E,5,0))),"Criar",IF(IS4="","",VLOOKUP(("Oi Internet Pra Celular 300MB"&amp;IS4&amp;"Template Desconto % SVA DADOS B2C"),[2]BENEFICIOS!$A:$E,5,0)))</f>
        <v/>
      </c>
      <c r="IU4" s="187"/>
      <c r="IV4" s="188" t="str">
        <f>IF(IU4=0,"",IF(IU4=VLOOKUP("PCS-813564",[2]ARBOR!$A:$C,3,0),0.0001,IF(IU4&gt;VLOOKUP("PCS-813564",[2]ARBOR!$A:$C,3,0),"Maior que CAP!",ROUND(-1*(IU4/VLOOKUP("PCS-813564",[2]ARBOR!$A:$C,3,0)-1),4))))</f>
        <v/>
      </c>
      <c r="IW4" s="189" t="str">
        <f>IF(ISERROR(IF(IV4="","",VLOOKUP(("Oi Internet Pra Celular 500MB"&amp;IV4&amp;"Template Flat Instância Dados"),[2]BENEFICIOS!$A:$E,5,0))),"Criar",IF(IV4="","",VLOOKUP(("Oi Internet Pra Celular 500MB"&amp;IV4&amp;"Template Flat Instância Dados"),[2]BENEFICIOS!$A:$E,5,0)))</f>
        <v/>
      </c>
      <c r="IX4" s="190"/>
      <c r="IY4" s="191" t="str">
        <f>IF(IX4=0,"",IF(IX4=VLOOKUP("sva_livros",[2]ARBOR!$A:$C,3,0),0.0001,IF(IX4&gt;VLOOKUP("sva_livros",[2]ARBOR!$A:$C,3,0),"Maior que CAP!",ROUND(-1*(IX4/VLOOKUP("sva_livros",[2]ARBOR!$A:$C,3,0)-1),4))))</f>
        <v/>
      </c>
      <c r="IZ4" s="192" t="str">
        <f>IF(ISERROR(IF(IY4="","",VLOOKUP(("Oi Internet Pra Celular 500MB"&amp;IY4&amp;"Template Desconto % SVA DADOS B2C"),[2]BENEFICIOS!$A:$E,5,0))),"Criar",IF(IY4="","",VLOOKUP(("Oi Internet Pra Celular 500MB"&amp;IY4&amp;"Template Desconto % SVA DADOS B2C"),[2]BENEFICIOS!$A:$E,5,0)))</f>
        <v/>
      </c>
      <c r="JA4" s="187"/>
      <c r="JB4" s="188" t="str">
        <f>IF(JA4=0,"",IF(JA4=VLOOKUP("PCS-10357",[2]ARBOR!$A:$C,3,0),0.0001,IF(JA4&gt;VLOOKUP("PCS-10357",[2]ARBOR!$A:$C,3,0),"Maior que CAP!",ROUND(-1*(JA4/VLOOKUP("PCS-10357",[2]ARBOR!$A:$C,3,0)-1),4))))</f>
        <v/>
      </c>
      <c r="JC4" s="189" t="str">
        <f>IF(ISERROR(IF(JB4="","",VLOOKUP(("Oi Internet Pra Celular 1GB"&amp;JB4&amp;"Template Flat Instância Dados"),[2]BENEFICIOS!$A:$E,5,0))),"Criar",IF(JB4="","",VLOOKUP(("Oi Internet Pra Celular 1GB"&amp;JB4&amp;"Template Flat Instância Dados"),[2]BENEFICIOS!$A:$E,5,0)))</f>
        <v/>
      </c>
      <c r="JD4" s="190"/>
      <c r="JE4" s="191" t="str">
        <f>IF(JD4=0,"",IF(JD4=VLOOKUP("sva_livros",[2]ARBOR!$A:$C,3,0),0.0001,IF(JD4&gt;VLOOKUP("sva_livros",[2]ARBOR!$A:$C,3,0),"Maior que CAP!",ROUND(-1*(JD4/VLOOKUP("sva_livros",[2]ARBOR!$A:$C,3,0)-1),4))))</f>
        <v/>
      </c>
      <c r="JF4" s="192" t="str">
        <f>IF(ISERROR(IF(JE4="","",VLOOKUP(("Oi Internet Pra Celular 1GB"&amp;JE4&amp;"Template Desconto % SVA DADOS B2C"),[2]BENEFICIOS!$A:$E,5,0))),"Criar",IF(JE4="","",VLOOKUP(("Oi Internet Pra Celular 1GB"&amp;JE4&amp;"Template Desconto % SVA DADOS B2C"),[2]BENEFICIOS!$A:$E,5,0)))</f>
        <v/>
      </c>
      <c r="JG4" s="187"/>
      <c r="JH4" s="188" t="str">
        <f>IF(JG4=0,"",IF(JG4=VLOOKUP("PCS-813565",[2]ARBOR!$A:$C,3,0),0.0001,IF(JG4&gt;VLOOKUP("PCS-813565",[2]ARBOR!$A:$C,3,0),"Maior que CAP!",ROUND(-1*(JG4/VLOOKUP("PCS-813565",[2]ARBOR!$A:$C,3,0)-1),4))))</f>
        <v/>
      </c>
      <c r="JI4" s="189" t="str">
        <f>IF(ISERROR(IF(JH4="","",VLOOKUP(("Oi Internet Pra Celular 2GB"&amp;JH4&amp;"Template Flat Instância Dados"),[2]BENEFICIOS!$A:$E,5,0))),"Criar",IF(JH4="","",VLOOKUP(("Oi Internet Pra Celular 2GB"&amp;JH4&amp;"Template Flat Instância Dados"),[2]BENEFICIOS!$A:$E,5,0)))</f>
        <v/>
      </c>
      <c r="JJ4" s="190"/>
      <c r="JK4" s="191" t="str">
        <f>IF(JJ4=0,"",IF(JJ4=VLOOKUP("sva_livros",[2]ARBOR!$A:$C,3,0),0.0001,IF(JJ4&gt;VLOOKUP("sva_livros",[2]ARBOR!$A:$C,3,0),"Maior que CAP!",ROUND(-1*(JJ4/VLOOKUP("sva_livros",[2]ARBOR!$A:$C,3,0)-1),4))))</f>
        <v/>
      </c>
      <c r="JL4" s="192" t="str">
        <f>IF(ISERROR(IF(JK4="","",VLOOKUP(("Oi Internet Pra Celular 2GB"&amp;JK4&amp;"Template Desconto % SVA DADOS B2C"),[2]BENEFICIOS!$A:$E,5,0))),"Criar",IF(JK4="","",VLOOKUP(("Oi Internet Pra Celular 2GB"&amp;JK4&amp;"Template Desconto % SVA DADOS B2C"),[2]BENEFICIOS!$A:$E,5,0)))</f>
        <v/>
      </c>
      <c r="JM4" s="187"/>
      <c r="JN4" s="188" t="str">
        <f>IF(JM4=0,"",IF(JM4=VLOOKUP("PCS-7171B",[2]ARBOR!$A:$C,3,0),0.0001,IF(JM4&gt;VLOOKUP("PCS-7171B",[2]ARBOR!$A:$C,3,0),"Maior que CAP!",ROUND(-1*(JM4/VLOOKUP("PCS-7171B",[2]ARBOR!$A:$C,3,0)-1),4))))</f>
        <v/>
      </c>
      <c r="JO4" s="189" t="str">
        <f>IF(ISERROR(IF(JN4="","",VLOOKUP(("Oi Internet Pra Celular 3GB"&amp;JN4&amp;"Template Flat Instância Dados"),[2]BENEFICIOS!$A:$E,5,0))),"Criar",IF(JN4="","",VLOOKUP(("Oi Internet Pra Celular 3GB"&amp;JN4&amp;"Template Flat Instância Dados"),[2]BENEFICIOS!$A:$E,5,0)))</f>
        <v/>
      </c>
      <c r="JP4" s="190"/>
      <c r="JQ4" s="191" t="str">
        <f>IF(JP4=0,"",IF(JP4=VLOOKUP("sva_livros",[2]ARBOR!$A:$C,3,0),0.0001,IF(JP4&gt;VLOOKUP("sva_livros",[2]ARBOR!$A:$C,3,0),"Maior que CAP!",ROUND(-1*(JP4/VLOOKUP("sva_livros",[2]ARBOR!$A:$C,3,0)-1),4))))</f>
        <v/>
      </c>
      <c r="JR4" s="192" t="str">
        <f>IF(ISERROR(IF(JQ4="","",VLOOKUP(("Oi Internet Pra Celular 3GB"&amp;JQ4&amp;"Template Desconto % SVA DADOS B2C"),[2]BENEFICIOS!$A:$E,5,0))),"Criar",IF(JQ4="","",VLOOKUP(("Oi Internet Pra Celular 3GB"&amp;JQ4&amp;"Template Desconto % SVA DADOS B2C"),[2]BENEFICIOS!$A:$E,5,0)))</f>
        <v/>
      </c>
      <c r="JS4" s="187"/>
      <c r="JT4" s="188" t="str">
        <f>IF(JS4=0,"",IF(JS4=VLOOKUP("PCS-51793o08",[2]ARBOR!$A:$C,3,0),0.0001,IF(JS4&gt;VLOOKUP("PCS-51793o08",[2]ARBOR!$A:$C,3,0),"Maior que CAP!",ROUND(-1*(JS4/VLOOKUP("PCS-51793o08",[2]ARBOR!$A:$C,3,0)-1),4))))</f>
        <v/>
      </c>
      <c r="JU4" s="189" t="str">
        <f>IF(ISERROR(IF(JT4="","",VLOOKUP(("Oi Internet Pra Celular 5GB"&amp;JT4&amp;"Template Flat Instância Dados"),[2]BENEFICIOS!$A:$E,5,0))),"Criar",IF(JT4="","",VLOOKUP(("Oi Internet Pra Celular 5GB"&amp;JT4&amp;"Template Flat Instância Dados"),[2]BENEFICIOS!$A:$E,5,0)))</f>
        <v/>
      </c>
      <c r="JV4" s="190"/>
      <c r="JW4" s="191" t="str">
        <f>IF(JV4=0,"",IF(JV4=VLOOKUP("sva_curtas",[2]ARBOR!$A:$C,3,0),0.0001,IF(JV4&gt;VLOOKUP("sva_curtas",[2]ARBOR!$A:$C,3,0),"Maior que CAP!",ROUND(-1*(JV4/VLOOKUP("sva_curtas",[2]ARBOR!$A:$C,3,0)-1),4))))</f>
        <v/>
      </c>
      <c r="JX4" s="192" t="str">
        <f>IF(ISERROR(IF(JW4="","",VLOOKUP(("Oi Internet Pra Celular 5GB"&amp;JW4&amp;"Template Desconto % SVA DADOS B2C"),[2]BENEFICIOS!$A:$E,5,0))),"Criar",IF(JW4="","",VLOOKUP(("Oi Internet Pra Celular 5GB"&amp;JW4&amp;"Template Desconto % SVA DADOS B2C"),[2]BENEFICIOS!$A:$E,5,0)))</f>
        <v/>
      </c>
      <c r="JY4" s="187"/>
      <c r="JZ4" s="188" t="str">
        <f>IF(JY4=0,"",IF(JY4=VLOOKUP("PCS-7171A",[2]ARBOR!$A:$C,3,0),0.0001,IF(JY4&gt;VLOOKUP("PCS-7171A",[2]ARBOR!$A:$C,3,0),"Maior que CAP!",ROUND(-1*(JY4/VLOOKUP("PCS-7171A",[2]ARBOR!$A:$C,3,0)-1),4))))</f>
        <v/>
      </c>
      <c r="KA4" s="193" t="str">
        <f>IF(ISERROR(IF(JZ4="","",VLOOKUP(("Oi Internet Pra Celular 10GB"&amp;JZ4&amp;"Template Flat Instância Dados"),[2]BENEFICIOS!$A:$E,5,0))),"Criar",IF(JZ4="","",VLOOKUP(("Oi Internet Pra Celular 10GB"&amp;JZ4&amp;"Template Flat Instância Dados"),[2]BENEFICIOS!$A:$E,5,0)))</f>
        <v/>
      </c>
      <c r="KB4" s="190"/>
      <c r="KC4" s="191" t="str">
        <f>IF(KB4=0,"",IF(KB4=VLOOKUP("sva_curtas",[2]ARBOR!$A:$C,3,0),0.0001,IF(KB4&gt;VLOOKUP("sva_curtas",[2]ARBOR!$A:$C,3,0),"Maior que CAP!",ROUND(-1*(KB4/VLOOKUP("sva_curtas",[2]ARBOR!$A:$C,3,0)-1),4))))</f>
        <v/>
      </c>
      <c r="KD4" s="192" t="str">
        <f>IF(ISERROR(IF(KC4="","",VLOOKUP(("Oi Internet Pra Celular 10GB"&amp;KC4&amp;"Template Desconto % SVA DADOS B2C"),[2]BENEFICIOS!$A:$E,5,0))),"Criar",IF(KC4="","",VLOOKUP(("Oi Internet Pra Celular 10GB"&amp;KC4&amp;"Template Desconto % SVA DADOS B2C"),[2]BENEFICIOS!$A:$E,5,0)))</f>
        <v/>
      </c>
      <c r="KE4" s="194"/>
      <c r="KF4" s="195"/>
      <c r="KG4" s="196" t="s">
        <v>167</v>
      </c>
      <c r="KH4" s="197" t="s">
        <v>190</v>
      </c>
      <c r="KI4" s="198">
        <v>699</v>
      </c>
      <c r="KJ4" s="197">
        <v>12</v>
      </c>
      <c r="KK4" s="199" t="str">
        <f t="shared" ref="KK4:KK19" si="5">IF(KH4="Benefício","Oi benefício fidelização Multiprodutos","")</f>
        <v>Oi benefício fidelização Multiprodutos</v>
      </c>
      <c r="KL4" s="200" t="str">
        <f t="shared" ref="KL4:KL19" si="6">IF(KH4="Benefício","PCS-Fk83324","")</f>
        <v>PCS-Fk83324</v>
      </c>
      <c r="KM4" s="200" t="str">
        <f t="shared" ref="KM4:KM19" si="7">IF(KG4="Sim","PCS-SBL553142","")</f>
        <v>PCS-SBL553142</v>
      </c>
      <c r="KN4" s="201" t="s">
        <v>191</v>
      </c>
      <c r="KO4" s="202" t="s">
        <v>192</v>
      </c>
      <c r="KP4" s="202" t="s">
        <v>193</v>
      </c>
      <c r="KQ4" s="201" t="s">
        <v>194</v>
      </c>
      <c r="KR4" s="199" t="s">
        <v>195</v>
      </c>
      <c r="KS4" s="200" t="s">
        <v>196</v>
      </c>
      <c r="KT4" s="203" t="s">
        <v>197</v>
      </c>
      <c r="KU4" s="129" t="s">
        <v>198</v>
      </c>
      <c r="KV4" s="129">
        <v>150.01</v>
      </c>
      <c r="KW4" s="129" t="s">
        <v>198</v>
      </c>
      <c r="KX4" s="129" t="s">
        <v>198</v>
      </c>
      <c r="KY4" s="129" t="s">
        <v>198</v>
      </c>
      <c r="KZ4" s="129" t="s">
        <v>198</v>
      </c>
      <c r="LA4" s="129" t="s">
        <v>198</v>
      </c>
      <c r="LB4" s="129" t="s">
        <v>198</v>
      </c>
      <c r="LC4" s="129" t="s">
        <v>198</v>
      </c>
      <c r="LD4" s="129" t="s">
        <v>198</v>
      </c>
      <c r="LE4" s="129" t="s">
        <v>198</v>
      </c>
      <c r="LF4" s="129" t="s">
        <v>198</v>
      </c>
      <c r="LG4" s="129" t="s">
        <v>198</v>
      </c>
      <c r="LH4" s="129" t="s">
        <v>198</v>
      </c>
      <c r="LI4" s="129" t="s">
        <v>198</v>
      </c>
      <c r="LJ4" s="129" t="s">
        <v>198</v>
      </c>
      <c r="LK4" s="204" t="s">
        <v>198</v>
      </c>
      <c r="LL4" s="205"/>
      <c r="LM4" s="206"/>
      <c r="LN4" s="206"/>
      <c r="LO4" s="206"/>
      <c r="LP4" s="206"/>
      <c r="LQ4" s="206"/>
      <c r="LR4" s="206"/>
      <c r="LS4" s="206"/>
      <c r="LT4" s="206"/>
      <c r="LU4" s="207"/>
      <c r="LV4" t="s">
        <v>202</v>
      </c>
      <c r="LW4" t="s">
        <v>200</v>
      </c>
    </row>
    <row r="5" spans="1:335" x14ac:dyDescent="0.25">
      <c r="A5" s="134" t="s">
        <v>164</v>
      </c>
      <c r="B5" s="135" t="s">
        <v>165</v>
      </c>
      <c r="C5" s="135" t="s">
        <v>166</v>
      </c>
      <c r="D5" s="136" t="s">
        <v>167</v>
      </c>
      <c r="E5" s="137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9"/>
      <c r="Q5" s="139"/>
      <c r="R5" s="139"/>
      <c r="S5" s="140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208"/>
      <c r="AF5" s="138"/>
      <c r="AG5" s="138"/>
      <c r="AH5" s="142"/>
      <c r="AI5" s="58" t="s">
        <v>6</v>
      </c>
      <c r="AJ5" s="59" t="s">
        <v>168</v>
      </c>
      <c r="AK5" s="60" t="s">
        <v>169</v>
      </c>
      <c r="AL5" s="143">
        <v>43039</v>
      </c>
      <c r="AM5" s="144">
        <v>43159</v>
      </c>
      <c r="AN5" s="63" t="s">
        <v>170</v>
      </c>
      <c r="AO5" s="64" t="s">
        <v>170</v>
      </c>
      <c r="AP5" s="145"/>
      <c r="AQ5" s="145" t="s">
        <v>171</v>
      </c>
      <c r="AR5" s="145">
        <v>20</v>
      </c>
      <c r="AS5" s="145">
        <v>10000</v>
      </c>
      <c r="AT5" s="146" t="s">
        <v>172</v>
      </c>
      <c r="AU5" s="147" t="s">
        <v>167</v>
      </c>
      <c r="AV5" s="148" t="s">
        <v>173</v>
      </c>
      <c r="AW5" s="149" t="s">
        <v>173</v>
      </c>
      <c r="AX5" s="150" t="s">
        <v>6</v>
      </c>
      <c r="AY5" s="151" t="s">
        <v>203</v>
      </c>
      <c r="AZ5" s="152" t="str">
        <f>IF(ISERROR(VLOOKUP(AY5,[2]PLANOS!B:C,2,0)),"",VLOOKUP(AY5,[2]PLANOS!B:C,2,0))</f>
        <v>PCS-3PHipi</v>
      </c>
      <c r="BA5" s="153" t="s">
        <v>173</v>
      </c>
      <c r="BB5" s="154" t="str">
        <f t="shared" si="1"/>
        <v/>
      </c>
      <c r="BC5" s="155"/>
      <c r="BD5" s="156"/>
      <c r="BE5" s="157">
        <v>50.11</v>
      </c>
      <c r="BF5" s="101">
        <f>IF(BE5=0,"",IF(BE5=VLOOKUP("FIXO",[2]ARBOR!$A:$C,3,0),0.0001,IF(BE5&gt;VLOOKUP("FIXO",[2]ARBOR!$A:$C,3,0),"Maior que CAP!",IF((DOLLAR(BE5+(VLOOKUP("FIXO",[2]ARBOR!$A:$C,3,0)*-TRUNC(BE5/VLOOKUP("FIXO",[2]ARBOR!$A:$C,3,0)-1,4)),6))&lt;&gt;(DOLLAR(VLOOKUP("FIXO",[2]ARBOR!$A:$C,3,0),6)),-TRUNC(BE5/VLOOKUP("FIXO",[2]ARBOR!$A:$C,3,0)-1,4)+0.0001,-TRUNC(BE5/VLOOKUP("FIXO",[2]ARBOR!$A:$C,3,0)-1,4)))))</f>
        <v>0.33929999999999999</v>
      </c>
      <c r="BG5" s="158"/>
      <c r="BH5" s="101" t="str">
        <f>IF(BG5=0,"",IF(BG5=VLOOKUP("FIXO",[2]ARBOR!$A:$C,3,0),0.0001,IF(BG5&gt;VLOOKUP("FIXO",[2]ARBOR!$A:$C,3,0),"Maior que CAP!",IF((DOLLAR(BG5+(VLOOKUP("FIXO",[2]ARBOR!$A:$C,3,0)*-TRUNC(BG5/VLOOKUP("FIXO",[2]ARBOR!$A:$C,3,0)-1,4)),6))&lt;&gt;(DOLLAR(VLOOKUP("FIXO",[2]ARBOR!$A:$C,3,0),6)),-TRUNC(BG5/VLOOKUP("FIXO",[2]ARBOR!$A:$C,3,0)-1,4)+0.0001,-TRUNC(BG5/VLOOKUP("FIXO",[2]ARBOR!$A:$C,3,0)-1,4)))))</f>
        <v/>
      </c>
      <c r="BI5" s="101" t="str">
        <f>IF(ISERROR(IF(BF5="","",VLOOKUP(($AY5&amp;BF5&amp;"Template de desconto FLAT bundle - Fixo - Varejo - Ganho Tributário Cross"),[2]BENEFICIOS!$A:$E,5,0))),"Criar",IF(BF5="","",VLOOKUP(($AY5&amp;BF5&amp;"Template de desconto FLAT bundle - Fixo - Varejo - Ganho Tributário Cross"),[2]BENEFICIOS!$A:$E,5,0)))</f>
        <v>MKT-1-9825728196</v>
      </c>
      <c r="BJ5" s="159"/>
      <c r="BK5" s="101" t="str">
        <f t="shared" si="2"/>
        <v/>
      </c>
      <c r="BL5" s="160"/>
      <c r="BM5" s="101" t="str">
        <f>IF(BL5=0,"",IF(BL5=VLOOKUP("FIXO",[2]ARBOR!$A:$C,3,0),0.0001,IF(BL5&gt;VLOOKUP("FIXO",[2]ARBOR!$A:$C,3,0),"Maior que CAP!",IF(BF5&lt;&gt;"",-ROUND(BL5/VLOOKUP("FIXO",[2]ARBOR!$A:$C,3,0)-1,4)-BF5,-ROUND(BL5/VLOOKUP("FIXO",[2]ARBOR!$A:$C,3,0)-1,4)))))</f>
        <v/>
      </c>
      <c r="BN5" s="161"/>
      <c r="BO5" s="101" t="str">
        <f>IF(ISERROR(IF(BK5="","",VLOOKUP(($AY5&amp;BK5&amp;"Template de desconto FLAT bundle - Fixo - Varejo - Ganho Tributário Cross"),[2]BENEFICIOS!$A:$E,5,0))),"Criar",IF(BK5="","",VLOOKUP(($AY5&amp;BK5&amp;"Template de desconto FLAT bundle - Fixo - Varejo - Ganho Tributário Cross"),[2]BENEFICIOS!$A:$E,5,0)))</f>
        <v/>
      </c>
      <c r="BP5" s="162" t="s">
        <v>175</v>
      </c>
      <c r="BQ5" s="163" t="s">
        <v>176</v>
      </c>
      <c r="BR5" s="164" t="s">
        <v>173</v>
      </c>
      <c r="BS5" s="165" t="str">
        <f t="shared" si="0"/>
        <v/>
      </c>
      <c r="BT5" s="155"/>
      <c r="BU5" s="166"/>
      <c r="BV5" s="167" t="s">
        <v>104</v>
      </c>
      <c r="BW5" s="168">
        <v>44.9</v>
      </c>
      <c r="BX5" s="101">
        <f>IF(BW5=0,"",IF(BW5=VLOOKUP("PCS-30874g",[2]ARBOR!$A:$C,3,0),0.0001,IF(BW5&gt;VLOOKUP("PCS-30874g",[2]ARBOR!$A:$C,3,0),"Maior que CAP!",IF((DOLLAR(BW5+(VLOOKUP("PCS-30874g",[2]ARBOR!$A:$C,3,0)*-TRUNC(BW5/VLOOKUP("PCS-30874g",[2]ARBOR!$A:$C,3,0)-1,4)),6))&lt;&gt;(DOLLAR(VLOOKUP("PCS-30874g",[2]ARBOR!$A:$C,3,0),6)),-TRUNC(BW5/VLOOKUP("PCS-30874g",[2]ARBOR!$A:$C,3,0)-1,4)+0.0001,-TRUNC(BW5/VLOOKUP("PCS-30874g",[2]ARBOR!$A:$C,3,0)-1,4)))))</f>
        <v>0.53679999999999994</v>
      </c>
      <c r="BY5" s="163" t="str">
        <f>IF(ISERROR(IF(BX5="","",VLOOKUP(($AY5&amp;BX5&amp;"Template de desconto FLAT bundle - Velox XDSL - Varejo"),[2]BENEFICIOS!$A:$E,5,0))),"Criar",IF(BX5="","",VLOOKUP(($AY5&amp;BX5&amp;"Template de desconto FLAT bundle - Velox XDSL - Varejo"),[2]BENEFICIOS!$A:$E,5,0)))</f>
        <v>MKT-1-9829477373</v>
      </c>
      <c r="BZ5" s="167" t="s">
        <v>104</v>
      </c>
      <c r="CA5" s="168">
        <v>44.9</v>
      </c>
      <c r="CB5" s="101">
        <f>IF(CA5=0,"",IF(CA5=VLOOKUP("PCS-30577g",[2]ARBOR!$A:$C,3,0),0.0001,IF(CA5&gt;VLOOKUP("PCS-30577g",[2]ARBOR!$A:$C,3,0),"Maior que CAP!",IF((DOLLAR(CA5+(VLOOKUP("PCS-30577g",[2]ARBOR!$A:$C,3,0)*-TRUNC(CA5/VLOOKUP("PCS-30577g",[2]ARBOR!$A:$C,3,0)-1,4)),6))&lt;&gt;(DOLLAR(VLOOKUP("PCS-30577g",[2]ARBOR!$A:$C,3,0),6)),-TRUNC(CA5/VLOOKUP("PCS-30577g",[2]ARBOR!$A:$C,3,0)-1,4)+0.0001,-TRUNC(CA5/VLOOKUP("PCS-30577g",[2]ARBOR!$A:$C,3,0)-1,4)))))</f>
        <v>0.53679999999999994</v>
      </c>
      <c r="CC5" s="163" t="str">
        <f>IF(ISERROR(IF(CB5="","",VLOOKUP(($AY5&amp;CB5&amp;"Template de desconto FLAT bundle - Velox XDSL - Varejo"),[2]BENEFICIOS!$A:$E,5,0))),"Criar",IF(CB5="","",VLOOKUP(($AY5&amp;CB5&amp;"Template de desconto FLAT bundle - Velox XDSL - Varejo"),[2]BENEFICIOS!$A:$E,5,0)))</f>
        <v>MKT-1-9829477373</v>
      </c>
      <c r="CD5" s="167" t="s">
        <v>104</v>
      </c>
      <c r="CE5" s="168">
        <v>44.9</v>
      </c>
      <c r="CF5" s="101">
        <f>IF(CE5=0,"",IF(CE5=VLOOKUP("PCS-30604g",[2]ARBOR!$A:$C,3,0),0.0001,IF(CE5&gt;VLOOKUP("PCS-30604g",[2]ARBOR!$A:$C,3,0),"Maior que CAP!",IF((DOLLAR(CE5+(VLOOKUP("PCS-30604g",[2]ARBOR!$A:$C,3,0)*-TRUNC(CE5/VLOOKUP("PCS-30604g",[2]ARBOR!$A:$C,3,0)-1,4)),6))&lt;&gt;(DOLLAR(VLOOKUP("PCS-30604g",[2]ARBOR!$A:$C,3,0),6)),-TRUNC(CE5/VLOOKUP("PCS-30604g",[2]ARBOR!$A:$C,3,0)-1,4)+0.0001,-TRUNC(CE5/VLOOKUP("PCS-30604g",[2]ARBOR!$A:$C,3,0)-1,4)))))</f>
        <v>0.53679999999999994</v>
      </c>
      <c r="CG5" s="163" t="str">
        <f>IF(ISERROR(IF(CF5="","",VLOOKUP(($AY5&amp;CF5&amp;"Template de desconto FLAT bundle - Velox XDSL - Varejo"),[2]BENEFICIOS!$A:$E,5,0))),"Criar",IF(CF5="","",VLOOKUP(($AY5&amp;CF5&amp;"Template de desconto FLAT bundle - Velox XDSL - Varejo"),[2]BENEFICIOS!$A:$E,5,0)))</f>
        <v>MKT-1-9829477373</v>
      </c>
      <c r="CH5" s="167" t="s">
        <v>104</v>
      </c>
      <c r="CI5" s="168">
        <v>44.9</v>
      </c>
      <c r="CJ5" s="101">
        <f>IF(CI5=0,"",IF(CI5=VLOOKUP("PCS-30631g",[2]ARBOR!$A:$C,3,0),0.0001,IF(CI5&gt;VLOOKUP("PCS-30631g",[2]ARBOR!$A:$C,3,0),"Maior que CAP!",IF((DOLLAR(CI5+(VLOOKUP("PCS-30631g",[2]ARBOR!$A:$C,3,0)*-TRUNC(CI5/VLOOKUP("PCS-30631g",[2]ARBOR!$A:$C,3,0)-1,4)),6))&lt;&gt;(DOLLAR(VLOOKUP("PCS-30631g",[2]ARBOR!$A:$C,3,0),6)),-TRUNC(CI5/VLOOKUP("PCS-30631g",[2]ARBOR!$A:$C,3,0)-1,4)+0.0001,-TRUNC(CI5/VLOOKUP("PCS-30631g",[2]ARBOR!$A:$C,3,0)-1,4)))))</f>
        <v>0.54310000000000003</v>
      </c>
      <c r="CK5" s="163" t="str">
        <f>IF(ISERROR(IF(CJ5="","",VLOOKUP(($AY5&amp;CJ5&amp;"Template de desconto FLAT bundle - Velox XDSL - Varejo"),[2]BENEFICIOS!$A:$E,5,0))),"Criar",IF(CJ5="","",VLOOKUP(($AY5&amp;CJ5&amp;"Template de desconto FLAT bundle - Velox XDSL - Varejo"),[2]BENEFICIOS!$A:$E,5,0)))</f>
        <v>MKT-1-9828219079</v>
      </c>
      <c r="CL5" s="167"/>
      <c r="CM5" s="168"/>
      <c r="CN5" s="101" t="str">
        <f>IF(CM5=0,"",IF(CM5=VLOOKUP("PCS-30658g",[2]ARBOR!$A:$C,3,0),0.0001,IF(CM5&gt;VLOOKUP("PCS-30658g",[2]ARBOR!$A:$C,3,0),"Maior que CAP!",IF((DOLLAR(CM5+(VLOOKUP("PCS-30658g",[2]ARBOR!$A:$C,3,0)*-TRUNC(CM5/VLOOKUP("PCS-30658g",[2]ARBOR!$A:$C,3,0)-1,4)),6))&lt;&gt;(DOLLAR(VLOOKUP("PCS-30658g",[2]ARBOR!$A:$C,3,0),6)),-TRUNC(CM5/VLOOKUP("PCS-30658g",[2]ARBOR!$A:$C,3,0)-1,4)+0.0001,-TRUNC(CM5/VLOOKUP("PCS-30658g",[2]ARBOR!$A:$C,3,0)-1,4)))))</f>
        <v/>
      </c>
      <c r="CO5" s="163" t="str">
        <f>IF(ISERROR(IF(CN5="","",VLOOKUP(($AY5&amp;CN5&amp;"Template de desconto FLAT bundle - Velox XDSL - Varejo"),[2]BENEFICIOS!$A:$E,5,0))),"Criar",IF(CN5="","",VLOOKUP(($AY5&amp;CN5&amp;"Template de desconto FLAT bundle - Velox XDSL - Varejo"),[2]BENEFICIOS!$A:$E,5,0)))</f>
        <v/>
      </c>
      <c r="CP5" s="167"/>
      <c r="CQ5" s="168"/>
      <c r="CR5" s="101" t="str">
        <f>IF(CQ5=0,"",IF(CQ5=VLOOKUP("PCS-30685g",[2]ARBOR!$A:$C,3,0),0.0001,IF(CQ5&gt;VLOOKUP("PCS-30685g",[2]ARBOR!$A:$C,3,0),"Maior que CAP!",IF((DOLLAR(CQ5+(VLOOKUP("PCS-30685g",[2]ARBOR!$A:$C,3,0)*-TRUNC(CQ5/VLOOKUP("PCS-30685g",[2]ARBOR!$A:$C,3,0)-1,4)),6))&lt;&gt;(DOLLAR(VLOOKUP("PCS-30685g",[2]ARBOR!$A:$C,3,0),6)),-TRUNC(CQ5/VLOOKUP("PCS-30685g",[2]ARBOR!$A:$C,3,0)-1,4)+0.0001,-TRUNC(CQ5/VLOOKUP("PCS-30685g",[2]ARBOR!$A:$C,3,0)-1,4)))))</f>
        <v/>
      </c>
      <c r="CS5" s="163" t="str">
        <f>IF(ISERROR(IF(CR5="","",VLOOKUP(($AY5&amp;CR5&amp;"Template de desconto FLAT bundle - Velox XDSL - Varejo"),[2]BENEFICIOS!$A:$E,5,0))),"Criar",IF(CR5="","",VLOOKUP(($AY5&amp;CR5&amp;"Template de desconto FLAT bundle - Velox XDSL - Varejo"),[2]BENEFICIOS!$A:$E,5,0)))</f>
        <v/>
      </c>
      <c r="CT5" s="167"/>
      <c r="CU5" s="168"/>
      <c r="CV5" s="101" t="str">
        <f>IF(CU5=0,"",IF(CU5=VLOOKUP("PCS-30712g",[2]ARBOR!$A:$C,3,0),0.0001,IF(CU5&gt;VLOOKUP("PCS-30712g",[2]ARBOR!$A:$C,3,0),"Maior que CAP!",IF((DOLLAR(CU5+(VLOOKUP("PCS-30712g",[2]ARBOR!$A:$C,3,0)*-TRUNC(CU5/VLOOKUP("PCS-30712g",[2]ARBOR!$A:$C,3,0)-1,4)),6))&lt;&gt;(DOLLAR(VLOOKUP("PCS-30712g",[2]ARBOR!$A:$C,3,0),6)),-TRUNC(CU5/VLOOKUP("PCS-30712g",[2]ARBOR!$A:$C,3,0)-1,4)+0.0001,-TRUNC(CU5/VLOOKUP("PCS-30712g",[2]ARBOR!$A:$C,3,0)-1,4)))))</f>
        <v/>
      </c>
      <c r="CW5" s="163" t="str">
        <f>IF(ISERROR(IF(CV5="","",VLOOKUP(($AY5&amp;CV5&amp;"Template de desconto FLAT bundle - Velox XDSL - Varejo"),[2]BENEFICIOS!$A:$E,5,0))),"Criar",IF(CV5="","",VLOOKUP(($AY5&amp;CV5&amp;"Template de desconto FLAT bundle - Velox XDSL - Varejo"),[2]BENEFICIOS!$A:$E,5,0)))</f>
        <v/>
      </c>
      <c r="CX5" s="167"/>
      <c r="CY5" s="168"/>
      <c r="CZ5" s="101" t="str">
        <f>IF(CY5=0,"",IF(CY5=VLOOKUP("PCS-30739g",[2]ARBOR!$A:$C,3,0),0.0001,IF(CY5&gt;VLOOKUP("PCS-30739g",[2]ARBOR!$A:$C,3,0),"Maior que CAP!",IF((DOLLAR(CY5+(VLOOKUP("PCS-30739g",[2]ARBOR!$A:$C,3,0)*-TRUNC(CY5/VLOOKUP("PCS-30739g",[2]ARBOR!$A:$C,3,0)-1,4)),6))&lt;&gt;(DOLLAR(VLOOKUP("PCS-30739g",[2]ARBOR!$A:$C,3,0),6)),-TRUNC(CY5/VLOOKUP("PCS-30739g",[2]ARBOR!$A:$C,3,0)-1,4)+0.0001,-TRUNC(CY5/VLOOKUP("PCS-30739g",[2]ARBOR!$A:$C,3,0)-1,4)))))</f>
        <v/>
      </c>
      <c r="DA5" s="169" t="str">
        <f>IF(ISERROR(IF(CZ5="","",VLOOKUP(($AY5&amp;CZ5&amp;"Template de desconto FLAT bundle - Velox XDSL - Varejo"),[2]BENEFICIOS!$A:$E,5,0))),"Criar",IF(CZ5="","",VLOOKUP(($AY5&amp;CZ5&amp;"Template de desconto FLAT bundle - Velox XDSL - Varejo"),[2]BENEFICIOS!$A:$E,5,0)))</f>
        <v/>
      </c>
      <c r="DB5" s="170"/>
      <c r="DC5" s="171"/>
      <c r="DD5" s="101" t="str">
        <f>IF(DB5=0,"",IF(DB5=VLOOKUP("PCS-30739g",[2]ARBOR!$A:$C,3,0),0.0001,IF(DB5&gt;VLOOKUP("PCS-30739g",[2]ARBOR!$A:$C,3,0),"Maior que CAP!",IF((DOLLAR(DB5+(VLOOKUP("PCS-30739g",[2]ARBOR!$A:$C,3,0)*-TRUNC(DB5/VLOOKUP("PCS-30739g",[2]ARBOR!$A:$C,3,0)-1,4)),6))&lt;&gt;(DOLLAR(VLOOKUP("PCS-30739g",[2]ARBOR!$A:$C,3,0),6)),(-TRUNC(DB5/VLOOKUP("PCS-30739g",[2]ARBOR!$A:$C,3,0)-1,4)+0.0001)-CZ5,-TRUNC(DB5/VLOOKUP("PCS-30739g",[2]ARBOR!$A:$C,3,0)-1,4)-CZ5))))</f>
        <v/>
      </c>
      <c r="DE5" s="163" t="str">
        <f>IF(ISERROR(IF(DD5="","",VLOOKUP(($AY5&amp;DD5&amp;"Template de desconto percentual Bundle - Velox XDSL - Varejo"),[2]BENEFICIOS!$A:$E,5,0))),"Criar",IF(DD5="","",VLOOKUP(($AY5&amp;DD5&amp;"Template de desconto percentual Bundle - Velox XDSL - Varejo"),[2]BENEFICIOS!$A:$E,5,0)))</f>
        <v/>
      </c>
      <c r="DF5" s="167"/>
      <c r="DG5" s="168"/>
      <c r="DH5" s="101" t="str">
        <f>IF(DG5=0,"",IF(DG5=VLOOKUP("PCS-30766g",[2]ARBOR!$A:$C,3,0),0.0001,IF(DG5&gt;VLOOKUP("PCS-30766g",[2]ARBOR!$A:$C,3,0),"Maior que CAP!",IF((DOLLAR(DG5+(VLOOKUP("PCS-30766g",[2]ARBOR!$A:$C,3,0)*-TRUNC(DG5/VLOOKUP("PCS-30766g",[2]ARBOR!$A:$C,3,0)-1,4)),6))&lt;&gt;(DOLLAR(VLOOKUP("PCS-30766g",[2]ARBOR!$A:$C,3,0),6)),-TRUNC(DG5/VLOOKUP("PCS-30766g",[2]ARBOR!$A:$C,3,0)-1,4)+0.0001,-TRUNC(DG5/VLOOKUP("PCS-30766g",[2]ARBOR!$A:$C,3,0)-1,4)))))</f>
        <v/>
      </c>
      <c r="DI5" s="169" t="str">
        <f>IF(ISERROR(IF(DH5="","",VLOOKUP(($AY5&amp;DH5&amp;"Template de desconto FLAT bundle - Velox XDSL - Varejo"),[2]BENEFICIOS!$A:$E,5,0))),"Criar",IF(DH5="","",VLOOKUP(($AY5&amp;DH5&amp;"Template de desconto FLAT bundle - Velox XDSL - Varejo"),[2]BENEFICIOS!$A:$E,5,0)))</f>
        <v/>
      </c>
      <c r="DJ5" s="170"/>
      <c r="DK5" s="171"/>
      <c r="DL5" s="101" t="str">
        <f>IF(DJ5=0,"",IF(DJ5=VLOOKUP("PCS-30766g",[2]ARBOR!$A:$C,3,0),0.0001,IF(DJ5&gt;VLOOKUP("PCS-30766g",[2]ARBOR!$A:$C,3,0),"Maior que CAP!",IF((DOLLAR(DJ5+(VLOOKUP("PCS-30766g",[2]ARBOR!$A:$C,3,0)*-TRUNC(DJ5/VLOOKUP("PCS-30766g",[2]ARBOR!$A:$C,3,0)-1,4)),6))&lt;&gt;(DOLLAR(VLOOKUP("PCS-30766g",[2]ARBOR!$A:$C,3,0),6)),(-TRUNC(DJ5/VLOOKUP("PCS-30766g",[2]ARBOR!$A:$C,3,0)-1,4)+0.0001)-DH5,-TRUNC(DJ5/VLOOKUP("PCS-30766g",[2]ARBOR!$A:$C,3,0)-1,4)-DH5))))</f>
        <v/>
      </c>
      <c r="DM5" s="163" t="str">
        <f>IF(ISERROR(IF(DL5="","",VLOOKUP(($AY5&amp;DL5&amp;"Template de desconto percentual Bundle - Velox XDSL - Varejo"),[2]BENEFICIOS!$A:$E,5,0))),"Criar",IF(DL5="","",VLOOKUP(($AY5&amp;DL5&amp;"Template de desconto percentual Bundle - Velox XDSL - Varejo"),[2]BENEFICIOS!$A:$E,5,0)))</f>
        <v/>
      </c>
      <c r="DN5" s="167"/>
      <c r="DO5" s="168"/>
      <c r="DP5" s="101" t="str">
        <f>IF(DO5=0,"",IF(DO5=VLOOKUP("PCS-30793g",[2]ARBOR!$A:$C,3,0),0.0001,IF(DO5&gt;VLOOKUP("PCS-30793g",[2]ARBOR!$A:$C,3,0),"Maior que CAP!",IF((DOLLAR(DO5+(VLOOKUP("PCS-30793g",[2]ARBOR!$A:$C,3,0)*-TRUNC(DO5/VLOOKUP("PCS-30793g",[2]ARBOR!$A:$C,3,0)-1,4)),6))&lt;&gt;(DOLLAR(VLOOKUP("PCS-30793g",[2]ARBOR!$A:$C,3,0),6)),-TRUNC(DO5/VLOOKUP("PCS-30793g",[2]ARBOR!$A:$C,3,0)-1,4)+0.0001,-TRUNC(DO5/VLOOKUP("PCS-30793g",[2]ARBOR!$A:$C,3,0)-1,4)))))</f>
        <v/>
      </c>
      <c r="DQ5" s="169" t="str">
        <f>IF(ISERROR(IF(DP5="","",VLOOKUP(($AY5&amp;DP5&amp;"Template de desconto FLAT bundle - Velox XDSL - Varejo"),[2]BENEFICIOS!$A:$E,5,0))),"Criar",IF(DP5="","",VLOOKUP(($AY5&amp;DP5&amp;"Template de desconto FLAT bundle - Velox XDSL - Varejo"),[2]BENEFICIOS!$A:$E,5,0)))</f>
        <v/>
      </c>
      <c r="DR5" s="170"/>
      <c r="DS5" s="171"/>
      <c r="DT5" s="101" t="str">
        <f>IF(DR5=0,"",IF(DR5=VLOOKUP("PCS-30793g",[2]ARBOR!$A:$C,3,0),0.0001,IF(DR5&gt;VLOOKUP("PCS-30793g",[2]ARBOR!$A:$C,3,0),"Maior que CAP!",IF((DOLLAR(DR5+(VLOOKUP("PCS-30793g",[2]ARBOR!$A:$C,3,0)*-TRUNC(DR5/VLOOKUP("PCS-30793g",[2]ARBOR!$A:$C,3,0)-1,4)),6))&lt;&gt;(DOLLAR(VLOOKUP("PCS-30793g",[2]ARBOR!$A:$C,3,0),6)),(-TRUNC(DR5/VLOOKUP("PCS-30793g",[2]ARBOR!$A:$C,3,0)-1,4)+0.0001)-DP5,-TRUNC(DR5/VLOOKUP("PCS-30793g",[2]ARBOR!$A:$C,3,0)-1,4)-DP5))))</f>
        <v/>
      </c>
      <c r="DU5" s="163" t="str">
        <f>IF(ISERROR(IF(DT5="","",VLOOKUP(($AY5&amp;DT5&amp;"Template de desconto percentual Bundle - Velox XDSL - Varejo"),[2]BENEFICIOS!$A:$E,5,0))),"Criar",IF(DT5="","",VLOOKUP(($AY5&amp;DT5&amp;"Template de desconto percentual Bundle - Velox XDSL - Varejo"),[2]BENEFICIOS!$A:$E,5,0)))</f>
        <v/>
      </c>
      <c r="DV5" s="167"/>
      <c r="DW5" s="168"/>
      <c r="DX5" s="101" t="str">
        <f>IF(DW5=0,"",IF(DW5=VLOOKUP("PCS-30820g",[2]ARBOR!$A:$C,3,0),0.0001,IF(DW5&gt;VLOOKUP("PCS-30820g",[2]ARBOR!$A:$C,3,0),"Maior que CAP!",IF((DOLLAR(DW5+(VLOOKUP("PCS-30820g",[2]ARBOR!$A:$C,3,0)*-TRUNC(DW5/VLOOKUP("PCS-30820g",[2]ARBOR!$A:$C,3,0)-1,4)),6))&lt;&gt;(DOLLAR(VLOOKUP("PCS-30820g",[2]ARBOR!$A:$C,3,0),6)),-TRUNC(DW5/VLOOKUP("PCS-30820g",[2]ARBOR!$A:$C,3,0)-1,4)+0.0001,-TRUNC(DW5/VLOOKUP("PCS-30820g",[2]ARBOR!$A:$C,3,0)-1,4)))))</f>
        <v/>
      </c>
      <c r="DY5" s="169" t="str">
        <f>IF(ISERROR(IF(DX5="","",VLOOKUP(($AY5&amp;DX5&amp;"Template de desconto FLAT bundle - Velox XDSL - Varejo"),[2]BENEFICIOS!$A:$E,5,0))),"Criar",IF(DX5="","",VLOOKUP(($AY5&amp;DX5&amp;"Template de desconto FLAT bundle - Velox XDSL - Varejo"),[2]BENEFICIOS!$A:$E,5,0)))</f>
        <v/>
      </c>
      <c r="DZ5" s="170"/>
      <c r="EA5" s="171"/>
      <c r="EB5" s="101" t="str">
        <f>IF(DZ5=0,"",IF(DZ5=VLOOKUP("PCS-30820g",[2]ARBOR!$A:$C,3,0),0.0001,IF(DZ5&gt;VLOOKUP("PCS-30820g",[2]ARBOR!$A:$C,3,0),"Maior que CAP!",IF((DOLLAR(DZ5+(VLOOKUP("PCS-30820g",[2]ARBOR!$A:$C,3,0)*-TRUNC(DZ5/VLOOKUP("PCS-30820g",[2]ARBOR!$A:$C,3,0)-1,4)),6))&lt;&gt;(DOLLAR(VLOOKUP("PCS-30820g",[2]ARBOR!$A:$C,3,0),6)),(-TRUNC(DZ5/VLOOKUP("PCS-30820g",[2]ARBOR!$A:$C,3,0)-1,4)+0.0001)-DX5,-TRUNC(DZ5/VLOOKUP("PCS-30820g",[2]ARBOR!$A:$C,3,0)-1,4)-DX5))))</f>
        <v/>
      </c>
      <c r="EC5" s="163" t="str">
        <f>IF(ISERROR(IF(EB5="","",VLOOKUP(($AY5&amp;EB5&amp;"Template de desconto percentual Bundle - Velox XDSL - Varejo"),[2]BENEFICIOS!$A:$E,5,0))),"Criar",IF(EB5="","",VLOOKUP(($AY5&amp;EB5&amp;"Template de desconto percentual Bundle - Velox XDSL - Varejo"),[2]BENEFICIOS!$A:$E,5,0)))</f>
        <v/>
      </c>
      <c r="ED5" s="172">
        <v>44.9</v>
      </c>
      <c r="EE5" s="101">
        <f>IF(ED5=0,"",IF(ED5=VLOOKUP("PCS-21448p2",[2]ARBOR!$A:$C,3,0),0.0001,IF(ED5&gt;VLOOKUP("PCS-21448p2",[2]ARBOR!$A:$C,3,0),"Maior que CAP!",IF((DOLLAR(ED5+(VLOOKUP("PCS-21448p2",[2]ARBOR!$A:$C,3,0)*-TRUNC(ED5/VLOOKUP("PCS-21448p2",[2]ARBOR!$A:$C,3,0)-1,4)),6))&lt;&gt;(DOLLAR(VLOOKUP("PCS-21448p2",[2]ARBOR!$A:$C,3,0),6)),-TRUNC(ED5/VLOOKUP("PCS-21448p2",[2]ARBOR!$A:$C,3,0)-1,4)+0.0001,-TRUNC(ED5/VLOOKUP("PCS-21448p2",[2]ARBOR!$A:$C,3,0)-1,4)))))</f>
        <v>0.64900000000000002</v>
      </c>
      <c r="EF5" s="101" t="str">
        <f>IF(ISERROR(IF(EE5="","",VLOOKUP(("Oi Conta Total Plug 10GB Downgrade"&amp;EE5&amp;"Template de desconto percentual BL Móvel - Internet Total - Varejo"),[2]BENEFICIOS!$A:$E,5,0))),"Criar",IF(EE5="","",VLOOKUP(("Oi Conta Total Plug 10GB Downgrade"&amp;EE5&amp;"Template de desconto percentual BL Móvel - Internet Total - Varejo"),[2]BENEFICIOS!$A:$E,5,0)))</f>
        <v>MKT-1-9825544790</v>
      </c>
      <c r="EG5" s="173">
        <v>16.5</v>
      </c>
      <c r="EH5" s="174">
        <f>IF(EG5=0,"",IF(EG5=VLOOKUP("SVA",[2]ARBOR!$A:$C,3,0),0.0001,IF(EG5&gt;VLOOKUP("SVA",[2]ARBOR!$A:$C,3,0),"Maior que CAP!",IF((DOLLAR(EG5+(VLOOKUP("SVA",[2]ARBOR!$A:$C,3,0)*-TRUNC(EG5/VLOOKUP("SVA",[2]ARBOR!$A:$C,3,0)-1,4)),6))&lt;&gt;(DOLLAR(VLOOKUP("SVA",[2]ARBOR!$A:$C,3,0),6)),-TRUNC(EG5/VLOOKUP("SVA",[2]ARBOR!$A:$C,3,0)-1,4)+0.0001,-TRUNC(EG5/VLOOKUP("SVA",[2]ARBOR!$A:$C,3,0)-1,4)))))</f>
        <v>0.2301</v>
      </c>
      <c r="EI5" s="174" t="s">
        <v>177</v>
      </c>
      <c r="EJ5" s="175"/>
      <c r="EK5" s="176"/>
      <c r="EL5" s="177" t="str">
        <f t="shared" si="3"/>
        <v/>
      </c>
      <c r="EM5" s="174" t="str">
        <f>IF(EL5="S/Desc","S/Desc",IF(ISERROR(IF(EL5="","",VLOOKUP(($BX5&amp;EL5&amp;"Template Desc. % sobre Serviço SVA B2C"),[2]BENEFICIOS!$A:$G,5,0))),"Criar",IF(EL5="","",VLOOKUP(($BX5&amp;EL5&amp;"Template Desc. % sobre Serviço SVA B2C"),[2]BENEFICIOS!$A:$G,5,0))))</f>
        <v/>
      </c>
      <c r="EN5" s="103"/>
      <c r="EO5" s="101" t="str">
        <f>IF(EN5=0,"",IF(EN5=VLOOKUP("PCS-OzTL40",[2]ARBOR!$A:$C,3,0),0.0001,IF(EN5&gt;VLOOKUP("PCS-OzTL40",[2]ARBOR!$A:$C,3,0),"Maior que CAP!",IF((DOLLAR(EN5+(VLOOKUP("PCS-OzTL40",[2]ARBOR!$A:$C,3,0)*-TRUNC(EN5/VLOOKUP("PCS-OzTL40",[2]ARBOR!$A:$C,3,0)-1,4)),6))&lt;&gt;(DOLLAR(VLOOKUP("PCS-OzTL40",[2]ARBOR!$A:$C,3,0),6)),-TRUNC(EN5/VLOOKUP("PCS-OzTL40",[2]ARBOR!$A:$C,3,0)-1,4)+0.0001,-TRUNC(EN5/VLOOKUP("PCS-OzTL40",[2]ARBOR!$A:$C,3,0)-1,4)))))</f>
        <v/>
      </c>
      <c r="EP5" s="163" t="str">
        <f>IF(ISERROR(IF(EO5="","",VLOOKUP(($AY5&amp;EO5&amp;"Template desconto FLAT Plano Principal Oi TV nível conta"),[2]BENEFICIOS!$A:$G,5,0))),"Criar",IF(EO5="","",VLOOKUP(($AY5&amp;EO5&amp;"Template desconto FLAT Plano Principal Oi TV nível conta"),[2]BENEFICIOS!$A:$G,5,0)))</f>
        <v/>
      </c>
      <c r="EQ5" s="103"/>
      <c r="ER5" s="101" t="str">
        <f>IF(EQ5=0,"",IF(EQ5=VLOOKUP("PCS-OzTL41",[2]ARBOR!$A:$C,3,0),0.0001,IF(EQ5&gt;VLOOKUP("PCS-OzTL41",[2]ARBOR!$A:$C,3,0),"Maior que CAP!",IF((DOLLAR(EQ5+(VLOOKUP("PCS-OzTL41",[2]ARBOR!$A:$C,3,0)*-TRUNC(EQ5/VLOOKUP("PCS-OzTL41",[2]ARBOR!$A:$C,3,0)-1,4)),6))&lt;&gt;(DOLLAR(VLOOKUP("PCS-OzTL41",[2]ARBOR!$A:$C,3,0),6)),-TRUNC(EQ5/VLOOKUP("PCS-OzTL41",[2]ARBOR!$A:$C,3,0)-1,4)+0.0001,-TRUNC(EQ5/VLOOKUP("PCS-OzTL41",[2]ARBOR!$A:$C,3,0)-1,4)))))</f>
        <v/>
      </c>
      <c r="ES5" s="178" t="str">
        <f>IF(ISERROR(IF(ER5="","",VLOOKUP(($AY5&amp;ER5&amp;"Template desconto FLAT Plano Principal Oi TV nível conta"),[2]BENEFICIOS!$A:$G,5,0))),"Criar",IF(ER5="","",VLOOKUP(($AY5&amp;ER5&amp;"Template desconto FLAT Plano Principal Oi TV nível conta"),[2]BENEFICIOS!$A:$G,5,0)))</f>
        <v/>
      </c>
      <c r="ET5" s="103">
        <v>134.9</v>
      </c>
      <c r="EU5" s="101">
        <f>IF(ET5=0,"",IF(ET5=VLOOKUP("PCS-OzTL44",[2]ARBOR!$A:$C,3,0),0.0001,IF(ET5&gt;VLOOKUP("PCS-OzTL44",[2]ARBOR!$A:$C,3,0),"Maior que CAP!",IF((DOLLAR(ET5+(VLOOKUP("PCS-OzTL44",[2]ARBOR!$A:$C,3,0)*-TRUNC(ET5/VLOOKUP("PCS-OzTL44",[2]ARBOR!$A:$C,3,0)-1,4)),6))&lt;&gt;(DOLLAR(VLOOKUP("PCS-OzTL44",[2]ARBOR!$A:$C,3,0),6)),-TRUNC(ET5/VLOOKUP("PCS-OzTL44",[2]ARBOR!$A:$C,3,0)-1,4)+0.0001,-TRUNC(ET5/VLOOKUP("PCS-OzTL44",[2]ARBOR!$A:$C,3,0)-1,4)))))</f>
        <v>0.29969999999999997</v>
      </c>
      <c r="EV5" s="178" t="str">
        <f>IF(ISERROR(IF(EU5="","",VLOOKUP(($AY5&amp;EU5&amp;"Template desconto FLAT Plano Principal Oi TV nível conta"),[2]BENEFICIOS!$A:$G,5,0))),"Criar",IF(EU5="","",VLOOKUP(($AY5&amp;EU5&amp;"Template desconto FLAT Plano Principal Oi TV nível conta"),[2]BENEFICIOS!$A:$G,5,0)))</f>
        <v>MKT-1-9827358355</v>
      </c>
      <c r="EW5" s="103">
        <v>144.9</v>
      </c>
      <c r="EX5" s="101">
        <f>IF(EW5=0,"",IF(EW5=VLOOKUP("PCS-OzTL43",[2]ARBOR!$A:$C,3,0),0.0001,IF(EW5&gt;VLOOKUP("PCS-OzTL43",[2]ARBOR!$A:$C,3,0),"Maior que CAP!",IF((DOLLAR(EW5+(VLOOKUP("PCS-OzTL43",[2]ARBOR!$A:$C,3,0)*-TRUNC(EW5/VLOOKUP("PCS-OzTL43",[2]ARBOR!$A:$C,3,0)-1,4)),6))&lt;&gt;(DOLLAR(VLOOKUP("PCS-OzTL43",[2]ARBOR!$A:$C,3,0),6)),-TRUNC(EW5/VLOOKUP("PCS-OzTL43",[2]ARBOR!$A:$C,3,0)-1,4)+0.0001,-TRUNC(EW5/VLOOKUP("PCS-OzTL43",[2]ARBOR!$A:$C,3,0)-1,4)))))</f>
        <v>0.28849999999999998</v>
      </c>
      <c r="EY5" s="178" t="str">
        <f>IF(ISERROR(IF(EX5="","",VLOOKUP(($AY5&amp;EX5&amp;"Template desconto FLAT Plano Principal Oi TV nível conta"),[2]BENEFICIOS!$A:$G,5,0))),"Criar",IF(EX5="","",VLOOKUP(($AY5&amp;EX5&amp;"Template desconto FLAT Plano Principal Oi TV nível conta"),[2]BENEFICIOS!$A:$G,5,0)))</f>
        <v>MKT-1-9827358670</v>
      </c>
      <c r="EZ5" s="103">
        <v>179.9</v>
      </c>
      <c r="FA5" s="101">
        <f>IF(EZ5=0,"",IF(EZ5=VLOOKUP("PCS-OzTL45",[2]ARBOR!$A:$C,3,0),0.0001,IF(EZ5&gt;VLOOKUP("PCS-OzTL45",[2]ARBOR!$A:$C,3,0),"Maior que CAP!",IF((DOLLAR(EZ5+(VLOOKUP("PCS-OzTL45",[2]ARBOR!$A:$C,3,0)*-TRUNC(EZ5/VLOOKUP("PCS-OzTL45",[2]ARBOR!$A:$C,3,0)-1,4)),6))&lt;&gt;(DOLLAR(VLOOKUP("PCS-OzTL45",[2]ARBOR!$A:$C,3,0),6)),-TRUNC(EZ5/VLOOKUP("PCS-OzTL45",[2]ARBOR!$A:$C,3,0)-1,4)+0.0001,-TRUNC(EZ5/VLOOKUP("PCS-OzTL45",[2]ARBOR!$A:$C,3,0)-1,4)))))</f>
        <v>0.13979999999999998</v>
      </c>
      <c r="FB5" s="178" t="str">
        <f>IF(ISERROR(IF(FA5="","",VLOOKUP(($AY5&amp;FA5&amp;"Template desconto FLAT Plano Principal Oi TV nível conta"),[2]BENEFICIOS!$A:$G,5,0))),"Criar",IF(FA5="","",VLOOKUP(($AY5&amp;FA5&amp;"Template desconto FLAT Plano Principal Oi TV nível conta"),[2]BENEFICIOS!$A:$G,5,0)))</f>
        <v>MKT-1-9827358935</v>
      </c>
      <c r="FC5" s="103"/>
      <c r="FD5" s="101" t="str">
        <f>IF(FC5=0,"",IF(FC5=VLOOKUP("PCS-OzTL741",[2]ARBOR!$A:$C,3,0),0.0001,IF(FC5&gt;VLOOKUP("PCS-OzTL741",[2]ARBOR!$A:$C,3,0),"Maior que CAP!",IF((DOLLAR(FC5+(VLOOKUP("PCS-OzTL741",[2]ARBOR!$A:$C,3,0)*-TRUNC(FC5/VLOOKUP("PCS-OzTL741",[2]ARBOR!$A:$C,3,0)-1,4)),6))&lt;&gt;(DOLLAR(VLOOKUP("PCS-OzTL741",[2]ARBOR!$A:$C,3,0),6)),-TRUNC(FC5/VLOOKUP("PCS-OzTL741",[2]ARBOR!$A:$C,3,0)-1,4)+0.0001,-TRUNC(FC5/VLOOKUP("PCS-OzTL741",[2]ARBOR!$A:$C,3,0)-1,4)))))</f>
        <v/>
      </c>
      <c r="FE5" s="178" t="str">
        <f>IF(ISERROR(IF(FD5="","",VLOOKUP(($AY5&amp;FD5&amp;"Template desconto FLAT Plano Principal Oi TV nível conta"),[2]BENEFICIOS!$A:$G,5,0))),"Criar",IF(FD5="","",VLOOKUP(($AY5&amp;FD5&amp;"Template desconto FLAT Plano Principal Oi TV nível conta"),[2]BENEFICIOS!$A:$G,5,0)))</f>
        <v/>
      </c>
      <c r="FF5" s="103">
        <v>154.9</v>
      </c>
      <c r="FG5" s="101">
        <f>IF(FF5=0,"",IF(FF5=VLOOKUP("PCS-OzTL744",[2]ARBOR!$A:$C,3,0),0.0001,IF(FF5&gt;VLOOKUP("PCS-OzTL744",[2]ARBOR!$A:$C,3,0),"Maior que CAP!",IF((DOLLAR(FF5+(VLOOKUP("PCS-OzTL744",[2]ARBOR!$A:$C,3,0)*-TRUNC(FF5/VLOOKUP("PCS-OzTL744",[2]ARBOR!$A:$C,3,0)-1,4)),6))&lt;&gt;(DOLLAR(VLOOKUP("PCS-OzTL744",[2]ARBOR!$A:$C,3,0),6)),-TRUNC(FF5/VLOOKUP("PCS-OzTL744",[2]ARBOR!$A:$C,3,0)-1,4)+0.0001,-TRUNC(FF5/VLOOKUP("PCS-OzTL744",[2]ARBOR!$A:$C,3,0)-1,4)))))</f>
        <v>0.25939999999999996</v>
      </c>
      <c r="FH5" s="178" t="str">
        <f>IF(ISERROR(IF(FG5="","",VLOOKUP(($AY5&amp;FG5&amp;"Template desconto FLAT Plano Principal Oi TV nível conta"),[2]BENEFICIOS!$A:$G,5,0))),"Criar",IF(FG5="","",VLOOKUP(($AY5&amp;FG5&amp;"Template desconto FLAT Plano Principal Oi TV nível conta"),[2]BENEFICIOS!$A:$G,5,0)))</f>
        <v>MKT-1-9827370190</v>
      </c>
      <c r="FI5" s="103">
        <v>164.9</v>
      </c>
      <c r="FJ5" s="101">
        <f>IF(FI5=0,"",IF(FI5=VLOOKUP("PCS-OzTL743",[2]ARBOR!$A:$C,3,0),0.0001,IF(FI5&gt;VLOOKUP("PCS-OzTL743",[2]ARBOR!$A:$C,3,0),"Maior que CAP!",IF((DOLLAR(FI5+(VLOOKUP("PCS-OzTL743",[2]ARBOR!$A:$C,3,0)*-TRUNC(FI5/VLOOKUP("PCS-OzTL743",[2]ARBOR!$A:$C,3,0)-1,4)),6))&lt;&gt;(DOLLAR(VLOOKUP("PCS-OzTL743",[2]ARBOR!$A:$C,3,0),6)),-TRUNC(FI5/VLOOKUP("PCS-OzTL743",[2]ARBOR!$A:$C,3,0)-1,4)+0.0001,-TRUNC(FI5/VLOOKUP("PCS-OzTL743",[2]ARBOR!$A:$C,3,0)-1,4)))))</f>
        <v>0.251</v>
      </c>
      <c r="FK5" s="178" t="str">
        <f>IF(ISERROR(IF(FJ5="","",VLOOKUP(($AY5&amp;FJ5&amp;"Template desconto FLAT Plano Principal Oi TV nível conta"),[2]BENEFICIOS!$A:$G,5,0))),"Criar",IF(FJ5="","",VLOOKUP(($AY5&amp;FJ5&amp;"Template desconto FLAT Plano Principal Oi TV nível conta"),[2]BENEFICIOS!$A:$G,5,0)))</f>
        <v>MKT-1-9827370755</v>
      </c>
      <c r="FL5" s="103">
        <v>199.9</v>
      </c>
      <c r="FM5" s="101">
        <f>IF(FL5=0,"",IF(FL5=VLOOKUP("PCS-OzTL745",[2]ARBOR!$A:$C,3,0),0.0001,IF(FL5&gt;VLOOKUP("PCS-OzTL745",[2]ARBOR!$A:$C,3,0),"Maior que CAP!",IF((DOLLAR(FL5+(VLOOKUP("PCS-OzTL745",[2]ARBOR!$A:$C,3,0)*-TRUNC(FL5/VLOOKUP("PCS-OzTL745",[2]ARBOR!$A:$C,3,0)-1,4)),6))&lt;&gt;(DOLLAR(VLOOKUP("PCS-OzTL745",[2]ARBOR!$A:$C,3,0),6)),-TRUNC(FL5/VLOOKUP("PCS-OzTL745",[2]ARBOR!$A:$C,3,0)-1,4)+0.0001,-TRUNC(FL5/VLOOKUP("PCS-OzTL745",[2]ARBOR!$A:$C,3,0)-1,4)))))</f>
        <v>0.21049999999999999</v>
      </c>
      <c r="FN5" s="178" t="str">
        <f>IF(ISERROR(IF(FM5="","",VLOOKUP(($AY5&amp;FM5&amp;"Template desconto FLAT Plano Principal Oi TV nível conta"),[2]BENEFICIOS!$A:$G,5,0))),"Criar",IF(FM5="","",VLOOKUP(($AY5&amp;FM5&amp;"Template desconto FLAT Plano Principal Oi TV nível conta"),[2]BENEFICIOS!$A:$G,5,0)))</f>
        <v>MKT-1-9827396510</v>
      </c>
      <c r="FO5" s="103"/>
      <c r="FP5" s="101" t="str">
        <f>IF(FO5=0,"",IF(FO5=VLOOKUP("PCS-OzTL42",[2]ARBOR!$A:$C,3,0),0.0001,IF(FO5&gt;VLOOKUP("PCS-OzTL42",[2]ARBOR!$A:$C,3,0),"Maior que CAP!",IF((DOLLAR(FO5+(VLOOKUP("PCS-OzTL42",[2]ARBOR!$A:$C,3,0)*-TRUNC(FO5/VLOOKUP("PCS-OzTL42",[2]ARBOR!$A:$C,3,0)-1,4)),6))&lt;&gt;(DOLLAR(VLOOKUP("PCS-OzTL42",[2]ARBOR!$A:$C,3,0),6)),-TRUNC(FO5/VLOOKUP("PCS-OzTL42",[2]ARBOR!$A:$C,3,0)-1,4)+0.0001,-TRUNC(FO5/VLOOKUP("PCS-OzTL42",[2]ARBOR!$A:$C,3,0)-1,4)))))</f>
        <v/>
      </c>
      <c r="FQ5" s="178" t="str">
        <f>IF(ISERROR(IF(FP5="","",VLOOKUP(($AY5&amp;FP5&amp;"Template desconto FLAT Plano Principal Oi TV nível conta"),[2]BENEFICIOS!$A:$G,5,0))),"Criar",IF(FP5="","",VLOOKUP(($AY5&amp;FP5&amp;"Template desconto FLAT Plano Principal Oi TV nível conta"),[2]BENEFICIOS!$A:$G,5,0)))</f>
        <v/>
      </c>
      <c r="FR5" s="103"/>
      <c r="FS5" s="101" t="str">
        <f>IF(FR5=0,"",IF(FR5=VLOOKUP("PCS-OzTL47",[2]ARBOR!$A:$C,3,0),0.0001,IF(FR5&gt;VLOOKUP("PCS-OzTL47",[2]ARBOR!$A:$C,3,0),"Maior que CAP!",IF((DOLLAR(FR5+(VLOOKUP("PCS-OzTL47",[2]ARBOR!$A:$C,3,0)*-TRUNC(FR5/VLOOKUP("PCS-OzTL47",[2]ARBOR!$A:$C,3,0)-1,4)),6))&lt;&gt;(DOLLAR(VLOOKUP("PCS-OzTL47",[2]ARBOR!$A:$C,3,0),6)),-TRUNC(FR5/VLOOKUP("PCS-OzTL47",[2]ARBOR!$A:$C,3,0)-1,4)+0.0001,-TRUNC(FR5/VLOOKUP("PCS-OzTL47",[2]ARBOR!$A:$C,3,0)-1,4)))))</f>
        <v/>
      </c>
      <c r="FT5" s="178" t="str">
        <f>IF(ISERROR(IF(FS5="","",VLOOKUP(($AY5&amp;FS5&amp;"Template desconto FLAT Plano Principal Oi TV nível conta"),[2]BENEFICIOS!$A:$G,5,0))),"Criar",IF(FS5="","",VLOOKUP(($AY5&amp;FS5&amp;"Template desconto FLAT Plano Principal Oi TV nível conta"),[2]BENEFICIOS!$A:$G,5,0)))</f>
        <v/>
      </c>
      <c r="FU5" s="103"/>
      <c r="FV5" s="101" t="str">
        <f>IF(FU5=0,"",IF(FU5=VLOOKUP("PCS-OzTL46",[2]ARBOR!$A:$C,3,0),0.0001,IF(FU5&gt;VLOOKUP("PCS-OzTL46",[2]ARBOR!$A:$C,3,0),"Maior que CAP!",IF((DOLLAR(FU5+(VLOOKUP("PCS-OzTL46",[2]ARBOR!$A:$C,3,0)*-TRUNC(FU5/VLOOKUP("PCS-OzTL46",[2]ARBOR!$A:$C,3,0)-1,4)),6))&lt;&gt;(DOLLAR(VLOOKUP("PCS-OzTL46",[2]ARBOR!$A:$C,3,0),6)),-TRUNC(FU5/VLOOKUP("PCS-OzTL46",[2]ARBOR!$A:$C,3,0)-1,4)+0.0001,-TRUNC(FU5/VLOOKUP("PCS-OzTL46",[2]ARBOR!$A:$C,3,0)-1,4)))))</f>
        <v/>
      </c>
      <c r="FW5" s="178" t="str">
        <f>IF(ISERROR(IF(FV5="","",VLOOKUP(($AY5&amp;FV5&amp;"Template desconto FLAT Plano Principal Oi TV nível conta"),[2]BENEFICIOS!$A:$G,5,0))),"Criar",IF(FV5="","",VLOOKUP(($AY5&amp;FV5&amp;"Template desconto FLAT Plano Principal Oi TV nível conta"),[2]BENEFICIOS!$A:$G,5,0)))</f>
        <v/>
      </c>
      <c r="FX5" s="103"/>
      <c r="FY5" s="101" t="str">
        <f>IF(FX5=0,"",IF(FX5=VLOOKUP("PCS-OzTL48",[2]ARBOR!$A:$C,3,0),0.0001,IF(FX5&gt;VLOOKUP("PCS-OzTL48",[2]ARBOR!$A:$C,3,0),"Maior que CAP!",IF((DOLLAR(FX5+(VLOOKUP("PCS-OzTL48",[2]ARBOR!$A:$C,3,0)*-TRUNC(FX5/VLOOKUP("PCS-OzTL48",[2]ARBOR!$A:$C,3,0)-1,4)),6))&lt;&gt;(DOLLAR(VLOOKUP("PCS-OzTL48",[2]ARBOR!$A:$C,3,0),6)),-TRUNC(FX5/VLOOKUP("PCS-OzTL48",[2]ARBOR!$A:$C,3,0)-1,4)+0.0001,-TRUNC(FX5/VLOOKUP("PCS-OzTL48",[2]ARBOR!$A:$C,3,0)-1,4)))))</f>
        <v/>
      </c>
      <c r="FZ5" s="178" t="str">
        <f>IF(ISERROR(IF(FY5="","",VLOOKUP(($AY5&amp;FY5&amp;"Template desconto FLAT Plano Principal Oi TV nível conta"),[2]BENEFICIOS!$A:$G,5,0))),"Criar",IF(FY5="","",VLOOKUP(($AY5&amp;FY5&amp;"Template desconto FLAT Plano Principal Oi TV nível conta"),[2]BENEFICIOS!$A:$G,5,0)))</f>
        <v/>
      </c>
      <c r="GA5" s="103"/>
      <c r="GB5" s="101" t="str">
        <f>IF(GA5=0,"",IF(GA5=VLOOKUP("PCS-OzTL742",[2]ARBOR!$A:$C,3,0),0.0001,IF(GA5&gt;VLOOKUP("PCS-OzTL742",[2]ARBOR!$A:$C,3,0),"Maior que CAP!",IF((DOLLAR(GA5+(VLOOKUP("PCS-OzTL742",[2]ARBOR!$A:$C,3,0)*-TRUNC(GA5/VLOOKUP("PCS-OzTL742",[2]ARBOR!$A:$C,3,0)-1,4)),6))&lt;&gt;(DOLLAR(VLOOKUP("PCS-OzTL742",[2]ARBOR!$A:$C,3,0),6)),-TRUNC(GA5/VLOOKUP("PCS-OzTL742",[2]ARBOR!$A:$C,3,0)-1,4)+0.0001,-TRUNC(GA5/VLOOKUP("PCS-OzTL742",[2]ARBOR!$A:$C,3,0)-1,4)))))</f>
        <v/>
      </c>
      <c r="GC5" s="178" t="str">
        <f>IF(ISERROR(IF(GB5="","",VLOOKUP(($AY5&amp;GB5&amp;"Template desconto FLAT Plano Principal Oi TV nível conta"),[2]BENEFICIOS!$A:$G,5,0))),"Criar",IF(GB5="","",VLOOKUP(($AY5&amp;GB5&amp;"Template desconto FLAT Plano Principal Oi TV nível conta"),[2]BENEFICIOS!$A:$G,5,0)))</f>
        <v/>
      </c>
      <c r="GD5" s="103"/>
      <c r="GE5" s="101" t="str">
        <f>IF(GD5=0,"",IF(GD5=VLOOKUP("PCS-OzTL747",[2]ARBOR!$A:$C,3,0),0.0001,IF(GD5&gt;VLOOKUP("PCS-OzTL747",[2]ARBOR!$A:$C,3,0),"Maior que CAP!",IF((DOLLAR(GD5+(VLOOKUP("PCS-OzTL747",[2]ARBOR!$A:$C,3,0)*-TRUNC(GD5/VLOOKUP("PCS-OzTL747",[2]ARBOR!$A:$C,3,0)-1,4)),6))&lt;&gt;(DOLLAR(VLOOKUP("PCS-OzTL747",[2]ARBOR!$A:$C,3,0),6)),-TRUNC(GD5/VLOOKUP("PCS-OzTL747",[2]ARBOR!$A:$C,3,0)-1,4)+0.0001,-TRUNC(GD5/VLOOKUP("PCS-OzTL747",[2]ARBOR!$A:$C,3,0)-1,4)))))</f>
        <v/>
      </c>
      <c r="GF5" s="178" t="str">
        <f>IF(ISERROR(IF(GE5="","",VLOOKUP(($AY5&amp;GE5&amp;"Template desconto FLAT Plano Principal Oi TV nível conta"),[2]BENEFICIOS!$A:$G,5,0))),"Criar",IF(GE5="","",VLOOKUP(($AY5&amp;GE5&amp;"Template desconto FLAT Plano Principal Oi TV nível conta"),[2]BENEFICIOS!$A:$G,5,0)))</f>
        <v/>
      </c>
      <c r="GG5" s="103"/>
      <c r="GH5" s="101" t="str">
        <f>IF(GG5=0,"",IF(GG5=VLOOKUP("PCS-OzTL746",[2]ARBOR!$A:$C,3,0),0.0001,IF(GG5&gt;VLOOKUP("PCS-OzTL746",[2]ARBOR!$A:$C,3,0),"Maior que CAP!",IF((DOLLAR(GG5+(VLOOKUP("PCS-OzTL746",[2]ARBOR!$A:$C,3,0)*-TRUNC(GG5/VLOOKUP("PCS-OzTL746",[2]ARBOR!$A:$C,3,0)-1,4)),6))&lt;&gt;(DOLLAR(VLOOKUP("PCS-OzTL746",[2]ARBOR!$A:$C,3,0),6)),-TRUNC(GG5/VLOOKUP("PCS-OzTL746",[2]ARBOR!$A:$C,3,0)-1,4)+0.0001,-TRUNC(GG5/VLOOKUP("PCS-OzTL746",[2]ARBOR!$A:$C,3,0)-1,4)))))</f>
        <v/>
      </c>
      <c r="GI5" s="178" t="str">
        <f>IF(ISERROR(IF(GH5="","",VLOOKUP(($AY5&amp;GH5&amp;"Template desconto FLAT Plano Principal Oi TV nível conta"),[2]BENEFICIOS!$A:$G,5,0))),"Criar",IF(GH5="","",VLOOKUP(($AY5&amp;GH5&amp;"Template desconto FLAT Plano Principal Oi TV nível conta"),[2]BENEFICIOS!$A:$G,5,0)))</f>
        <v/>
      </c>
      <c r="GJ5" s="103"/>
      <c r="GK5" s="101" t="str">
        <f>IF(GJ5=0,"",IF(GJ5=VLOOKUP("PCS-OzTL748",[2]ARBOR!$A:$C,3,0),0.0001,IF(GJ5&gt;VLOOKUP("PCS-OzTL748",[2]ARBOR!$A:$C,3,0),"Maior que CAP!",IF((DOLLAR(GJ5+(VLOOKUP("PCS-OzTL748",[2]ARBOR!$A:$C,3,0)*-TRUNC(GJ5/VLOOKUP("PCS-OzTL748",[2]ARBOR!$A:$C,3,0)-1,4)),6))&lt;&gt;(DOLLAR(VLOOKUP("PCS-OzTL748",[2]ARBOR!$A:$C,3,0),6)),-TRUNC(GJ5/VLOOKUP("PCS-OzTL748",[2]ARBOR!$A:$C,3,0)-1,4)+0.0001,-TRUNC(GJ5/VLOOKUP("PCS-OzTL748",[2]ARBOR!$A:$C,3,0)-1,4)))))</f>
        <v/>
      </c>
      <c r="GL5" s="178" t="str">
        <f>IF(ISERROR(IF(GK5="","",VLOOKUP(($AY5&amp;GK5&amp;"Template desconto FLAT Plano Principal Oi TV nível conta"),[2]BENEFICIOS!$A:$G,5,0))),"Criar",IF(GK5="","",VLOOKUP(($AY5&amp;GK5&amp;"Template desconto FLAT Plano Principal Oi TV nível conta"),[2]BENEFICIOS!$A:$G,5,0)))</f>
        <v/>
      </c>
      <c r="GM5" s="103">
        <v>75</v>
      </c>
      <c r="GN5" s="101">
        <f>IF(GM5=0,"",IF(GM5=VLOOKUP("PCS-OzTL34",[2]ARBOR!$A:$C,3,0),0.0001,IF(GM5&gt;VLOOKUP("PCS-OzTL34",[2]ARBOR!$A:$C,3,0),"Maior que CAP!",IF((DOLLAR(GM5+(VLOOKUP("PCS-OzTL34",[2]ARBOR!$A:$C,3,0)*-TRUNC(GM5/VLOOKUP("PCS-OzTL34",[2]ARBOR!$A:$C,3,0)-1,4)),6))&lt;&gt;(DOLLAR(VLOOKUP("PCS-OzTL34",[2]ARBOR!$A:$C,3,0),6)),-TRUNC(GM5/VLOOKUP("PCS-OzTL34",[2]ARBOR!$A:$C,3,0)-1,4)+0.0001,-TRUNC(GM5/VLOOKUP("PCS-OzTL34",[2]ARBOR!$A:$C,3,0)-1,4)))))</f>
        <v>0.31900000000000001</v>
      </c>
      <c r="GO5" s="178" t="s">
        <v>178</v>
      </c>
      <c r="GP5" s="103">
        <v>19.899999999999999</v>
      </c>
      <c r="GQ5" s="101">
        <f>IF(GP5=0,"",IF(GP5=VLOOKUP("PCS-OzTL31",[2]ARBOR!$A:$C,3,0),0.0001,IF(GP5&gt;VLOOKUP("PCS-OzTL31",[2]ARBOR!$A:$C,3,0),"Maior que CAP!",IF((DOLLAR(GP5+(VLOOKUP("PCS-OzTL31",[2]ARBOR!$A:$C,3,0)*-TRUNC(GP5/VLOOKUP("PCS-OzTL31",[2]ARBOR!$A:$C,3,0)-1,4)),6))&lt;&gt;(DOLLAR(VLOOKUP("PCS-OzTL31",[2]ARBOR!$A:$C,3,0),6)),-TRUNC(GP5/VLOOKUP("PCS-OzTL31",[2]ARBOR!$A:$C,3,0)-1,4)+0.0001,-TRUNC(GP5/VLOOKUP("PCS-OzTL31",[2]ARBOR!$A:$C,3,0)-1,4)))))</f>
        <v>9.1800000000000007E-2</v>
      </c>
      <c r="GR5" s="178" t="s">
        <v>179</v>
      </c>
      <c r="GS5" s="103">
        <v>19.899999999999999</v>
      </c>
      <c r="GT5" s="101">
        <f>IF(GS5=0,"",IF(GS5=VLOOKUP("PCS-OzTL32",[2]ARBOR!$A:$C,3,0),0.0001,IF(GS5&gt;VLOOKUP("PCS-OzTL32",[2]ARBOR!$A:$C,3,0),"Maior que CAP!",IF((DOLLAR(GS5+(VLOOKUP("PCS-OzTL32",[2]ARBOR!$A:$C,3,0)*-TRUNC(GS5/VLOOKUP("PCS-OzTL32",[2]ARBOR!$A:$C,3,0)-1,4)),6))&lt;&gt;(DOLLAR(VLOOKUP("PCS-OzTL32",[2]ARBOR!$A:$C,3,0),6)),-TRUNC(GS5/VLOOKUP("PCS-OzTL32",[2]ARBOR!$A:$C,3,0)-1,4)+0.0001,-TRUNC(GS5/VLOOKUP("PCS-OzTL32",[2]ARBOR!$A:$C,3,0)-1,4)))))</f>
        <v>9.1800000000000007E-2</v>
      </c>
      <c r="GU5" s="178" t="s">
        <v>180</v>
      </c>
      <c r="GV5" s="103">
        <v>29.9</v>
      </c>
      <c r="GW5" s="101">
        <f>IF(GV5=0,"",IF(GV5=VLOOKUP("PCS-OzTL33",[2]ARBOR!$A:$C,3,0),0.0001,IF(GV5&gt;VLOOKUP("PCS-OzTL33",[2]ARBOR!$A:$C,3,0),"Maior que CAP!",IF((DOLLAR(GV5+(VLOOKUP("PCS-OzTL33",[2]ARBOR!$A:$C,3,0)*-TRUNC(GV5/VLOOKUP("PCS-OzTL33",[2]ARBOR!$A:$C,3,0)-1,4)),6))&lt;&gt;(DOLLAR(VLOOKUP("PCS-OzTL33",[2]ARBOR!$A:$C,3,0),6)),-TRUNC(GV5/VLOOKUP("PCS-OzTL33",[2]ARBOR!$A:$C,3,0)-1,4)+0.0001,-TRUNC(GV5/VLOOKUP("PCS-OzTL33",[2]ARBOR!$A:$C,3,0)-1,4)))))</f>
        <v>9.1800000000000007E-2</v>
      </c>
      <c r="GX5" s="178" t="s">
        <v>181</v>
      </c>
      <c r="GY5" s="103">
        <v>14.9</v>
      </c>
      <c r="GZ5" s="101">
        <f>IF(GY5=0,"",IF(GY5=VLOOKUP("PCS-OzTL503",[2]ARBOR!$A:$C,3,0),0.0001,IF(GY5&gt;VLOOKUP("PCS-OzTL503",[2]ARBOR!$A:$C,3,0),"Maior que CAP!",IF((DOLLAR(GY5+(VLOOKUP("PCS-OzTL503",[2]ARBOR!$A:$C,3,0)*-TRUNC(GY5/VLOOKUP("PCS-OzTL503",[2]ARBOR!$A:$C,3,0)-1,4)),6))&lt;&gt;(DOLLAR(VLOOKUP("PCS-OzTL503",[2]ARBOR!$A:$C,3,0),6)),-TRUNC(GY5/VLOOKUP("PCS-OzTL503",[2]ARBOR!$A:$C,3,0)-1,4)+0.0001,-TRUNC(GY5/VLOOKUP("PCS-OzTL503",[2]ARBOR!$A:$C,3,0)-1,4)))))</f>
        <v>9.1499999999999998E-2</v>
      </c>
      <c r="HA5" s="178" t="s">
        <v>182</v>
      </c>
      <c r="HB5" s="103">
        <v>10</v>
      </c>
      <c r="HC5" s="101">
        <f>IF(HB5=0,"",IF(HB5=VLOOKUP("PCS-OzTL500",[2]ARBOR!$A:$C,3,0),0.0001,IF(HB5&gt;VLOOKUP("PCS-OzTL500",[2]ARBOR!$A:$C,3,0),"Maior que CAP!",IF((DOLLAR(HB5+(VLOOKUP("PCS-OzTL500",[2]ARBOR!$A:$C,3,0)*-TRUNC(HB5/VLOOKUP("PCS-OzTL500",[2]ARBOR!$A:$C,3,0)-1,4)),6))&lt;&gt;(DOLLAR(VLOOKUP("PCS-OzTL500",[2]ARBOR!$A:$C,3,0),6)),-TRUNC(HB5/VLOOKUP("PCS-OzTL500",[2]ARBOR!$A:$C,3,0)-1,4)+0.0001,-TRUNC(HB5/VLOOKUP("PCS-OzTL500",[2]ARBOR!$A:$C,3,0)-1,4)))))</f>
        <v>9.1800000000000007E-2</v>
      </c>
      <c r="HD5" s="178" t="s">
        <v>183</v>
      </c>
      <c r="HE5" s="103" t="s">
        <v>184</v>
      </c>
      <c r="HF5" s="101"/>
      <c r="HG5" s="178"/>
      <c r="HH5" s="103" t="s">
        <v>185</v>
      </c>
      <c r="HI5" s="101"/>
      <c r="HJ5" s="178"/>
      <c r="HK5" s="103" t="s">
        <v>186</v>
      </c>
      <c r="HL5" s="101"/>
      <c r="HM5" s="178"/>
      <c r="HN5" s="103" t="s">
        <v>187</v>
      </c>
      <c r="HO5" s="101"/>
      <c r="HP5" s="178"/>
      <c r="HQ5" s="103" t="s">
        <v>188</v>
      </c>
      <c r="HR5" s="101"/>
      <c r="HS5" s="178"/>
      <c r="HT5" s="103">
        <v>24.9</v>
      </c>
      <c r="HU5" s="101">
        <f>IF(HT5=0,"",IF(HT5=VLOOKUP("PCS-OzTL99",[2]ARBOR!$A:$C,3,0),0.0001,IF(HT5&gt;VLOOKUP("PCS-OzTL99",[2]ARBOR!$A:$C,3,0),"Maior que CAP!",IF((DOLLAR(HT5+(VLOOKUP("PCS-OzTL99",[2]ARBOR!$A:$C,3,0)*-TRUNC(HT5/VLOOKUP("PCS-OzTL99",[2]ARBOR!$A:$C,3,0)-1,4)),6))&lt;&gt;(DOLLAR(VLOOKUP("PCS-OzTL99",[2]ARBOR!$A:$C,3,0),6)),-TRUNC(HT5/VLOOKUP("PCS-OzTL99",[2]ARBOR!$A:$C,3,0)-1,4)+0.0001,-TRUNC(HT5/VLOOKUP("PCS-OzTL99",[2]ARBOR!$A:$C,3,0)-1,4)))))</f>
        <v>0.16729999999999998</v>
      </c>
      <c r="HV5" s="179" t="s">
        <v>189</v>
      </c>
      <c r="HW5" s="170" t="s">
        <v>167</v>
      </c>
      <c r="HX5" s="178" t="str">
        <f t="shared" si="4"/>
        <v>PCS-34704</v>
      </c>
      <c r="HY5" s="180" t="str">
        <f>IFERROR((IF(AZ5="","",VLOOKUP(AZ5,[2]ARBOR!A:C,3,0))),"")</f>
        <v/>
      </c>
      <c r="HZ5" s="181"/>
      <c r="IA5" s="158" t="str">
        <f>IF(HZ5="","",ROUND(1-(HZ5/VLOOKUP(AZ5&amp;"ASS",[2]ARBOR!A:C,3,0)),4))</f>
        <v/>
      </c>
      <c r="IB5" s="158"/>
      <c r="IC5" s="182"/>
      <c r="ID5" s="183"/>
      <c r="IE5" s="101" t="str">
        <f>IF(ID5="","",ROUND(IF(ID5=0,"",IF(ID5=HY5,0.0001,1-((ID5+(VLOOKUP(AZ5&amp;"ASS",[2]ARBOR!A:C,3,0)-HZ5))/HY5))),4))</f>
        <v/>
      </c>
      <c r="IF5" s="101" t="str">
        <f>IF(ISERROR(IF(IE5="","",VLOOKUP(($AY5&amp;IE5&amp;"Template de desconto percentual FLAT Móvel - Conta Total - Varejo - Ganho Tributário Cross"),[2]BENEFICIOS!$A:$E,5,0))),"Criar",IF(IE5="","",VLOOKUP(($AY5&amp;IE5&amp;"Template de desconto percentual FLAT Móvel - Conta Total - Varejo - Ganho Tributário Cross"),[2]BENEFICIOS!$A:$E,5,0)))</f>
        <v/>
      </c>
      <c r="IG5" s="167"/>
      <c r="IH5" s="101"/>
      <c r="II5" s="184"/>
      <c r="IJ5" s="185"/>
      <c r="IK5" s="101"/>
      <c r="IL5" s="101"/>
      <c r="IM5" s="186"/>
      <c r="IN5" s="186"/>
      <c r="IO5" s="187"/>
      <c r="IP5" s="188" t="str">
        <f>IF(IO5=0,"",IF(IO5=VLOOKUP("PCS-813566",[2]ARBOR!$A:$C,3,0),0.0001,IF(IO5&gt;VLOOKUP("PCS-813566",[2]ARBOR!$A:$C,3,0),"Maior que CAP!",ROUND(-1*(IO5/VLOOKUP("PCS-813566",[2]ARBOR!$A:$C,3,0)-1),4))))</f>
        <v/>
      </c>
      <c r="IQ5" s="189" t="str">
        <f>IF(ISERROR(IF(IP5="","",VLOOKUP(("Oi Internet Pra Celular 300MB"&amp;IP5&amp;"Template Flat Instância Dados"),[2]BENEFICIOS!$A:$E,5,0))),"Criar",IF(IP5="","",VLOOKUP(("Oi Internet Pra Celular 300MB"&amp;IP5&amp;"Template Flat Instância Dados"),[2]BENEFICIOS!$A:$E,5,0)))</f>
        <v/>
      </c>
      <c r="IR5" s="190"/>
      <c r="IS5" s="191" t="str">
        <f>IF(IR5=0,"",IF(IR5=VLOOKUP("sva_bancas",[2]ARBOR!$A:$C,3,0),0.0001,IF(IR5&gt;VLOOKUP("sva_livros",[2]ARBOR!$A:$C,3,0),"Maior que CAP!",ROUND(-1*(IR5/VLOOKUP("sva_bancas",[2]ARBOR!$A:$C,3,0)-1),4))))</f>
        <v/>
      </c>
      <c r="IT5" s="192" t="str">
        <f>IF(ISERROR(IF(IS5="","",VLOOKUP(("Oi Internet Pra Celular 300MB"&amp;IS5&amp;"Template Desconto % SVA DADOS B2C"),[2]BENEFICIOS!$A:$E,5,0))),"Criar",IF(IS5="","",VLOOKUP(("Oi Internet Pra Celular 300MB"&amp;IS5&amp;"Template Desconto % SVA DADOS B2C"),[2]BENEFICIOS!$A:$E,5,0)))</f>
        <v/>
      </c>
      <c r="IU5" s="187"/>
      <c r="IV5" s="188" t="str">
        <f>IF(IU5=0,"",IF(IU5=VLOOKUP("PCS-813564",[2]ARBOR!$A:$C,3,0),0.0001,IF(IU5&gt;VLOOKUP("PCS-813564",[2]ARBOR!$A:$C,3,0),"Maior que CAP!",ROUND(-1*(IU5/VLOOKUP("PCS-813564",[2]ARBOR!$A:$C,3,0)-1),4))))</f>
        <v/>
      </c>
      <c r="IW5" s="189" t="str">
        <f>IF(ISERROR(IF(IV5="","",VLOOKUP(("Oi Internet Pra Celular 500MB"&amp;IV5&amp;"Template Flat Instância Dados"),[2]BENEFICIOS!$A:$E,5,0))),"Criar",IF(IV5="","",VLOOKUP(("Oi Internet Pra Celular 500MB"&amp;IV5&amp;"Template Flat Instância Dados"),[2]BENEFICIOS!$A:$E,5,0)))</f>
        <v/>
      </c>
      <c r="IX5" s="190"/>
      <c r="IY5" s="191" t="str">
        <f>IF(IX5=0,"",IF(IX5=VLOOKUP("sva_livros",[2]ARBOR!$A:$C,3,0),0.0001,IF(IX5&gt;VLOOKUP("sva_livros",[2]ARBOR!$A:$C,3,0),"Maior que CAP!",ROUND(-1*(IX5/VLOOKUP("sva_livros",[2]ARBOR!$A:$C,3,0)-1),4))))</f>
        <v/>
      </c>
      <c r="IZ5" s="192" t="str">
        <f>IF(ISERROR(IF(IY5="","",VLOOKUP(("Oi Internet Pra Celular 500MB"&amp;IY5&amp;"Template Desconto % SVA DADOS B2C"),[2]BENEFICIOS!$A:$E,5,0))),"Criar",IF(IY5="","",VLOOKUP(("Oi Internet Pra Celular 500MB"&amp;IY5&amp;"Template Desconto % SVA DADOS B2C"),[2]BENEFICIOS!$A:$E,5,0)))</f>
        <v/>
      </c>
      <c r="JA5" s="187"/>
      <c r="JB5" s="188" t="str">
        <f>IF(JA5=0,"",IF(JA5=VLOOKUP("PCS-10357",[2]ARBOR!$A:$C,3,0),0.0001,IF(JA5&gt;VLOOKUP("PCS-10357",[2]ARBOR!$A:$C,3,0),"Maior que CAP!",ROUND(-1*(JA5/VLOOKUP("PCS-10357",[2]ARBOR!$A:$C,3,0)-1),4))))</f>
        <v/>
      </c>
      <c r="JC5" s="189" t="str">
        <f>IF(ISERROR(IF(JB5="","",VLOOKUP(("Oi Internet Pra Celular 1GB"&amp;JB5&amp;"Template Flat Instância Dados"),[2]BENEFICIOS!$A:$E,5,0))),"Criar",IF(JB5="","",VLOOKUP(("Oi Internet Pra Celular 1GB"&amp;JB5&amp;"Template Flat Instância Dados"),[2]BENEFICIOS!$A:$E,5,0)))</f>
        <v/>
      </c>
      <c r="JD5" s="190"/>
      <c r="JE5" s="191" t="str">
        <f>IF(JD5=0,"",IF(JD5=VLOOKUP("sva_livros",[2]ARBOR!$A:$C,3,0),0.0001,IF(JD5&gt;VLOOKUP("sva_livros",[2]ARBOR!$A:$C,3,0),"Maior que CAP!",ROUND(-1*(JD5/VLOOKUP("sva_livros",[2]ARBOR!$A:$C,3,0)-1),4))))</f>
        <v/>
      </c>
      <c r="JF5" s="192" t="str">
        <f>IF(ISERROR(IF(JE5="","",VLOOKUP(("Oi Internet Pra Celular 1GB"&amp;JE5&amp;"Template Desconto % SVA DADOS B2C"),[2]BENEFICIOS!$A:$E,5,0))),"Criar",IF(JE5="","",VLOOKUP(("Oi Internet Pra Celular 1GB"&amp;JE5&amp;"Template Desconto % SVA DADOS B2C"),[2]BENEFICIOS!$A:$E,5,0)))</f>
        <v/>
      </c>
      <c r="JG5" s="187"/>
      <c r="JH5" s="188" t="str">
        <f>IF(JG5=0,"",IF(JG5=VLOOKUP("PCS-813565",[2]ARBOR!$A:$C,3,0),0.0001,IF(JG5&gt;VLOOKUP("PCS-813565",[2]ARBOR!$A:$C,3,0),"Maior que CAP!",ROUND(-1*(JG5/VLOOKUP("PCS-813565",[2]ARBOR!$A:$C,3,0)-1),4))))</f>
        <v/>
      </c>
      <c r="JI5" s="189" t="str">
        <f>IF(ISERROR(IF(JH5="","",VLOOKUP(("Oi Internet Pra Celular 2GB"&amp;JH5&amp;"Template Flat Instância Dados"),[2]BENEFICIOS!$A:$E,5,0))),"Criar",IF(JH5="","",VLOOKUP(("Oi Internet Pra Celular 2GB"&amp;JH5&amp;"Template Flat Instância Dados"),[2]BENEFICIOS!$A:$E,5,0)))</f>
        <v/>
      </c>
      <c r="JJ5" s="190"/>
      <c r="JK5" s="191" t="str">
        <f>IF(JJ5=0,"",IF(JJ5=VLOOKUP("sva_livros",[2]ARBOR!$A:$C,3,0),0.0001,IF(JJ5&gt;VLOOKUP("sva_livros",[2]ARBOR!$A:$C,3,0),"Maior que CAP!",ROUND(-1*(JJ5/VLOOKUP("sva_livros",[2]ARBOR!$A:$C,3,0)-1),4))))</f>
        <v/>
      </c>
      <c r="JL5" s="192" t="str">
        <f>IF(ISERROR(IF(JK5="","",VLOOKUP(("Oi Internet Pra Celular 2GB"&amp;JK5&amp;"Template Desconto % SVA DADOS B2C"),[2]BENEFICIOS!$A:$E,5,0))),"Criar",IF(JK5="","",VLOOKUP(("Oi Internet Pra Celular 2GB"&amp;JK5&amp;"Template Desconto % SVA DADOS B2C"),[2]BENEFICIOS!$A:$E,5,0)))</f>
        <v/>
      </c>
      <c r="JM5" s="187"/>
      <c r="JN5" s="188" t="str">
        <f>IF(JM5=0,"",IF(JM5=VLOOKUP("PCS-7171B",[2]ARBOR!$A:$C,3,0),0.0001,IF(JM5&gt;VLOOKUP("PCS-7171B",[2]ARBOR!$A:$C,3,0),"Maior que CAP!",ROUND(-1*(JM5/VLOOKUP("PCS-7171B",[2]ARBOR!$A:$C,3,0)-1),4))))</f>
        <v/>
      </c>
      <c r="JO5" s="189" t="str">
        <f>IF(ISERROR(IF(JN5="","",VLOOKUP(("Oi Internet Pra Celular 3GB"&amp;JN5&amp;"Template Flat Instância Dados"),[2]BENEFICIOS!$A:$E,5,0))),"Criar",IF(JN5="","",VLOOKUP(("Oi Internet Pra Celular 3GB"&amp;JN5&amp;"Template Flat Instância Dados"),[2]BENEFICIOS!$A:$E,5,0)))</f>
        <v/>
      </c>
      <c r="JP5" s="190"/>
      <c r="JQ5" s="191" t="str">
        <f>IF(JP5=0,"",IF(JP5=VLOOKUP("sva_livros",[2]ARBOR!$A:$C,3,0),0.0001,IF(JP5&gt;VLOOKUP("sva_livros",[2]ARBOR!$A:$C,3,0),"Maior que CAP!",ROUND(-1*(JP5/VLOOKUP("sva_livros",[2]ARBOR!$A:$C,3,0)-1),4))))</f>
        <v/>
      </c>
      <c r="JR5" s="192" t="str">
        <f>IF(ISERROR(IF(JQ5="","",VLOOKUP(("Oi Internet Pra Celular 3GB"&amp;JQ5&amp;"Template Desconto % SVA DADOS B2C"),[2]BENEFICIOS!$A:$E,5,0))),"Criar",IF(JQ5="","",VLOOKUP(("Oi Internet Pra Celular 3GB"&amp;JQ5&amp;"Template Desconto % SVA DADOS B2C"),[2]BENEFICIOS!$A:$E,5,0)))</f>
        <v/>
      </c>
      <c r="JS5" s="187"/>
      <c r="JT5" s="188" t="str">
        <f>IF(JS5=0,"",IF(JS5=VLOOKUP("PCS-51793o08",[2]ARBOR!$A:$C,3,0),0.0001,IF(JS5&gt;VLOOKUP("PCS-51793o08",[2]ARBOR!$A:$C,3,0),"Maior que CAP!",ROUND(-1*(JS5/VLOOKUP("PCS-51793o08",[2]ARBOR!$A:$C,3,0)-1),4))))</f>
        <v/>
      </c>
      <c r="JU5" s="189" t="str">
        <f>IF(ISERROR(IF(JT5="","",VLOOKUP(("Oi Internet Pra Celular 5GB"&amp;JT5&amp;"Template Flat Instância Dados"),[2]BENEFICIOS!$A:$E,5,0))),"Criar",IF(JT5="","",VLOOKUP(("Oi Internet Pra Celular 5GB"&amp;JT5&amp;"Template Flat Instância Dados"),[2]BENEFICIOS!$A:$E,5,0)))</f>
        <v/>
      </c>
      <c r="JV5" s="190"/>
      <c r="JW5" s="191" t="str">
        <f>IF(JV5=0,"",IF(JV5=VLOOKUP("sva_curtas",[2]ARBOR!$A:$C,3,0),0.0001,IF(JV5&gt;VLOOKUP("sva_curtas",[2]ARBOR!$A:$C,3,0),"Maior que CAP!",ROUND(-1*(JV5/VLOOKUP("sva_curtas",[2]ARBOR!$A:$C,3,0)-1),4))))</f>
        <v/>
      </c>
      <c r="JX5" s="192" t="str">
        <f>IF(ISERROR(IF(JW5="","",VLOOKUP(("Oi Internet Pra Celular 5GB"&amp;JW5&amp;"Template Desconto % SVA DADOS B2C"),[2]BENEFICIOS!$A:$E,5,0))),"Criar",IF(JW5="","",VLOOKUP(("Oi Internet Pra Celular 5GB"&amp;JW5&amp;"Template Desconto % SVA DADOS B2C"),[2]BENEFICIOS!$A:$E,5,0)))</f>
        <v/>
      </c>
      <c r="JY5" s="187"/>
      <c r="JZ5" s="188" t="str">
        <f>IF(JY5=0,"",IF(JY5=VLOOKUP("PCS-7171A",[2]ARBOR!$A:$C,3,0),0.0001,IF(JY5&gt;VLOOKUP("PCS-7171A",[2]ARBOR!$A:$C,3,0),"Maior que CAP!",ROUND(-1*(JY5/VLOOKUP("PCS-7171A",[2]ARBOR!$A:$C,3,0)-1),4))))</f>
        <v/>
      </c>
      <c r="KA5" s="193" t="str">
        <f>IF(ISERROR(IF(JZ5="","",VLOOKUP(("Oi Internet Pra Celular 10GB"&amp;JZ5&amp;"Template Flat Instância Dados"),[2]BENEFICIOS!$A:$E,5,0))),"Criar",IF(JZ5="","",VLOOKUP(("Oi Internet Pra Celular 10GB"&amp;JZ5&amp;"Template Flat Instância Dados"),[2]BENEFICIOS!$A:$E,5,0)))</f>
        <v/>
      </c>
      <c r="KB5" s="190"/>
      <c r="KC5" s="191" t="str">
        <f>IF(KB5=0,"",IF(KB5=VLOOKUP("sva_curtas",[2]ARBOR!$A:$C,3,0),0.0001,IF(KB5&gt;VLOOKUP("sva_curtas",[2]ARBOR!$A:$C,3,0),"Maior que CAP!",ROUND(-1*(KB5/VLOOKUP("sva_curtas",[2]ARBOR!$A:$C,3,0)-1),4))))</f>
        <v/>
      </c>
      <c r="KD5" s="192" t="str">
        <f>IF(ISERROR(IF(KC5="","",VLOOKUP(("Oi Internet Pra Celular 10GB"&amp;KC5&amp;"Template Desconto % SVA DADOS B2C"),[2]BENEFICIOS!$A:$E,5,0))),"Criar",IF(KC5="","",VLOOKUP(("Oi Internet Pra Celular 10GB"&amp;KC5&amp;"Template Desconto % SVA DADOS B2C"),[2]BENEFICIOS!$A:$E,5,0)))</f>
        <v/>
      </c>
      <c r="KE5" s="194"/>
      <c r="KF5" s="195"/>
      <c r="KG5" s="196" t="s">
        <v>167</v>
      </c>
      <c r="KH5" s="197" t="s">
        <v>190</v>
      </c>
      <c r="KI5" s="198">
        <v>699</v>
      </c>
      <c r="KJ5" s="197">
        <v>12</v>
      </c>
      <c r="KK5" s="199" t="str">
        <f t="shared" si="5"/>
        <v>Oi benefício fidelização Multiprodutos</v>
      </c>
      <c r="KL5" s="200" t="str">
        <f t="shared" si="6"/>
        <v>PCS-Fk83324</v>
      </c>
      <c r="KM5" s="200" t="str">
        <f t="shared" si="7"/>
        <v>PCS-SBL553142</v>
      </c>
      <c r="KN5" s="201" t="s">
        <v>191</v>
      </c>
      <c r="KO5" s="202" t="s">
        <v>192</v>
      </c>
      <c r="KP5" s="202" t="s">
        <v>193</v>
      </c>
      <c r="KQ5" s="201" t="s">
        <v>194</v>
      </c>
      <c r="KR5" s="199" t="s">
        <v>195</v>
      </c>
      <c r="KS5" s="200" t="s">
        <v>196</v>
      </c>
      <c r="KT5" s="203" t="s">
        <v>197</v>
      </c>
      <c r="KU5" s="129" t="s">
        <v>198</v>
      </c>
      <c r="KV5" s="129" t="s">
        <v>198</v>
      </c>
      <c r="KW5" s="129">
        <v>185.01</v>
      </c>
      <c r="KX5" s="129">
        <v>195.01</v>
      </c>
      <c r="KY5" s="129">
        <v>230.01</v>
      </c>
      <c r="KZ5" s="129" t="s">
        <v>198</v>
      </c>
      <c r="LA5" s="129">
        <v>205.01</v>
      </c>
      <c r="LB5" s="129">
        <v>215.01</v>
      </c>
      <c r="LC5" s="129">
        <v>250.01</v>
      </c>
      <c r="LD5" s="129" t="s">
        <v>198</v>
      </c>
      <c r="LE5" s="129" t="s">
        <v>198</v>
      </c>
      <c r="LF5" s="129" t="s">
        <v>198</v>
      </c>
      <c r="LG5" s="129" t="s">
        <v>198</v>
      </c>
      <c r="LH5" s="129" t="s">
        <v>198</v>
      </c>
      <c r="LI5" s="129" t="s">
        <v>198</v>
      </c>
      <c r="LJ5" s="129" t="s">
        <v>198</v>
      </c>
      <c r="LK5" s="204" t="s">
        <v>198</v>
      </c>
      <c r="LL5" s="205"/>
      <c r="LM5" s="206"/>
      <c r="LN5" s="206"/>
      <c r="LO5" s="206"/>
      <c r="LP5" s="206"/>
      <c r="LQ5" s="206"/>
      <c r="LR5" s="206"/>
      <c r="LS5" s="206"/>
      <c r="LT5" s="206"/>
      <c r="LU5" s="207"/>
      <c r="LV5" t="s">
        <v>204</v>
      </c>
      <c r="LW5" t="s">
        <v>200</v>
      </c>
    </row>
    <row r="6" spans="1:335" x14ac:dyDescent="0.25">
      <c r="A6" s="134" t="s">
        <v>164</v>
      </c>
      <c r="B6" s="135" t="s">
        <v>165</v>
      </c>
      <c r="C6" s="135" t="s">
        <v>166</v>
      </c>
      <c r="D6" s="136" t="s">
        <v>167</v>
      </c>
      <c r="E6" s="137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9"/>
      <c r="Q6" s="139"/>
      <c r="R6" s="139"/>
      <c r="S6" s="140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208"/>
      <c r="AF6" s="138"/>
      <c r="AG6" s="138"/>
      <c r="AH6" s="142"/>
      <c r="AI6" s="209" t="s">
        <v>7</v>
      </c>
      <c r="AJ6" s="59" t="s">
        <v>168</v>
      </c>
      <c r="AK6" s="60" t="s">
        <v>169</v>
      </c>
      <c r="AL6" s="143">
        <v>43039</v>
      </c>
      <c r="AM6" s="144">
        <v>43159</v>
      </c>
      <c r="AN6" s="63" t="s">
        <v>170</v>
      </c>
      <c r="AO6" s="64" t="s">
        <v>170</v>
      </c>
      <c r="AP6" s="145"/>
      <c r="AQ6" s="145" t="s">
        <v>171</v>
      </c>
      <c r="AR6" s="145">
        <v>20</v>
      </c>
      <c r="AS6" s="145">
        <v>10000</v>
      </c>
      <c r="AT6" s="146" t="s">
        <v>172</v>
      </c>
      <c r="AU6" s="147" t="s">
        <v>167</v>
      </c>
      <c r="AV6" s="148" t="s">
        <v>173</v>
      </c>
      <c r="AW6" s="149" t="s">
        <v>173</v>
      </c>
      <c r="AX6" s="150" t="s">
        <v>7</v>
      </c>
      <c r="AY6" s="151" t="s">
        <v>203</v>
      </c>
      <c r="AZ6" s="152" t="str">
        <f>IF(ISERROR(VLOOKUP(AY6,[2]PLANOS!B:C,2,0)),"",VLOOKUP(AY6,[2]PLANOS!B:C,2,0))</f>
        <v>PCS-3PHipi</v>
      </c>
      <c r="BA6" s="153" t="s">
        <v>173</v>
      </c>
      <c r="BB6" s="154" t="str">
        <f t="shared" si="1"/>
        <v/>
      </c>
      <c r="BC6" s="155"/>
      <c r="BD6" s="156"/>
      <c r="BE6" s="157">
        <v>50.11</v>
      </c>
      <c r="BF6" s="101">
        <f>IF(BE6=0,"",IF(BE6=VLOOKUP("FIXO",[2]ARBOR!$A:$C,3,0),0.0001,IF(BE6&gt;VLOOKUP("FIXO",[2]ARBOR!$A:$C,3,0),"Maior que CAP!",IF((DOLLAR(BE6+(VLOOKUP("FIXO",[2]ARBOR!$A:$C,3,0)*-TRUNC(BE6/VLOOKUP("FIXO",[2]ARBOR!$A:$C,3,0)-1,4)),6))&lt;&gt;(DOLLAR(VLOOKUP("FIXO",[2]ARBOR!$A:$C,3,0),6)),-TRUNC(BE6/VLOOKUP("FIXO",[2]ARBOR!$A:$C,3,0)-1,4)+0.0001,-TRUNC(BE6/VLOOKUP("FIXO",[2]ARBOR!$A:$C,3,0)-1,4)))))</f>
        <v>0.33929999999999999</v>
      </c>
      <c r="BG6" s="158"/>
      <c r="BH6" s="101" t="str">
        <f>IF(BG6=0,"",IF(BG6=VLOOKUP("FIXO",[2]ARBOR!$A:$C,3,0),0.0001,IF(BG6&gt;VLOOKUP("FIXO",[2]ARBOR!$A:$C,3,0),"Maior que CAP!",IF((DOLLAR(BG6+(VLOOKUP("FIXO",[2]ARBOR!$A:$C,3,0)*-TRUNC(BG6/VLOOKUP("FIXO",[2]ARBOR!$A:$C,3,0)-1,4)),6))&lt;&gt;(DOLLAR(VLOOKUP("FIXO",[2]ARBOR!$A:$C,3,0),6)),-TRUNC(BG6/VLOOKUP("FIXO",[2]ARBOR!$A:$C,3,0)-1,4)+0.0001,-TRUNC(BG6/VLOOKUP("FIXO",[2]ARBOR!$A:$C,3,0)-1,4)))))</f>
        <v/>
      </c>
      <c r="BI6" s="101" t="str">
        <f>IF(ISERROR(IF(BF6="","",VLOOKUP(($AY6&amp;BF6&amp;"Template de desconto FLAT bundle - Fixo - Varejo - Ganho Tributário Cross"),[2]BENEFICIOS!$A:$E,5,0))),"Criar",IF(BF6="","",VLOOKUP(($AY6&amp;BF6&amp;"Template de desconto FLAT bundle - Fixo - Varejo - Ganho Tributário Cross"),[2]BENEFICIOS!$A:$E,5,0)))</f>
        <v>MKT-1-9825728196</v>
      </c>
      <c r="BJ6" s="159"/>
      <c r="BK6" s="101" t="str">
        <f t="shared" si="2"/>
        <v/>
      </c>
      <c r="BL6" s="160"/>
      <c r="BM6" s="101" t="str">
        <f>IF(BL6=0,"",IF(BL6=VLOOKUP("FIXO",[2]ARBOR!$A:$C,3,0),0.0001,IF(BL6&gt;VLOOKUP("FIXO",[2]ARBOR!$A:$C,3,0),"Maior que CAP!",IF(BF6&lt;&gt;"",-ROUND(BL6/VLOOKUP("FIXO",[2]ARBOR!$A:$C,3,0)-1,4)-BF6,-ROUND(BL6/VLOOKUP("FIXO",[2]ARBOR!$A:$C,3,0)-1,4)))))</f>
        <v/>
      </c>
      <c r="BN6" s="161"/>
      <c r="BO6" s="101" t="str">
        <f>IF(ISERROR(IF(BK6="","",VLOOKUP(($AY6&amp;BK6&amp;"Template de desconto FLAT bundle - Fixo - Varejo - Ganho Tributário Cross"),[2]BENEFICIOS!$A:$E,5,0))),"Criar",IF(BK6="","",VLOOKUP(($AY6&amp;BK6&amp;"Template de desconto FLAT bundle - Fixo - Varejo - Ganho Tributário Cross"),[2]BENEFICIOS!$A:$E,5,0)))</f>
        <v/>
      </c>
      <c r="BP6" s="162" t="s">
        <v>175</v>
      </c>
      <c r="BQ6" s="163" t="s">
        <v>176</v>
      </c>
      <c r="BR6" s="164" t="s">
        <v>173</v>
      </c>
      <c r="BS6" s="165" t="str">
        <f t="shared" si="0"/>
        <v/>
      </c>
      <c r="BT6" s="155"/>
      <c r="BU6" s="166"/>
      <c r="BV6" s="167" t="s">
        <v>104</v>
      </c>
      <c r="BW6" s="168">
        <v>44.9</v>
      </c>
      <c r="BX6" s="101">
        <f>IF(BW6=0,"",IF(BW6=VLOOKUP("PCS-30874g",[2]ARBOR!$A:$C,3,0),0.0001,IF(BW6&gt;VLOOKUP("PCS-30874g",[2]ARBOR!$A:$C,3,0),"Maior que CAP!",IF((DOLLAR(BW6+(VLOOKUP("PCS-30874g",[2]ARBOR!$A:$C,3,0)*-TRUNC(BW6/VLOOKUP("PCS-30874g",[2]ARBOR!$A:$C,3,0)-1,4)),6))&lt;&gt;(DOLLAR(VLOOKUP("PCS-30874g",[2]ARBOR!$A:$C,3,0),6)),-TRUNC(BW6/VLOOKUP("PCS-30874g",[2]ARBOR!$A:$C,3,0)-1,4)+0.0001,-TRUNC(BW6/VLOOKUP("PCS-30874g",[2]ARBOR!$A:$C,3,0)-1,4)))))</f>
        <v>0.53679999999999994</v>
      </c>
      <c r="BY6" s="163" t="str">
        <f>IF(ISERROR(IF(BX6="","",VLOOKUP(($AY6&amp;BX6&amp;"Template de desconto FLAT bundle - Velox XDSL - Varejo"),[2]BENEFICIOS!$A:$E,5,0))),"Criar",IF(BX6="","",VLOOKUP(($AY6&amp;BX6&amp;"Template de desconto FLAT bundle - Velox XDSL - Varejo"),[2]BENEFICIOS!$A:$E,5,0)))</f>
        <v>MKT-1-9829477373</v>
      </c>
      <c r="BZ6" s="167" t="s">
        <v>104</v>
      </c>
      <c r="CA6" s="168">
        <v>44.9</v>
      </c>
      <c r="CB6" s="101">
        <f>IF(CA6=0,"",IF(CA6=VLOOKUP("PCS-30577g",[2]ARBOR!$A:$C,3,0),0.0001,IF(CA6&gt;VLOOKUP("PCS-30577g",[2]ARBOR!$A:$C,3,0),"Maior que CAP!",IF((DOLLAR(CA6+(VLOOKUP("PCS-30577g",[2]ARBOR!$A:$C,3,0)*-TRUNC(CA6/VLOOKUP("PCS-30577g",[2]ARBOR!$A:$C,3,0)-1,4)),6))&lt;&gt;(DOLLAR(VLOOKUP("PCS-30577g",[2]ARBOR!$A:$C,3,0),6)),-TRUNC(CA6/VLOOKUP("PCS-30577g",[2]ARBOR!$A:$C,3,0)-1,4)+0.0001,-TRUNC(CA6/VLOOKUP("PCS-30577g",[2]ARBOR!$A:$C,3,0)-1,4)))))</f>
        <v>0.53679999999999994</v>
      </c>
      <c r="CC6" s="163" t="str">
        <f>IF(ISERROR(IF(CB6="","",VLOOKUP(($AY6&amp;CB6&amp;"Template de desconto FLAT bundle - Velox XDSL - Varejo"),[2]BENEFICIOS!$A:$E,5,0))),"Criar",IF(CB6="","",VLOOKUP(($AY6&amp;CB6&amp;"Template de desconto FLAT bundle - Velox XDSL - Varejo"),[2]BENEFICIOS!$A:$E,5,0)))</f>
        <v>MKT-1-9829477373</v>
      </c>
      <c r="CD6" s="167" t="s">
        <v>104</v>
      </c>
      <c r="CE6" s="168">
        <v>44.9</v>
      </c>
      <c r="CF6" s="101">
        <f>IF(CE6=0,"",IF(CE6=VLOOKUP("PCS-30604g",[2]ARBOR!$A:$C,3,0),0.0001,IF(CE6&gt;VLOOKUP("PCS-30604g",[2]ARBOR!$A:$C,3,0),"Maior que CAP!",IF((DOLLAR(CE6+(VLOOKUP("PCS-30604g",[2]ARBOR!$A:$C,3,0)*-TRUNC(CE6/VLOOKUP("PCS-30604g",[2]ARBOR!$A:$C,3,0)-1,4)),6))&lt;&gt;(DOLLAR(VLOOKUP("PCS-30604g",[2]ARBOR!$A:$C,3,0),6)),-TRUNC(CE6/VLOOKUP("PCS-30604g",[2]ARBOR!$A:$C,3,0)-1,4)+0.0001,-TRUNC(CE6/VLOOKUP("PCS-30604g",[2]ARBOR!$A:$C,3,0)-1,4)))))</f>
        <v>0.53679999999999994</v>
      </c>
      <c r="CG6" s="163" t="str">
        <f>IF(ISERROR(IF(CF6="","",VLOOKUP(($AY6&amp;CF6&amp;"Template de desconto FLAT bundle - Velox XDSL - Varejo"),[2]BENEFICIOS!$A:$E,5,0))),"Criar",IF(CF6="","",VLOOKUP(($AY6&amp;CF6&amp;"Template de desconto FLAT bundle - Velox XDSL - Varejo"),[2]BENEFICIOS!$A:$E,5,0)))</f>
        <v>MKT-1-9829477373</v>
      </c>
      <c r="CH6" s="167" t="s">
        <v>104</v>
      </c>
      <c r="CI6" s="168">
        <v>44.9</v>
      </c>
      <c r="CJ6" s="101">
        <f>IF(CI6=0,"",IF(CI6=VLOOKUP("PCS-30631g",[2]ARBOR!$A:$C,3,0),0.0001,IF(CI6&gt;VLOOKUP("PCS-30631g",[2]ARBOR!$A:$C,3,0),"Maior que CAP!",IF((DOLLAR(CI6+(VLOOKUP("PCS-30631g",[2]ARBOR!$A:$C,3,0)*-TRUNC(CI6/VLOOKUP("PCS-30631g",[2]ARBOR!$A:$C,3,0)-1,4)),6))&lt;&gt;(DOLLAR(VLOOKUP("PCS-30631g",[2]ARBOR!$A:$C,3,0),6)),-TRUNC(CI6/VLOOKUP("PCS-30631g",[2]ARBOR!$A:$C,3,0)-1,4)+0.0001,-TRUNC(CI6/VLOOKUP("PCS-30631g",[2]ARBOR!$A:$C,3,0)-1,4)))))</f>
        <v>0.54310000000000003</v>
      </c>
      <c r="CK6" s="163" t="str">
        <f>IF(ISERROR(IF(CJ6="","",VLOOKUP(($AY6&amp;CJ6&amp;"Template de desconto FLAT bundle - Velox XDSL - Varejo"),[2]BENEFICIOS!$A:$E,5,0))),"Criar",IF(CJ6="","",VLOOKUP(($AY6&amp;CJ6&amp;"Template de desconto FLAT bundle - Velox XDSL - Varejo"),[2]BENEFICIOS!$A:$E,5,0)))</f>
        <v>MKT-1-9828219079</v>
      </c>
      <c r="CL6" s="167"/>
      <c r="CM6" s="168"/>
      <c r="CN6" s="101" t="str">
        <f>IF(CM6=0,"",IF(CM6=VLOOKUP("PCS-30658g",[2]ARBOR!$A:$C,3,0),0.0001,IF(CM6&gt;VLOOKUP("PCS-30658g",[2]ARBOR!$A:$C,3,0),"Maior que CAP!",IF((DOLLAR(CM6+(VLOOKUP("PCS-30658g",[2]ARBOR!$A:$C,3,0)*-TRUNC(CM6/VLOOKUP("PCS-30658g",[2]ARBOR!$A:$C,3,0)-1,4)),6))&lt;&gt;(DOLLAR(VLOOKUP("PCS-30658g",[2]ARBOR!$A:$C,3,0),6)),-TRUNC(CM6/VLOOKUP("PCS-30658g",[2]ARBOR!$A:$C,3,0)-1,4)+0.0001,-TRUNC(CM6/VLOOKUP("PCS-30658g",[2]ARBOR!$A:$C,3,0)-1,4)))))</f>
        <v/>
      </c>
      <c r="CO6" s="163" t="str">
        <f>IF(ISERROR(IF(CN6="","",VLOOKUP(($AY6&amp;CN6&amp;"Template de desconto FLAT bundle - Velox XDSL - Varejo"),[2]BENEFICIOS!$A:$E,5,0))),"Criar",IF(CN6="","",VLOOKUP(($AY6&amp;CN6&amp;"Template de desconto FLAT bundle - Velox XDSL - Varejo"),[2]BENEFICIOS!$A:$E,5,0)))</f>
        <v/>
      </c>
      <c r="CP6" s="167"/>
      <c r="CQ6" s="168"/>
      <c r="CR6" s="101" t="str">
        <f>IF(CQ6=0,"",IF(CQ6=VLOOKUP("PCS-30685g",[2]ARBOR!$A:$C,3,0),0.0001,IF(CQ6&gt;VLOOKUP("PCS-30685g",[2]ARBOR!$A:$C,3,0),"Maior que CAP!",IF((DOLLAR(CQ6+(VLOOKUP("PCS-30685g",[2]ARBOR!$A:$C,3,0)*-TRUNC(CQ6/VLOOKUP("PCS-30685g",[2]ARBOR!$A:$C,3,0)-1,4)),6))&lt;&gt;(DOLLAR(VLOOKUP("PCS-30685g",[2]ARBOR!$A:$C,3,0),6)),-TRUNC(CQ6/VLOOKUP("PCS-30685g",[2]ARBOR!$A:$C,3,0)-1,4)+0.0001,-TRUNC(CQ6/VLOOKUP("PCS-30685g",[2]ARBOR!$A:$C,3,0)-1,4)))))</f>
        <v/>
      </c>
      <c r="CS6" s="163" t="str">
        <f>IF(ISERROR(IF(CR6="","",VLOOKUP(($AY6&amp;CR6&amp;"Template de desconto FLAT bundle - Velox XDSL - Varejo"),[2]BENEFICIOS!$A:$E,5,0))),"Criar",IF(CR6="","",VLOOKUP(($AY6&amp;CR6&amp;"Template de desconto FLAT bundle - Velox XDSL - Varejo"),[2]BENEFICIOS!$A:$E,5,0)))</f>
        <v/>
      </c>
      <c r="CT6" s="167"/>
      <c r="CU6" s="168"/>
      <c r="CV6" s="101" t="str">
        <f>IF(CU6=0,"",IF(CU6=VLOOKUP("PCS-30712g",[2]ARBOR!$A:$C,3,0),0.0001,IF(CU6&gt;VLOOKUP("PCS-30712g",[2]ARBOR!$A:$C,3,0),"Maior que CAP!",IF((DOLLAR(CU6+(VLOOKUP("PCS-30712g",[2]ARBOR!$A:$C,3,0)*-TRUNC(CU6/VLOOKUP("PCS-30712g",[2]ARBOR!$A:$C,3,0)-1,4)),6))&lt;&gt;(DOLLAR(VLOOKUP("PCS-30712g",[2]ARBOR!$A:$C,3,0),6)),-TRUNC(CU6/VLOOKUP("PCS-30712g",[2]ARBOR!$A:$C,3,0)-1,4)+0.0001,-TRUNC(CU6/VLOOKUP("PCS-30712g",[2]ARBOR!$A:$C,3,0)-1,4)))))</f>
        <v/>
      </c>
      <c r="CW6" s="163" t="str">
        <f>IF(ISERROR(IF(CV6="","",VLOOKUP(($AY6&amp;CV6&amp;"Template de desconto FLAT bundle - Velox XDSL - Varejo"),[2]BENEFICIOS!$A:$E,5,0))),"Criar",IF(CV6="","",VLOOKUP(($AY6&amp;CV6&amp;"Template de desconto FLAT bundle - Velox XDSL - Varejo"),[2]BENEFICIOS!$A:$E,5,0)))</f>
        <v/>
      </c>
      <c r="CX6" s="167"/>
      <c r="CY6" s="168"/>
      <c r="CZ6" s="101" t="str">
        <f>IF(CY6=0,"",IF(CY6=VLOOKUP("PCS-30739g",[2]ARBOR!$A:$C,3,0),0.0001,IF(CY6&gt;VLOOKUP("PCS-30739g",[2]ARBOR!$A:$C,3,0),"Maior que CAP!",IF((DOLLAR(CY6+(VLOOKUP("PCS-30739g",[2]ARBOR!$A:$C,3,0)*-TRUNC(CY6/VLOOKUP("PCS-30739g",[2]ARBOR!$A:$C,3,0)-1,4)),6))&lt;&gt;(DOLLAR(VLOOKUP("PCS-30739g",[2]ARBOR!$A:$C,3,0),6)),-TRUNC(CY6/VLOOKUP("PCS-30739g",[2]ARBOR!$A:$C,3,0)-1,4)+0.0001,-TRUNC(CY6/VLOOKUP("PCS-30739g",[2]ARBOR!$A:$C,3,0)-1,4)))))</f>
        <v/>
      </c>
      <c r="DA6" s="169" t="str">
        <f>IF(ISERROR(IF(CZ6="","",VLOOKUP(($AY6&amp;CZ6&amp;"Template de desconto FLAT bundle - Velox XDSL - Varejo"),[2]BENEFICIOS!$A:$E,5,0))),"Criar",IF(CZ6="","",VLOOKUP(($AY6&amp;CZ6&amp;"Template de desconto FLAT bundle - Velox XDSL - Varejo"),[2]BENEFICIOS!$A:$E,5,0)))</f>
        <v/>
      </c>
      <c r="DB6" s="170"/>
      <c r="DC6" s="171"/>
      <c r="DD6" s="101" t="str">
        <f>IF(DB6=0,"",IF(DB6=VLOOKUP("PCS-30739g",[2]ARBOR!$A:$C,3,0),0.0001,IF(DB6&gt;VLOOKUP("PCS-30739g",[2]ARBOR!$A:$C,3,0),"Maior que CAP!",IF((DOLLAR(DB6+(VLOOKUP("PCS-30739g",[2]ARBOR!$A:$C,3,0)*-TRUNC(DB6/VLOOKUP("PCS-30739g",[2]ARBOR!$A:$C,3,0)-1,4)),6))&lt;&gt;(DOLLAR(VLOOKUP("PCS-30739g",[2]ARBOR!$A:$C,3,0),6)),(-TRUNC(DB6/VLOOKUP("PCS-30739g",[2]ARBOR!$A:$C,3,0)-1,4)+0.0001)-CZ6,-TRUNC(DB6/VLOOKUP("PCS-30739g",[2]ARBOR!$A:$C,3,0)-1,4)-CZ6))))</f>
        <v/>
      </c>
      <c r="DE6" s="163" t="str">
        <f>IF(ISERROR(IF(DD6="","",VLOOKUP(($AY6&amp;DD6&amp;"Template de desconto percentual Bundle - Velox XDSL - Varejo"),[2]BENEFICIOS!$A:$E,5,0))),"Criar",IF(DD6="","",VLOOKUP(($AY6&amp;DD6&amp;"Template de desconto percentual Bundle - Velox XDSL - Varejo"),[2]BENEFICIOS!$A:$E,5,0)))</f>
        <v/>
      </c>
      <c r="DF6" s="167"/>
      <c r="DG6" s="168"/>
      <c r="DH6" s="101" t="str">
        <f>IF(DG6=0,"",IF(DG6=VLOOKUP("PCS-30766g",[2]ARBOR!$A:$C,3,0),0.0001,IF(DG6&gt;VLOOKUP("PCS-30766g",[2]ARBOR!$A:$C,3,0),"Maior que CAP!",IF((DOLLAR(DG6+(VLOOKUP("PCS-30766g",[2]ARBOR!$A:$C,3,0)*-TRUNC(DG6/VLOOKUP("PCS-30766g",[2]ARBOR!$A:$C,3,0)-1,4)),6))&lt;&gt;(DOLLAR(VLOOKUP("PCS-30766g",[2]ARBOR!$A:$C,3,0),6)),-TRUNC(DG6/VLOOKUP("PCS-30766g",[2]ARBOR!$A:$C,3,0)-1,4)+0.0001,-TRUNC(DG6/VLOOKUP("PCS-30766g",[2]ARBOR!$A:$C,3,0)-1,4)))))</f>
        <v/>
      </c>
      <c r="DI6" s="169" t="str">
        <f>IF(ISERROR(IF(DH6="","",VLOOKUP(($AY6&amp;DH6&amp;"Template de desconto FLAT bundle - Velox XDSL - Varejo"),[2]BENEFICIOS!$A:$E,5,0))),"Criar",IF(DH6="","",VLOOKUP(($AY6&amp;DH6&amp;"Template de desconto FLAT bundle - Velox XDSL - Varejo"),[2]BENEFICIOS!$A:$E,5,0)))</f>
        <v/>
      </c>
      <c r="DJ6" s="170"/>
      <c r="DK6" s="171"/>
      <c r="DL6" s="101" t="str">
        <f>IF(DJ6=0,"",IF(DJ6=VLOOKUP("PCS-30766g",[2]ARBOR!$A:$C,3,0),0.0001,IF(DJ6&gt;VLOOKUP("PCS-30766g",[2]ARBOR!$A:$C,3,0),"Maior que CAP!",IF((DOLLAR(DJ6+(VLOOKUP("PCS-30766g",[2]ARBOR!$A:$C,3,0)*-TRUNC(DJ6/VLOOKUP("PCS-30766g",[2]ARBOR!$A:$C,3,0)-1,4)),6))&lt;&gt;(DOLLAR(VLOOKUP("PCS-30766g",[2]ARBOR!$A:$C,3,0),6)),(-TRUNC(DJ6/VLOOKUP("PCS-30766g",[2]ARBOR!$A:$C,3,0)-1,4)+0.0001)-DH6,-TRUNC(DJ6/VLOOKUP("PCS-30766g",[2]ARBOR!$A:$C,3,0)-1,4)-DH6))))</f>
        <v/>
      </c>
      <c r="DM6" s="163" t="str">
        <f>IF(ISERROR(IF(DL6="","",VLOOKUP(($AY6&amp;DL6&amp;"Template de desconto percentual Bundle - Velox XDSL - Varejo"),[2]BENEFICIOS!$A:$E,5,0))),"Criar",IF(DL6="","",VLOOKUP(($AY6&amp;DL6&amp;"Template de desconto percentual Bundle - Velox XDSL - Varejo"),[2]BENEFICIOS!$A:$E,5,0)))</f>
        <v/>
      </c>
      <c r="DN6" s="167"/>
      <c r="DO6" s="168"/>
      <c r="DP6" s="101" t="str">
        <f>IF(DO6=0,"",IF(DO6=VLOOKUP("PCS-30793g",[2]ARBOR!$A:$C,3,0),0.0001,IF(DO6&gt;VLOOKUP("PCS-30793g",[2]ARBOR!$A:$C,3,0),"Maior que CAP!",IF((DOLLAR(DO6+(VLOOKUP("PCS-30793g",[2]ARBOR!$A:$C,3,0)*-TRUNC(DO6/VLOOKUP("PCS-30793g",[2]ARBOR!$A:$C,3,0)-1,4)),6))&lt;&gt;(DOLLAR(VLOOKUP("PCS-30793g",[2]ARBOR!$A:$C,3,0),6)),-TRUNC(DO6/VLOOKUP("PCS-30793g",[2]ARBOR!$A:$C,3,0)-1,4)+0.0001,-TRUNC(DO6/VLOOKUP("PCS-30793g",[2]ARBOR!$A:$C,3,0)-1,4)))))</f>
        <v/>
      </c>
      <c r="DQ6" s="169" t="str">
        <f>IF(ISERROR(IF(DP6="","",VLOOKUP(($AY6&amp;DP6&amp;"Template de desconto FLAT bundle - Velox XDSL - Varejo"),[2]BENEFICIOS!$A:$E,5,0))),"Criar",IF(DP6="","",VLOOKUP(($AY6&amp;DP6&amp;"Template de desconto FLAT bundle - Velox XDSL - Varejo"),[2]BENEFICIOS!$A:$E,5,0)))</f>
        <v/>
      </c>
      <c r="DR6" s="170"/>
      <c r="DS6" s="171"/>
      <c r="DT6" s="101" t="str">
        <f>IF(DR6=0,"",IF(DR6=VLOOKUP("PCS-30793g",[2]ARBOR!$A:$C,3,0),0.0001,IF(DR6&gt;VLOOKUP("PCS-30793g",[2]ARBOR!$A:$C,3,0),"Maior que CAP!",IF((DOLLAR(DR6+(VLOOKUP("PCS-30793g",[2]ARBOR!$A:$C,3,0)*-TRUNC(DR6/VLOOKUP("PCS-30793g",[2]ARBOR!$A:$C,3,0)-1,4)),6))&lt;&gt;(DOLLAR(VLOOKUP("PCS-30793g",[2]ARBOR!$A:$C,3,0),6)),(-TRUNC(DR6/VLOOKUP("PCS-30793g",[2]ARBOR!$A:$C,3,0)-1,4)+0.0001)-DP6,-TRUNC(DR6/VLOOKUP("PCS-30793g",[2]ARBOR!$A:$C,3,0)-1,4)-DP6))))</f>
        <v/>
      </c>
      <c r="DU6" s="163" t="str">
        <f>IF(ISERROR(IF(DT6="","",VLOOKUP(($AY6&amp;DT6&amp;"Template de desconto percentual Bundle - Velox XDSL - Varejo"),[2]BENEFICIOS!$A:$E,5,0))),"Criar",IF(DT6="","",VLOOKUP(($AY6&amp;DT6&amp;"Template de desconto percentual Bundle - Velox XDSL - Varejo"),[2]BENEFICIOS!$A:$E,5,0)))</f>
        <v/>
      </c>
      <c r="DV6" s="167"/>
      <c r="DW6" s="168"/>
      <c r="DX6" s="101" t="str">
        <f>IF(DW6=0,"",IF(DW6=VLOOKUP("PCS-30820g",[2]ARBOR!$A:$C,3,0),0.0001,IF(DW6&gt;VLOOKUP("PCS-30820g",[2]ARBOR!$A:$C,3,0),"Maior que CAP!",IF((DOLLAR(DW6+(VLOOKUP("PCS-30820g",[2]ARBOR!$A:$C,3,0)*-TRUNC(DW6/VLOOKUP("PCS-30820g",[2]ARBOR!$A:$C,3,0)-1,4)),6))&lt;&gt;(DOLLAR(VLOOKUP("PCS-30820g",[2]ARBOR!$A:$C,3,0),6)),-TRUNC(DW6/VLOOKUP("PCS-30820g",[2]ARBOR!$A:$C,3,0)-1,4)+0.0001,-TRUNC(DW6/VLOOKUP("PCS-30820g",[2]ARBOR!$A:$C,3,0)-1,4)))))</f>
        <v/>
      </c>
      <c r="DY6" s="169" t="str">
        <f>IF(ISERROR(IF(DX6="","",VLOOKUP(($AY6&amp;DX6&amp;"Template de desconto FLAT bundle - Velox XDSL - Varejo"),[2]BENEFICIOS!$A:$E,5,0))),"Criar",IF(DX6="","",VLOOKUP(($AY6&amp;DX6&amp;"Template de desconto FLAT bundle - Velox XDSL - Varejo"),[2]BENEFICIOS!$A:$E,5,0)))</f>
        <v/>
      </c>
      <c r="DZ6" s="170"/>
      <c r="EA6" s="171"/>
      <c r="EB6" s="101" t="str">
        <f>IF(DZ6=0,"",IF(DZ6=VLOOKUP("PCS-30820g",[2]ARBOR!$A:$C,3,0),0.0001,IF(DZ6&gt;VLOOKUP("PCS-30820g",[2]ARBOR!$A:$C,3,0),"Maior que CAP!",IF((DOLLAR(DZ6+(VLOOKUP("PCS-30820g",[2]ARBOR!$A:$C,3,0)*-TRUNC(DZ6/VLOOKUP("PCS-30820g",[2]ARBOR!$A:$C,3,0)-1,4)),6))&lt;&gt;(DOLLAR(VLOOKUP("PCS-30820g",[2]ARBOR!$A:$C,3,0),6)),(-TRUNC(DZ6/VLOOKUP("PCS-30820g",[2]ARBOR!$A:$C,3,0)-1,4)+0.0001)-DX6,-TRUNC(DZ6/VLOOKUP("PCS-30820g",[2]ARBOR!$A:$C,3,0)-1,4)-DX6))))</f>
        <v/>
      </c>
      <c r="EC6" s="163" t="str">
        <f>IF(ISERROR(IF(EB6="","",VLOOKUP(($AY6&amp;EB6&amp;"Template de desconto percentual Bundle - Velox XDSL - Varejo"),[2]BENEFICIOS!$A:$E,5,0))),"Criar",IF(EB6="","",VLOOKUP(($AY6&amp;EB6&amp;"Template de desconto percentual Bundle - Velox XDSL - Varejo"),[2]BENEFICIOS!$A:$E,5,0)))</f>
        <v/>
      </c>
      <c r="ED6" s="172">
        <v>44.9</v>
      </c>
      <c r="EE6" s="101">
        <f>IF(ED6=0,"",IF(ED6=VLOOKUP("PCS-21448p2",[2]ARBOR!$A:$C,3,0),0.0001,IF(ED6&gt;VLOOKUP("PCS-21448p2",[2]ARBOR!$A:$C,3,0),"Maior que CAP!",IF((DOLLAR(ED6+(VLOOKUP("PCS-21448p2",[2]ARBOR!$A:$C,3,0)*-TRUNC(ED6/VLOOKUP("PCS-21448p2",[2]ARBOR!$A:$C,3,0)-1,4)),6))&lt;&gt;(DOLLAR(VLOOKUP("PCS-21448p2",[2]ARBOR!$A:$C,3,0),6)),-TRUNC(ED6/VLOOKUP("PCS-21448p2",[2]ARBOR!$A:$C,3,0)-1,4)+0.0001,-TRUNC(ED6/VLOOKUP("PCS-21448p2",[2]ARBOR!$A:$C,3,0)-1,4)))))</f>
        <v>0.64900000000000002</v>
      </c>
      <c r="EF6" s="101" t="str">
        <f>IF(ISERROR(IF(EE6="","",VLOOKUP(("Oi Conta Total Plug 10GB Downgrade"&amp;EE6&amp;"Template de desconto percentual BL Móvel - Internet Total - Varejo"),[2]BENEFICIOS!$A:$E,5,0))),"Criar",IF(EE6="","",VLOOKUP(("Oi Conta Total Plug 10GB Downgrade"&amp;EE6&amp;"Template de desconto percentual BL Móvel - Internet Total - Varejo"),[2]BENEFICIOS!$A:$E,5,0)))</f>
        <v>MKT-1-9825544790</v>
      </c>
      <c r="EG6" s="173">
        <v>16.5</v>
      </c>
      <c r="EH6" s="174">
        <f>IF(EG6=0,"",IF(EG6=VLOOKUP("SVA",[2]ARBOR!$A:$C,3,0),0.0001,IF(EG6&gt;VLOOKUP("SVA",[2]ARBOR!$A:$C,3,0),"Maior que CAP!",IF((DOLLAR(EG6+(VLOOKUP("SVA",[2]ARBOR!$A:$C,3,0)*-TRUNC(EG6/VLOOKUP("SVA",[2]ARBOR!$A:$C,3,0)-1,4)),6))&lt;&gt;(DOLLAR(VLOOKUP("SVA",[2]ARBOR!$A:$C,3,0),6)),-TRUNC(EG6/VLOOKUP("SVA",[2]ARBOR!$A:$C,3,0)-1,4)+0.0001,-TRUNC(EG6/VLOOKUP("SVA",[2]ARBOR!$A:$C,3,0)-1,4)))))</f>
        <v>0.2301</v>
      </c>
      <c r="EI6" s="174" t="s">
        <v>177</v>
      </c>
      <c r="EJ6" s="175"/>
      <c r="EK6" s="176"/>
      <c r="EL6" s="177" t="str">
        <f t="shared" si="3"/>
        <v/>
      </c>
      <c r="EM6" s="174" t="str">
        <f>IF(EL6="S/Desc","S/Desc",IF(ISERROR(IF(EL6="","",VLOOKUP(($BX6&amp;EL6&amp;"Template Desc. % sobre Serviço SVA B2C"),[2]BENEFICIOS!$A:$G,5,0))),"Criar",IF(EL6="","",VLOOKUP(($BX6&amp;EL6&amp;"Template Desc. % sobre Serviço SVA B2C"),[2]BENEFICIOS!$A:$G,5,0))))</f>
        <v/>
      </c>
      <c r="EN6" s="103"/>
      <c r="EO6" s="101" t="str">
        <f>IF(EN6=0,"",IF(EN6=VLOOKUP("PCS-OzTL40",[2]ARBOR!$A:$C,3,0),0.0001,IF(EN6&gt;VLOOKUP("PCS-OzTL40",[2]ARBOR!$A:$C,3,0),"Maior que CAP!",IF((DOLLAR(EN6+(VLOOKUP("PCS-OzTL40",[2]ARBOR!$A:$C,3,0)*-TRUNC(EN6/VLOOKUP("PCS-OzTL40",[2]ARBOR!$A:$C,3,0)-1,4)),6))&lt;&gt;(DOLLAR(VLOOKUP("PCS-OzTL40",[2]ARBOR!$A:$C,3,0),6)),-TRUNC(EN6/VLOOKUP("PCS-OzTL40",[2]ARBOR!$A:$C,3,0)-1,4)+0.0001,-TRUNC(EN6/VLOOKUP("PCS-OzTL40",[2]ARBOR!$A:$C,3,0)-1,4)))))</f>
        <v/>
      </c>
      <c r="EP6" s="163" t="str">
        <f>IF(ISERROR(IF(EO6="","",VLOOKUP(($AY6&amp;EO6&amp;"Template desconto FLAT Plano Principal Oi TV nível conta"),[2]BENEFICIOS!$A:$G,5,0))),"Criar",IF(EO6="","",VLOOKUP(($AY6&amp;EO6&amp;"Template desconto FLAT Plano Principal Oi TV nível conta"),[2]BENEFICIOS!$A:$G,5,0)))</f>
        <v/>
      </c>
      <c r="EQ6" s="103"/>
      <c r="ER6" s="101" t="str">
        <f>IF(EQ6=0,"",IF(EQ6=VLOOKUP("PCS-OzTL41",[2]ARBOR!$A:$C,3,0),0.0001,IF(EQ6&gt;VLOOKUP("PCS-OzTL41",[2]ARBOR!$A:$C,3,0),"Maior que CAP!",IF((DOLLAR(EQ6+(VLOOKUP("PCS-OzTL41",[2]ARBOR!$A:$C,3,0)*-TRUNC(EQ6/VLOOKUP("PCS-OzTL41",[2]ARBOR!$A:$C,3,0)-1,4)),6))&lt;&gt;(DOLLAR(VLOOKUP("PCS-OzTL41",[2]ARBOR!$A:$C,3,0),6)),-TRUNC(EQ6/VLOOKUP("PCS-OzTL41",[2]ARBOR!$A:$C,3,0)-1,4)+0.0001,-TRUNC(EQ6/VLOOKUP("PCS-OzTL41",[2]ARBOR!$A:$C,3,0)-1,4)))))</f>
        <v/>
      </c>
      <c r="ES6" s="178" t="str">
        <f>IF(ISERROR(IF(ER6="","",VLOOKUP(($AY6&amp;ER6&amp;"Template desconto FLAT Plano Principal Oi TV nível conta"),[2]BENEFICIOS!$A:$G,5,0))),"Criar",IF(ER6="","",VLOOKUP(($AY6&amp;ER6&amp;"Template desconto FLAT Plano Principal Oi TV nível conta"),[2]BENEFICIOS!$A:$G,5,0)))</f>
        <v/>
      </c>
      <c r="ET6" s="103"/>
      <c r="EU6" s="101" t="str">
        <f>IF(ET6=0,"",IF(ET6=VLOOKUP("PCS-OzTL44",[2]ARBOR!$A:$C,3,0),0.0001,IF(ET6&gt;VLOOKUP("PCS-OzTL44",[2]ARBOR!$A:$C,3,0),"Maior que CAP!",IF((DOLLAR(ET6+(VLOOKUP("PCS-OzTL44",[2]ARBOR!$A:$C,3,0)*-TRUNC(ET6/VLOOKUP("PCS-OzTL44",[2]ARBOR!$A:$C,3,0)-1,4)),6))&lt;&gt;(DOLLAR(VLOOKUP("PCS-OzTL44",[2]ARBOR!$A:$C,3,0),6)),-TRUNC(ET6/VLOOKUP("PCS-OzTL44",[2]ARBOR!$A:$C,3,0)-1,4)+0.0001,-TRUNC(ET6/VLOOKUP("PCS-OzTL44",[2]ARBOR!$A:$C,3,0)-1,4)))))</f>
        <v/>
      </c>
      <c r="EV6" s="178" t="str">
        <f>IF(ISERROR(IF(EU6="","",VLOOKUP(($AY6&amp;EU6&amp;"Template desconto FLAT Plano Principal Oi TV nível conta"),[2]BENEFICIOS!$A:$G,5,0))),"Criar",IF(EU6="","",VLOOKUP(($AY6&amp;EU6&amp;"Template desconto FLAT Plano Principal Oi TV nível conta"),[2]BENEFICIOS!$A:$G,5,0)))</f>
        <v/>
      </c>
      <c r="EW6" s="103"/>
      <c r="EX6" s="101" t="str">
        <f>IF(EW6=0,"",IF(EW6=VLOOKUP("PCS-OzTL43",[2]ARBOR!$A:$C,3,0),0.0001,IF(EW6&gt;VLOOKUP("PCS-OzTL43",[2]ARBOR!$A:$C,3,0),"Maior que CAP!",IF((DOLLAR(EW6+(VLOOKUP("PCS-OzTL43",[2]ARBOR!$A:$C,3,0)*-TRUNC(EW6/VLOOKUP("PCS-OzTL43",[2]ARBOR!$A:$C,3,0)-1,4)),6))&lt;&gt;(DOLLAR(VLOOKUP("PCS-OzTL43",[2]ARBOR!$A:$C,3,0),6)),-TRUNC(EW6/VLOOKUP("PCS-OzTL43",[2]ARBOR!$A:$C,3,0)-1,4)+0.0001,-TRUNC(EW6/VLOOKUP("PCS-OzTL43",[2]ARBOR!$A:$C,3,0)-1,4)))))</f>
        <v/>
      </c>
      <c r="EY6" s="178" t="str">
        <f>IF(ISERROR(IF(EX6="","",VLOOKUP(($AY6&amp;EX6&amp;"Template desconto FLAT Plano Principal Oi TV nível conta"),[2]BENEFICIOS!$A:$G,5,0))),"Criar",IF(EX6="","",VLOOKUP(($AY6&amp;EX6&amp;"Template desconto FLAT Plano Principal Oi TV nível conta"),[2]BENEFICIOS!$A:$G,5,0)))</f>
        <v/>
      </c>
      <c r="EZ6" s="103"/>
      <c r="FA6" s="101" t="str">
        <f>IF(EZ6=0,"",IF(EZ6=VLOOKUP("PCS-OzTL45",[2]ARBOR!$A:$C,3,0),0.0001,IF(EZ6&gt;VLOOKUP("PCS-OzTL45",[2]ARBOR!$A:$C,3,0),"Maior que CAP!",IF((DOLLAR(EZ6+(VLOOKUP("PCS-OzTL45",[2]ARBOR!$A:$C,3,0)*-TRUNC(EZ6/VLOOKUP("PCS-OzTL45",[2]ARBOR!$A:$C,3,0)-1,4)),6))&lt;&gt;(DOLLAR(VLOOKUP("PCS-OzTL45",[2]ARBOR!$A:$C,3,0),6)),-TRUNC(EZ6/VLOOKUP("PCS-OzTL45",[2]ARBOR!$A:$C,3,0)-1,4)+0.0001,-TRUNC(EZ6/VLOOKUP("PCS-OzTL45",[2]ARBOR!$A:$C,3,0)-1,4)))))</f>
        <v/>
      </c>
      <c r="FB6" s="178" t="str">
        <f>IF(ISERROR(IF(FA6="","",VLOOKUP(($AY6&amp;FA6&amp;"Template desconto FLAT Plano Principal Oi TV nível conta"),[2]BENEFICIOS!$A:$G,5,0))),"Criar",IF(FA6="","",VLOOKUP(($AY6&amp;FA6&amp;"Template desconto FLAT Plano Principal Oi TV nível conta"),[2]BENEFICIOS!$A:$G,5,0)))</f>
        <v/>
      </c>
      <c r="FC6" s="103"/>
      <c r="FD6" s="101" t="str">
        <f>IF(FC6=0,"",IF(FC6=VLOOKUP("PCS-OzTL741",[2]ARBOR!$A:$C,3,0),0.0001,IF(FC6&gt;VLOOKUP("PCS-OzTL741",[2]ARBOR!$A:$C,3,0),"Maior que CAP!",IF((DOLLAR(FC6+(VLOOKUP("PCS-OzTL741",[2]ARBOR!$A:$C,3,0)*-TRUNC(FC6/VLOOKUP("PCS-OzTL741",[2]ARBOR!$A:$C,3,0)-1,4)),6))&lt;&gt;(DOLLAR(VLOOKUP("PCS-OzTL741",[2]ARBOR!$A:$C,3,0),6)),-TRUNC(FC6/VLOOKUP("PCS-OzTL741",[2]ARBOR!$A:$C,3,0)-1,4)+0.0001,-TRUNC(FC6/VLOOKUP("PCS-OzTL741",[2]ARBOR!$A:$C,3,0)-1,4)))))</f>
        <v/>
      </c>
      <c r="FE6" s="178" t="str">
        <f>IF(ISERROR(IF(FD6="","",VLOOKUP(($AY6&amp;FD6&amp;"Template desconto FLAT Plano Principal Oi TV nível conta"),[2]BENEFICIOS!$A:$G,5,0))),"Criar",IF(FD6="","",VLOOKUP(($AY6&amp;FD6&amp;"Template desconto FLAT Plano Principal Oi TV nível conta"),[2]BENEFICIOS!$A:$G,5,0)))</f>
        <v/>
      </c>
      <c r="FF6" s="103"/>
      <c r="FG6" s="101" t="str">
        <f>IF(FF6=0,"",IF(FF6=VLOOKUP("PCS-OzTL744",[2]ARBOR!$A:$C,3,0),0.0001,IF(FF6&gt;VLOOKUP("PCS-OzTL744",[2]ARBOR!$A:$C,3,0),"Maior que CAP!",IF((DOLLAR(FF6+(VLOOKUP("PCS-OzTL744",[2]ARBOR!$A:$C,3,0)*-TRUNC(FF6/VLOOKUP("PCS-OzTL744",[2]ARBOR!$A:$C,3,0)-1,4)),6))&lt;&gt;(DOLLAR(VLOOKUP("PCS-OzTL744",[2]ARBOR!$A:$C,3,0),6)),-TRUNC(FF6/VLOOKUP("PCS-OzTL744",[2]ARBOR!$A:$C,3,0)-1,4)+0.0001,-TRUNC(FF6/VLOOKUP("PCS-OzTL744",[2]ARBOR!$A:$C,3,0)-1,4)))))</f>
        <v/>
      </c>
      <c r="FH6" s="178" t="str">
        <f>IF(ISERROR(IF(FG6="","",VLOOKUP(($AY6&amp;FG6&amp;"Template desconto FLAT Plano Principal Oi TV nível conta"),[2]BENEFICIOS!$A:$G,5,0))),"Criar",IF(FG6="","",VLOOKUP(($AY6&amp;FG6&amp;"Template desconto FLAT Plano Principal Oi TV nível conta"),[2]BENEFICIOS!$A:$G,5,0)))</f>
        <v/>
      </c>
      <c r="FI6" s="103"/>
      <c r="FJ6" s="101" t="str">
        <f>IF(FI6=0,"",IF(FI6=VLOOKUP("PCS-OzTL743",[2]ARBOR!$A:$C,3,0),0.0001,IF(FI6&gt;VLOOKUP("PCS-OzTL743",[2]ARBOR!$A:$C,3,0),"Maior que CAP!",IF((DOLLAR(FI6+(VLOOKUP("PCS-OzTL743",[2]ARBOR!$A:$C,3,0)*-TRUNC(FI6/VLOOKUP("PCS-OzTL743",[2]ARBOR!$A:$C,3,0)-1,4)),6))&lt;&gt;(DOLLAR(VLOOKUP("PCS-OzTL743",[2]ARBOR!$A:$C,3,0),6)),-TRUNC(FI6/VLOOKUP("PCS-OzTL743",[2]ARBOR!$A:$C,3,0)-1,4)+0.0001,-TRUNC(FI6/VLOOKUP("PCS-OzTL743",[2]ARBOR!$A:$C,3,0)-1,4)))))</f>
        <v/>
      </c>
      <c r="FK6" s="178" t="str">
        <f>IF(ISERROR(IF(FJ6="","",VLOOKUP(($AY6&amp;FJ6&amp;"Template desconto FLAT Plano Principal Oi TV nível conta"),[2]BENEFICIOS!$A:$G,5,0))),"Criar",IF(FJ6="","",VLOOKUP(($AY6&amp;FJ6&amp;"Template desconto FLAT Plano Principal Oi TV nível conta"),[2]BENEFICIOS!$A:$G,5,0)))</f>
        <v/>
      </c>
      <c r="FL6" s="103"/>
      <c r="FM6" s="101" t="str">
        <f>IF(FL6=0,"",IF(FL6=VLOOKUP("PCS-OzTL745",[2]ARBOR!$A:$C,3,0),0.0001,IF(FL6&gt;VLOOKUP("PCS-OzTL745",[2]ARBOR!$A:$C,3,0),"Maior que CAP!",IF((DOLLAR(FL6+(VLOOKUP("PCS-OzTL745",[2]ARBOR!$A:$C,3,0)*-TRUNC(FL6/VLOOKUP("PCS-OzTL745",[2]ARBOR!$A:$C,3,0)-1,4)),6))&lt;&gt;(DOLLAR(VLOOKUP("PCS-OzTL745",[2]ARBOR!$A:$C,3,0),6)),-TRUNC(FL6/VLOOKUP("PCS-OzTL745",[2]ARBOR!$A:$C,3,0)-1,4)+0.0001,-TRUNC(FL6/VLOOKUP("PCS-OzTL745",[2]ARBOR!$A:$C,3,0)-1,4)))))</f>
        <v/>
      </c>
      <c r="FN6" s="178" t="str">
        <f>IF(ISERROR(IF(FM6="","",VLOOKUP(($AY6&amp;FM6&amp;"Template desconto FLAT Plano Principal Oi TV nível conta"),[2]BENEFICIOS!$A:$G,5,0))),"Criar",IF(FM6="","",VLOOKUP(($AY6&amp;FM6&amp;"Template desconto FLAT Plano Principal Oi TV nível conta"),[2]BENEFICIOS!$A:$G,5,0)))</f>
        <v/>
      </c>
      <c r="FO6" s="103"/>
      <c r="FP6" s="101" t="str">
        <f>IF(FO6=0,"",IF(FO6=VLOOKUP("PCS-OzTL42",[2]ARBOR!$A:$C,3,0),0.0001,IF(FO6&gt;VLOOKUP("PCS-OzTL42",[2]ARBOR!$A:$C,3,0),"Maior que CAP!",IF((DOLLAR(FO6+(VLOOKUP("PCS-OzTL42",[2]ARBOR!$A:$C,3,0)*-TRUNC(FO6/VLOOKUP("PCS-OzTL42",[2]ARBOR!$A:$C,3,0)-1,4)),6))&lt;&gt;(DOLLAR(VLOOKUP("PCS-OzTL42",[2]ARBOR!$A:$C,3,0),6)),-TRUNC(FO6/VLOOKUP("PCS-OzTL42",[2]ARBOR!$A:$C,3,0)-1,4)+0.0001,-TRUNC(FO6/VLOOKUP("PCS-OzTL42",[2]ARBOR!$A:$C,3,0)-1,4)))))</f>
        <v/>
      </c>
      <c r="FQ6" s="178" t="str">
        <f>IF(ISERROR(IF(FP6="","",VLOOKUP(($AY6&amp;FP6&amp;"Template desconto FLAT Plano Principal Oi TV nível conta"),[2]BENEFICIOS!$A:$G,5,0))),"Criar",IF(FP6="","",VLOOKUP(($AY6&amp;FP6&amp;"Template desconto FLAT Plano Principal Oi TV nível conta"),[2]BENEFICIOS!$A:$G,5,0)))</f>
        <v/>
      </c>
      <c r="FR6" s="103">
        <v>149.9</v>
      </c>
      <c r="FS6" s="101">
        <f>IF(FR6=0,"",IF(FR6=VLOOKUP("PCS-OzTL47",[2]ARBOR!$A:$C,3,0),0.0001,IF(FR6&gt;VLOOKUP("PCS-OzTL47",[2]ARBOR!$A:$C,3,0),"Maior que CAP!",IF((DOLLAR(FR6+(VLOOKUP("PCS-OzTL47",[2]ARBOR!$A:$C,3,0)*-TRUNC(FR6/VLOOKUP("PCS-OzTL47",[2]ARBOR!$A:$C,3,0)-1,4)),6))&lt;&gt;(DOLLAR(VLOOKUP("PCS-OzTL47",[2]ARBOR!$A:$C,3,0),6)),-TRUNC(FR6/VLOOKUP("PCS-OzTL47",[2]ARBOR!$A:$C,3,0)-1,4)+0.0001,-TRUNC(FR6/VLOOKUP("PCS-OzTL47",[2]ARBOR!$A:$C,3,0)-1,4)))))</f>
        <v>0.26389999999999997</v>
      </c>
      <c r="FT6" s="178" t="str">
        <f>IF(ISERROR(IF(FS6="","",VLOOKUP(($AY6&amp;FS6&amp;"Template desconto FLAT Plano Principal Oi TV nível conta"),[2]BENEFICIOS!$A:$G,5,0))),"Criar",IF(FS6="","",VLOOKUP(($AY6&amp;FS6&amp;"Template desconto FLAT Plano Principal Oi TV nível conta"),[2]BENEFICIOS!$A:$G,5,0)))</f>
        <v>MKT-1-10140957431</v>
      </c>
      <c r="FU6" s="103"/>
      <c r="FV6" s="101" t="str">
        <f>IF(FU6=0,"",IF(FU6=VLOOKUP("PCS-OzTL46",[2]ARBOR!$A:$C,3,0),0.0001,IF(FU6&gt;VLOOKUP("PCS-OzTL46",[2]ARBOR!$A:$C,3,0),"Maior que CAP!",IF((DOLLAR(FU6+(VLOOKUP("PCS-OzTL46",[2]ARBOR!$A:$C,3,0)*-TRUNC(FU6/VLOOKUP("PCS-OzTL46",[2]ARBOR!$A:$C,3,0)-1,4)),6))&lt;&gt;(DOLLAR(VLOOKUP("PCS-OzTL46",[2]ARBOR!$A:$C,3,0),6)),-TRUNC(FU6/VLOOKUP("PCS-OzTL46",[2]ARBOR!$A:$C,3,0)-1,4)+0.0001,-TRUNC(FU6/VLOOKUP("PCS-OzTL46",[2]ARBOR!$A:$C,3,0)-1,4)))))</f>
        <v/>
      </c>
      <c r="FW6" s="178" t="str">
        <f>IF(ISERROR(IF(FV6="","",VLOOKUP(($AY6&amp;FV6&amp;"Template desconto FLAT Plano Principal Oi TV nível conta"),[2]BENEFICIOS!$A:$G,5,0))),"Criar",IF(FV6="","",VLOOKUP(($AY6&amp;FV6&amp;"Template desconto FLAT Plano Principal Oi TV nível conta"),[2]BENEFICIOS!$A:$G,5,0)))</f>
        <v/>
      </c>
      <c r="FX6" s="103"/>
      <c r="FY6" s="101" t="str">
        <f>IF(FX6=0,"",IF(FX6=VLOOKUP("PCS-OzTL48",[2]ARBOR!$A:$C,3,0),0.0001,IF(FX6&gt;VLOOKUP("PCS-OzTL48",[2]ARBOR!$A:$C,3,0),"Maior que CAP!",IF((DOLLAR(FX6+(VLOOKUP("PCS-OzTL48",[2]ARBOR!$A:$C,3,0)*-TRUNC(FX6/VLOOKUP("PCS-OzTL48",[2]ARBOR!$A:$C,3,0)-1,4)),6))&lt;&gt;(DOLLAR(VLOOKUP("PCS-OzTL48",[2]ARBOR!$A:$C,3,0),6)),-TRUNC(FX6/VLOOKUP("PCS-OzTL48",[2]ARBOR!$A:$C,3,0)-1,4)+0.0001,-TRUNC(FX6/VLOOKUP("PCS-OzTL48",[2]ARBOR!$A:$C,3,0)-1,4)))))</f>
        <v/>
      </c>
      <c r="FZ6" s="178" t="str">
        <f>IF(ISERROR(IF(FY6="","",VLOOKUP(($AY6&amp;FY6&amp;"Template desconto FLAT Plano Principal Oi TV nível conta"),[2]BENEFICIOS!$A:$G,5,0))),"Criar",IF(FY6="","",VLOOKUP(($AY6&amp;FY6&amp;"Template desconto FLAT Plano Principal Oi TV nível conta"),[2]BENEFICIOS!$A:$G,5,0)))</f>
        <v/>
      </c>
      <c r="GA6" s="103"/>
      <c r="GB6" s="101" t="str">
        <f>IF(GA6=0,"",IF(GA6=VLOOKUP("PCS-OzTL742",[2]ARBOR!$A:$C,3,0),0.0001,IF(GA6&gt;VLOOKUP("PCS-OzTL742",[2]ARBOR!$A:$C,3,0),"Maior que CAP!",IF((DOLLAR(GA6+(VLOOKUP("PCS-OzTL742",[2]ARBOR!$A:$C,3,0)*-TRUNC(GA6/VLOOKUP("PCS-OzTL742",[2]ARBOR!$A:$C,3,0)-1,4)),6))&lt;&gt;(DOLLAR(VLOOKUP("PCS-OzTL742",[2]ARBOR!$A:$C,3,0),6)),-TRUNC(GA6/VLOOKUP("PCS-OzTL742",[2]ARBOR!$A:$C,3,0)-1,4)+0.0001,-TRUNC(GA6/VLOOKUP("PCS-OzTL742",[2]ARBOR!$A:$C,3,0)-1,4)))))</f>
        <v/>
      </c>
      <c r="GC6" s="178" t="str">
        <f>IF(ISERROR(IF(GB6="","",VLOOKUP(($AY6&amp;GB6&amp;"Template desconto FLAT Plano Principal Oi TV nível conta"),[2]BENEFICIOS!$A:$G,5,0))),"Criar",IF(GB6="","",VLOOKUP(($AY6&amp;GB6&amp;"Template desconto FLAT Plano Principal Oi TV nível conta"),[2]BENEFICIOS!$A:$G,5,0)))</f>
        <v/>
      </c>
      <c r="GD6" s="103">
        <v>169.9</v>
      </c>
      <c r="GE6" s="101">
        <f>IF(GD6=0,"",IF(GD6=VLOOKUP("PCS-OzTL747",[2]ARBOR!$A:$C,3,0),0.0001,IF(GD6&gt;VLOOKUP("PCS-OzTL747",[2]ARBOR!$A:$C,3,0),"Maior que CAP!",IF((DOLLAR(GD6+(VLOOKUP("PCS-OzTL747",[2]ARBOR!$A:$C,3,0)*-TRUNC(GD6/VLOOKUP("PCS-OzTL747",[2]ARBOR!$A:$C,3,0)-1,4)),6))&lt;&gt;(DOLLAR(VLOOKUP("PCS-OzTL747",[2]ARBOR!$A:$C,3,0),6)),-TRUNC(GD6/VLOOKUP("PCS-OzTL747",[2]ARBOR!$A:$C,3,0)-1,4)+0.0001,-TRUNC(GD6/VLOOKUP("PCS-OzTL747",[2]ARBOR!$A:$C,3,0)-1,4)))))</f>
        <v>0.34329999999999999</v>
      </c>
      <c r="GF6" s="178" t="str">
        <f>IF(ISERROR(IF(GE6="","",VLOOKUP(($AY6&amp;GE6&amp;"Template desconto FLAT Plano Principal Oi TV nível conta"),[2]BENEFICIOS!$A:$G,5,0))),"Criar",IF(GE6="","",VLOOKUP(($AY6&amp;GE6&amp;"Template desconto FLAT Plano Principal Oi TV nível conta"),[2]BENEFICIOS!$A:$G,5,0)))</f>
        <v>MKT-1-10140956051</v>
      </c>
      <c r="GG6" s="103"/>
      <c r="GH6" s="101" t="str">
        <f>IF(GG6=0,"",IF(GG6=VLOOKUP("PCS-OzTL746",[2]ARBOR!$A:$C,3,0),0.0001,IF(GG6&gt;VLOOKUP("PCS-OzTL746",[2]ARBOR!$A:$C,3,0),"Maior que CAP!",IF((DOLLAR(GG6+(VLOOKUP("PCS-OzTL746",[2]ARBOR!$A:$C,3,0)*-TRUNC(GG6/VLOOKUP("PCS-OzTL746",[2]ARBOR!$A:$C,3,0)-1,4)),6))&lt;&gt;(DOLLAR(VLOOKUP("PCS-OzTL746",[2]ARBOR!$A:$C,3,0),6)),-TRUNC(GG6/VLOOKUP("PCS-OzTL746",[2]ARBOR!$A:$C,3,0)-1,4)+0.0001,-TRUNC(GG6/VLOOKUP("PCS-OzTL746",[2]ARBOR!$A:$C,3,0)-1,4)))))</f>
        <v/>
      </c>
      <c r="GI6" s="178" t="str">
        <f>IF(ISERROR(IF(GH6="","",VLOOKUP(($AY6&amp;GH6&amp;"Template desconto FLAT Plano Principal Oi TV nível conta"),[2]BENEFICIOS!$A:$G,5,0))),"Criar",IF(GH6="","",VLOOKUP(($AY6&amp;GH6&amp;"Template desconto FLAT Plano Principal Oi TV nível conta"),[2]BENEFICIOS!$A:$G,5,0)))</f>
        <v/>
      </c>
      <c r="GJ6" s="103"/>
      <c r="GK6" s="101" t="str">
        <f>IF(GJ6=0,"",IF(GJ6=VLOOKUP("PCS-OzTL748",[2]ARBOR!$A:$C,3,0),0.0001,IF(GJ6&gt;VLOOKUP("PCS-OzTL748",[2]ARBOR!$A:$C,3,0),"Maior que CAP!",IF((DOLLAR(GJ6+(VLOOKUP("PCS-OzTL748",[2]ARBOR!$A:$C,3,0)*-TRUNC(GJ6/VLOOKUP("PCS-OzTL748",[2]ARBOR!$A:$C,3,0)-1,4)),6))&lt;&gt;(DOLLAR(VLOOKUP("PCS-OzTL748",[2]ARBOR!$A:$C,3,0),6)),-TRUNC(GJ6/VLOOKUP("PCS-OzTL748",[2]ARBOR!$A:$C,3,0)-1,4)+0.0001,-TRUNC(GJ6/VLOOKUP("PCS-OzTL748",[2]ARBOR!$A:$C,3,0)-1,4)))))</f>
        <v/>
      </c>
      <c r="GL6" s="178" t="str">
        <f>IF(ISERROR(IF(GK6="","",VLOOKUP(($AY6&amp;GK6&amp;"Template desconto FLAT Plano Principal Oi TV nível conta"),[2]BENEFICIOS!$A:$G,5,0))),"Criar",IF(GK6="","",VLOOKUP(($AY6&amp;GK6&amp;"Template desconto FLAT Plano Principal Oi TV nível conta"),[2]BENEFICIOS!$A:$G,5,0)))</f>
        <v/>
      </c>
      <c r="GM6" s="103">
        <v>75</v>
      </c>
      <c r="GN6" s="101">
        <f>IF(GM6=0,"",IF(GM6=VLOOKUP("PCS-OzTL34",[2]ARBOR!$A:$C,3,0),0.0001,IF(GM6&gt;VLOOKUP("PCS-OzTL34",[2]ARBOR!$A:$C,3,0),"Maior que CAP!",IF((DOLLAR(GM6+(VLOOKUP("PCS-OzTL34",[2]ARBOR!$A:$C,3,0)*-TRUNC(GM6/VLOOKUP("PCS-OzTL34",[2]ARBOR!$A:$C,3,0)-1,4)),6))&lt;&gt;(DOLLAR(VLOOKUP("PCS-OzTL34",[2]ARBOR!$A:$C,3,0),6)),-TRUNC(GM6/VLOOKUP("PCS-OzTL34",[2]ARBOR!$A:$C,3,0)-1,4)+0.0001,-TRUNC(GM6/VLOOKUP("PCS-OzTL34",[2]ARBOR!$A:$C,3,0)-1,4)))))</f>
        <v>0.31900000000000001</v>
      </c>
      <c r="GO6" s="178" t="s">
        <v>178</v>
      </c>
      <c r="GP6" s="103">
        <v>19.899999999999999</v>
      </c>
      <c r="GQ6" s="101">
        <f>IF(GP6=0,"",IF(GP6=VLOOKUP("PCS-OzTL31",[2]ARBOR!$A:$C,3,0),0.0001,IF(GP6&gt;VLOOKUP("PCS-OzTL31",[2]ARBOR!$A:$C,3,0),"Maior que CAP!",IF((DOLLAR(GP6+(VLOOKUP("PCS-OzTL31",[2]ARBOR!$A:$C,3,0)*-TRUNC(GP6/VLOOKUP("PCS-OzTL31",[2]ARBOR!$A:$C,3,0)-1,4)),6))&lt;&gt;(DOLLAR(VLOOKUP("PCS-OzTL31",[2]ARBOR!$A:$C,3,0),6)),-TRUNC(GP6/VLOOKUP("PCS-OzTL31",[2]ARBOR!$A:$C,3,0)-1,4)+0.0001,-TRUNC(GP6/VLOOKUP("PCS-OzTL31",[2]ARBOR!$A:$C,3,0)-1,4)))))</f>
        <v>9.1800000000000007E-2</v>
      </c>
      <c r="GR6" s="178" t="s">
        <v>179</v>
      </c>
      <c r="GS6" s="103">
        <v>19.899999999999999</v>
      </c>
      <c r="GT6" s="101">
        <f>IF(GS6=0,"",IF(GS6=VLOOKUP("PCS-OzTL32",[2]ARBOR!$A:$C,3,0),0.0001,IF(GS6&gt;VLOOKUP("PCS-OzTL32",[2]ARBOR!$A:$C,3,0),"Maior que CAP!",IF((DOLLAR(GS6+(VLOOKUP("PCS-OzTL32",[2]ARBOR!$A:$C,3,0)*-TRUNC(GS6/VLOOKUP("PCS-OzTL32",[2]ARBOR!$A:$C,3,0)-1,4)),6))&lt;&gt;(DOLLAR(VLOOKUP("PCS-OzTL32",[2]ARBOR!$A:$C,3,0),6)),-TRUNC(GS6/VLOOKUP("PCS-OzTL32",[2]ARBOR!$A:$C,3,0)-1,4)+0.0001,-TRUNC(GS6/VLOOKUP("PCS-OzTL32",[2]ARBOR!$A:$C,3,0)-1,4)))))</f>
        <v>9.1800000000000007E-2</v>
      </c>
      <c r="GU6" s="178" t="s">
        <v>180</v>
      </c>
      <c r="GV6" s="103">
        <v>29.9</v>
      </c>
      <c r="GW6" s="101">
        <f>IF(GV6=0,"",IF(GV6=VLOOKUP("PCS-OzTL33",[2]ARBOR!$A:$C,3,0),0.0001,IF(GV6&gt;VLOOKUP("PCS-OzTL33",[2]ARBOR!$A:$C,3,0),"Maior que CAP!",IF((DOLLAR(GV6+(VLOOKUP("PCS-OzTL33",[2]ARBOR!$A:$C,3,0)*-TRUNC(GV6/VLOOKUP("PCS-OzTL33",[2]ARBOR!$A:$C,3,0)-1,4)),6))&lt;&gt;(DOLLAR(VLOOKUP("PCS-OzTL33",[2]ARBOR!$A:$C,3,0),6)),-TRUNC(GV6/VLOOKUP("PCS-OzTL33",[2]ARBOR!$A:$C,3,0)-1,4)+0.0001,-TRUNC(GV6/VLOOKUP("PCS-OzTL33",[2]ARBOR!$A:$C,3,0)-1,4)))))</f>
        <v>9.1800000000000007E-2</v>
      </c>
      <c r="GX6" s="178" t="s">
        <v>181</v>
      </c>
      <c r="GY6" s="103">
        <v>14.9</v>
      </c>
      <c r="GZ6" s="101">
        <f>IF(GY6=0,"",IF(GY6=VLOOKUP("PCS-OzTL503",[2]ARBOR!$A:$C,3,0),0.0001,IF(GY6&gt;VLOOKUP("PCS-OzTL503",[2]ARBOR!$A:$C,3,0),"Maior que CAP!",IF((DOLLAR(GY6+(VLOOKUP("PCS-OzTL503",[2]ARBOR!$A:$C,3,0)*-TRUNC(GY6/VLOOKUP("PCS-OzTL503",[2]ARBOR!$A:$C,3,0)-1,4)),6))&lt;&gt;(DOLLAR(VLOOKUP("PCS-OzTL503",[2]ARBOR!$A:$C,3,0),6)),-TRUNC(GY6/VLOOKUP("PCS-OzTL503",[2]ARBOR!$A:$C,3,0)-1,4)+0.0001,-TRUNC(GY6/VLOOKUP("PCS-OzTL503",[2]ARBOR!$A:$C,3,0)-1,4)))))</f>
        <v>9.1499999999999998E-2</v>
      </c>
      <c r="HA6" s="178" t="s">
        <v>182</v>
      </c>
      <c r="HB6" s="103">
        <v>10</v>
      </c>
      <c r="HC6" s="101">
        <f>IF(HB6=0,"",IF(HB6=VLOOKUP("PCS-OzTL500",[2]ARBOR!$A:$C,3,0),0.0001,IF(HB6&gt;VLOOKUP("PCS-OzTL500",[2]ARBOR!$A:$C,3,0),"Maior que CAP!",IF((DOLLAR(HB6+(VLOOKUP("PCS-OzTL500",[2]ARBOR!$A:$C,3,0)*-TRUNC(HB6/VLOOKUP("PCS-OzTL500",[2]ARBOR!$A:$C,3,0)-1,4)),6))&lt;&gt;(DOLLAR(VLOOKUP("PCS-OzTL500",[2]ARBOR!$A:$C,3,0),6)),-TRUNC(HB6/VLOOKUP("PCS-OzTL500",[2]ARBOR!$A:$C,3,0)-1,4)+0.0001,-TRUNC(HB6/VLOOKUP("PCS-OzTL500",[2]ARBOR!$A:$C,3,0)-1,4)))))</f>
        <v>9.1800000000000007E-2</v>
      </c>
      <c r="HD6" s="178" t="s">
        <v>183</v>
      </c>
      <c r="HE6" s="103" t="s">
        <v>184</v>
      </c>
      <c r="HF6" s="101"/>
      <c r="HG6" s="178"/>
      <c r="HH6" s="103" t="s">
        <v>185</v>
      </c>
      <c r="HI6" s="101"/>
      <c r="HJ6" s="178"/>
      <c r="HK6" s="103" t="s">
        <v>186</v>
      </c>
      <c r="HL6" s="101"/>
      <c r="HM6" s="178"/>
      <c r="HN6" s="103" t="s">
        <v>187</v>
      </c>
      <c r="HO6" s="101"/>
      <c r="HP6" s="178"/>
      <c r="HQ6" s="103" t="s">
        <v>188</v>
      </c>
      <c r="HR6" s="101"/>
      <c r="HS6" s="178"/>
      <c r="HT6" s="103">
        <v>24.9</v>
      </c>
      <c r="HU6" s="101">
        <f>IF(HT6=0,"",IF(HT6=VLOOKUP("PCS-OzTL99",[2]ARBOR!$A:$C,3,0),0.0001,IF(HT6&gt;VLOOKUP("PCS-OzTL99",[2]ARBOR!$A:$C,3,0),"Maior que CAP!",IF((DOLLAR(HT6+(VLOOKUP("PCS-OzTL99",[2]ARBOR!$A:$C,3,0)*-TRUNC(HT6/VLOOKUP("PCS-OzTL99",[2]ARBOR!$A:$C,3,0)-1,4)),6))&lt;&gt;(DOLLAR(VLOOKUP("PCS-OzTL99",[2]ARBOR!$A:$C,3,0),6)),-TRUNC(HT6/VLOOKUP("PCS-OzTL99",[2]ARBOR!$A:$C,3,0)-1,4)+0.0001,-TRUNC(HT6/VLOOKUP("PCS-OzTL99",[2]ARBOR!$A:$C,3,0)-1,4)))))</f>
        <v>0.16729999999999998</v>
      </c>
      <c r="HV6" s="179" t="s">
        <v>189</v>
      </c>
      <c r="HW6" s="170" t="s">
        <v>167</v>
      </c>
      <c r="HX6" s="178" t="str">
        <f t="shared" si="4"/>
        <v>PCS-34704</v>
      </c>
      <c r="HY6" s="180" t="str">
        <f>IFERROR((IF(AZ6="","",VLOOKUP(AZ6,[2]ARBOR!A:C,3,0))),"")</f>
        <v/>
      </c>
      <c r="HZ6" s="181"/>
      <c r="IA6" s="158" t="str">
        <f>IF(HZ6="","",ROUND(1-(HZ6/VLOOKUP(AZ6&amp;"ASS",[2]ARBOR!A:C,3,0)),4))</f>
        <v/>
      </c>
      <c r="IB6" s="158"/>
      <c r="IC6" s="182"/>
      <c r="ID6" s="183"/>
      <c r="IE6" s="101" t="str">
        <f>IF(ID6="","",ROUND(IF(ID6=0,"",IF(ID6=HY6,0.0001,1-((ID6+(VLOOKUP(AZ6&amp;"ASS",[2]ARBOR!A:C,3,0)-HZ6))/HY6))),4))</f>
        <v/>
      </c>
      <c r="IF6" s="101" t="str">
        <f>IF(ISERROR(IF(IE6="","",VLOOKUP(($AY6&amp;IE6&amp;"Template de desconto percentual FLAT Móvel - Conta Total - Varejo - Ganho Tributário Cross"),[2]BENEFICIOS!$A:$E,5,0))),"Criar",IF(IE6="","",VLOOKUP(($AY6&amp;IE6&amp;"Template de desconto percentual FLAT Móvel - Conta Total - Varejo - Ganho Tributário Cross"),[2]BENEFICIOS!$A:$E,5,0)))</f>
        <v/>
      </c>
      <c r="IG6" s="167"/>
      <c r="IH6" s="101"/>
      <c r="II6" s="184"/>
      <c r="IJ6" s="185"/>
      <c r="IK6" s="101"/>
      <c r="IL6" s="101"/>
      <c r="IM6" s="186"/>
      <c r="IN6" s="186"/>
      <c r="IO6" s="187"/>
      <c r="IP6" s="188" t="str">
        <f>IF(IO6=0,"",IF(IO6=VLOOKUP("PCS-813566",[2]ARBOR!$A:$C,3,0),0.0001,IF(IO6&gt;VLOOKUP("PCS-813566",[2]ARBOR!$A:$C,3,0),"Maior que CAP!",ROUND(-1*(IO6/VLOOKUP("PCS-813566",[2]ARBOR!$A:$C,3,0)-1),4))))</f>
        <v/>
      </c>
      <c r="IQ6" s="189" t="str">
        <f>IF(ISERROR(IF(IP6="","",VLOOKUP(("Oi Internet Pra Celular 300MB"&amp;IP6&amp;"Template Flat Instância Dados"),[2]BENEFICIOS!$A:$E,5,0))),"Criar",IF(IP6="","",VLOOKUP(("Oi Internet Pra Celular 300MB"&amp;IP6&amp;"Template Flat Instância Dados"),[2]BENEFICIOS!$A:$E,5,0)))</f>
        <v/>
      </c>
      <c r="IR6" s="190"/>
      <c r="IS6" s="191" t="str">
        <f>IF(IR6=0,"",IF(IR6=VLOOKUP("sva_bancas",[2]ARBOR!$A:$C,3,0),0.0001,IF(IR6&gt;VLOOKUP("sva_livros",[2]ARBOR!$A:$C,3,0),"Maior que CAP!",ROUND(-1*(IR6/VLOOKUP("sva_bancas",[2]ARBOR!$A:$C,3,0)-1),4))))</f>
        <v/>
      </c>
      <c r="IT6" s="192" t="str">
        <f>IF(ISERROR(IF(IS6="","",VLOOKUP(("Oi Internet Pra Celular 300MB"&amp;IS6&amp;"Template Desconto % SVA DADOS B2C"),[2]BENEFICIOS!$A:$E,5,0))),"Criar",IF(IS6="","",VLOOKUP(("Oi Internet Pra Celular 300MB"&amp;IS6&amp;"Template Desconto % SVA DADOS B2C"),[2]BENEFICIOS!$A:$E,5,0)))</f>
        <v/>
      </c>
      <c r="IU6" s="187"/>
      <c r="IV6" s="188" t="str">
        <f>IF(IU6=0,"",IF(IU6=VLOOKUP("PCS-813564",[2]ARBOR!$A:$C,3,0),0.0001,IF(IU6&gt;VLOOKUP("PCS-813564",[2]ARBOR!$A:$C,3,0),"Maior que CAP!",ROUND(-1*(IU6/VLOOKUP("PCS-813564",[2]ARBOR!$A:$C,3,0)-1),4))))</f>
        <v/>
      </c>
      <c r="IW6" s="189" t="str">
        <f>IF(ISERROR(IF(IV6="","",VLOOKUP(("Oi Internet Pra Celular 500MB"&amp;IV6&amp;"Template Flat Instância Dados"),[2]BENEFICIOS!$A:$E,5,0))),"Criar",IF(IV6="","",VLOOKUP(("Oi Internet Pra Celular 500MB"&amp;IV6&amp;"Template Flat Instância Dados"),[2]BENEFICIOS!$A:$E,5,0)))</f>
        <v/>
      </c>
      <c r="IX6" s="190"/>
      <c r="IY6" s="191" t="str">
        <f>IF(IX6=0,"",IF(IX6=VLOOKUP("sva_livros",[2]ARBOR!$A:$C,3,0),0.0001,IF(IX6&gt;VLOOKUP("sva_livros",[2]ARBOR!$A:$C,3,0),"Maior que CAP!",ROUND(-1*(IX6/VLOOKUP("sva_livros",[2]ARBOR!$A:$C,3,0)-1),4))))</f>
        <v/>
      </c>
      <c r="IZ6" s="192" t="str">
        <f>IF(ISERROR(IF(IY6="","",VLOOKUP(("Oi Internet Pra Celular 500MB"&amp;IY6&amp;"Template Desconto % SVA DADOS B2C"),[2]BENEFICIOS!$A:$E,5,0))),"Criar",IF(IY6="","",VLOOKUP(("Oi Internet Pra Celular 500MB"&amp;IY6&amp;"Template Desconto % SVA DADOS B2C"),[2]BENEFICIOS!$A:$E,5,0)))</f>
        <v/>
      </c>
      <c r="JA6" s="187"/>
      <c r="JB6" s="188" t="str">
        <f>IF(JA6=0,"",IF(JA6=VLOOKUP("PCS-10357",[2]ARBOR!$A:$C,3,0),0.0001,IF(JA6&gt;VLOOKUP("PCS-10357",[2]ARBOR!$A:$C,3,0),"Maior que CAP!",ROUND(-1*(JA6/VLOOKUP("PCS-10357",[2]ARBOR!$A:$C,3,0)-1),4))))</f>
        <v/>
      </c>
      <c r="JC6" s="189" t="str">
        <f>IF(ISERROR(IF(JB6="","",VLOOKUP(("Oi Internet Pra Celular 1GB"&amp;JB6&amp;"Template Flat Instância Dados"),[2]BENEFICIOS!$A:$E,5,0))),"Criar",IF(JB6="","",VLOOKUP(("Oi Internet Pra Celular 1GB"&amp;JB6&amp;"Template Flat Instância Dados"),[2]BENEFICIOS!$A:$E,5,0)))</f>
        <v/>
      </c>
      <c r="JD6" s="190"/>
      <c r="JE6" s="191" t="str">
        <f>IF(JD6=0,"",IF(JD6=VLOOKUP("sva_livros",[2]ARBOR!$A:$C,3,0),0.0001,IF(JD6&gt;VLOOKUP("sva_livros",[2]ARBOR!$A:$C,3,0),"Maior que CAP!",ROUND(-1*(JD6/VLOOKUP("sva_livros",[2]ARBOR!$A:$C,3,0)-1),4))))</f>
        <v/>
      </c>
      <c r="JF6" s="192" t="str">
        <f>IF(ISERROR(IF(JE6="","",VLOOKUP(("Oi Internet Pra Celular 1GB"&amp;JE6&amp;"Template Desconto % SVA DADOS B2C"),[2]BENEFICIOS!$A:$E,5,0))),"Criar",IF(JE6="","",VLOOKUP(("Oi Internet Pra Celular 1GB"&amp;JE6&amp;"Template Desconto % SVA DADOS B2C"),[2]BENEFICIOS!$A:$E,5,0)))</f>
        <v/>
      </c>
      <c r="JG6" s="187"/>
      <c r="JH6" s="188" t="str">
        <f>IF(JG6=0,"",IF(JG6=VLOOKUP("PCS-813565",[2]ARBOR!$A:$C,3,0),0.0001,IF(JG6&gt;VLOOKUP("PCS-813565",[2]ARBOR!$A:$C,3,0),"Maior que CAP!",ROUND(-1*(JG6/VLOOKUP("PCS-813565",[2]ARBOR!$A:$C,3,0)-1),4))))</f>
        <v/>
      </c>
      <c r="JI6" s="189" t="str">
        <f>IF(ISERROR(IF(JH6="","",VLOOKUP(("Oi Internet Pra Celular 2GB"&amp;JH6&amp;"Template Flat Instância Dados"),[2]BENEFICIOS!$A:$E,5,0))),"Criar",IF(JH6="","",VLOOKUP(("Oi Internet Pra Celular 2GB"&amp;JH6&amp;"Template Flat Instância Dados"),[2]BENEFICIOS!$A:$E,5,0)))</f>
        <v/>
      </c>
      <c r="JJ6" s="190"/>
      <c r="JK6" s="191" t="str">
        <f>IF(JJ6=0,"",IF(JJ6=VLOOKUP("sva_livros",[2]ARBOR!$A:$C,3,0),0.0001,IF(JJ6&gt;VLOOKUP("sva_livros",[2]ARBOR!$A:$C,3,0),"Maior que CAP!",ROUND(-1*(JJ6/VLOOKUP("sva_livros",[2]ARBOR!$A:$C,3,0)-1),4))))</f>
        <v/>
      </c>
      <c r="JL6" s="192" t="str">
        <f>IF(ISERROR(IF(JK6="","",VLOOKUP(("Oi Internet Pra Celular 2GB"&amp;JK6&amp;"Template Desconto % SVA DADOS B2C"),[2]BENEFICIOS!$A:$E,5,0))),"Criar",IF(JK6="","",VLOOKUP(("Oi Internet Pra Celular 2GB"&amp;JK6&amp;"Template Desconto % SVA DADOS B2C"),[2]BENEFICIOS!$A:$E,5,0)))</f>
        <v/>
      </c>
      <c r="JM6" s="187"/>
      <c r="JN6" s="188" t="str">
        <f>IF(JM6=0,"",IF(JM6=VLOOKUP("PCS-7171B",[2]ARBOR!$A:$C,3,0),0.0001,IF(JM6&gt;VLOOKUP("PCS-7171B",[2]ARBOR!$A:$C,3,0),"Maior que CAP!",ROUND(-1*(JM6/VLOOKUP("PCS-7171B",[2]ARBOR!$A:$C,3,0)-1),4))))</f>
        <v/>
      </c>
      <c r="JO6" s="189" t="str">
        <f>IF(ISERROR(IF(JN6="","",VLOOKUP(("Oi Internet Pra Celular 3GB"&amp;JN6&amp;"Template Flat Instância Dados"),[2]BENEFICIOS!$A:$E,5,0))),"Criar",IF(JN6="","",VLOOKUP(("Oi Internet Pra Celular 3GB"&amp;JN6&amp;"Template Flat Instância Dados"),[2]BENEFICIOS!$A:$E,5,0)))</f>
        <v/>
      </c>
      <c r="JP6" s="190"/>
      <c r="JQ6" s="191" t="str">
        <f>IF(JP6=0,"",IF(JP6=VLOOKUP("sva_livros",[2]ARBOR!$A:$C,3,0),0.0001,IF(JP6&gt;VLOOKUP("sva_livros",[2]ARBOR!$A:$C,3,0),"Maior que CAP!",ROUND(-1*(JP6/VLOOKUP("sva_livros",[2]ARBOR!$A:$C,3,0)-1),4))))</f>
        <v/>
      </c>
      <c r="JR6" s="192" t="str">
        <f>IF(ISERROR(IF(JQ6="","",VLOOKUP(("Oi Internet Pra Celular 3GB"&amp;JQ6&amp;"Template Desconto % SVA DADOS B2C"),[2]BENEFICIOS!$A:$E,5,0))),"Criar",IF(JQ6="","",VLOOKUP(("Oi Internet Pra Celular 3GB"&amp;JQ6&amp;"Template Desconto % SVA DADOS B2C"),[2]BENEFICIOS!$A:$E,5,0)))</f>
        <v/>
      </c>
      <c r="JS6" s="187"/>
      <c r="JT6" s="188" t="str">
        <f>IF(JS6=0,"",IF(JS6=VLOOKUP("PCS-51793o08",[2]ARBOR!$A:$C,3,0),0.0001,IF(JS6&gt;VLOOKUP("PCS-51793o08",[2]ARBOR!$A:$C,3,0),"Maior que CAP!",ROUND(-1*(JS6/VLOOKUP("PCS-51793o08",[2]ARBOR!$A:$C,3,0)-1),4))))</f>
        <v/>
      </c>
      <c r="JU6" s="189" t="str">
        <f>IF(ISERROR(IF(JT6="","",VLOOKUP(("Oi Internet Pra Celular 5GB"&amp;JT6&amp;"Template Flat Instância Dados"),[2]BENEFICIOS!$A:$E,5,0))),"Criar",IF(JT6="","",VLOOKUP(("Oi Internet Pra Celular 5GB"&amp;JT6&amp;"Template Flat Instância Dados"),[2]BENEFICIOS!$A:$E,5,0)))</f>
        <v/>
      </c>
      <c r="JV6" s="190"/>
      <c r="JW6" s="191" t="str">
        <f>IF(JV6=0,"",IF(JV6=VLOOKUP("sva_curtas",[2]ARBOR!$A:$C,3,0),0.0001,IF(JV6&gt;VLOOKUP("sva_curtas",[2]ARBOR!$A:$C,3,0),"Maior que CAP!",ROUND(-1*(JV6/VLOOKUP("sva_curtas",[2]ARBOR!$A:$C,3,0)-1),4))))</f>
        <v/>
      </c>
      <c r="JX6" s="192" t="str">
        <f>IF(ISERROR(IF(JW6="","",VLOOKUP(("Oi Internet Pra Celular 5GB"&amp;JW6&amp;"Template Desconto % SVA DADOS B2C"),[2]BENEFICIOS!$A:$E,5,0))),"Criar",IF(JW6="","",VLOOKUP(("Oi Internet Pra Celular 5GB"&amp;JW6&amp;"Template Desconto % SVA DADOS B2C"),[2]BENEFICIOS!$A:$E,5,0)))</f>
        <v/>
      </c>
      <c r="JY6" s="187"/>
      <c r="JZ6" s="188" t="str">
        <f>IF(JY6=0,"",IF(JY6=VLOOKUP("PCS-7171A",[2]ARBOR!$A:$C,3,0),0.0001,IF(JY6&gt;VLOOKUP("PCS-7171A",[2]ARBOR!$A:$C,3,0),"Maior que CAP!",ROUND(-1*(JY6/VLOOKUP("PCS-7171A",[2]ARBOR!$A:$C,3,0)-1),4))))</f>
        <v/>
      </c>
      <c r="KA6" s="193" t="str">
        <f>IF(ISERROR(IF(JZ6="","",VLOOKUP(("Oi Internet Pra Celular 10GB"&amp;JZ6&amp;"Template Flat Instância Dados"),[2]BENEFICIOS!$A:$E,5,0))),"Criar",IF(JZ6="","",VLOOKUP(("Oi Internet Pra Celular 10GB"&amp;JZ6&amp;"Template Flat Instância Dados"),[2]BENEFICIOS!$A:$E,5,0)))</f>
        <v/>
      </c>
      <c r="KB6" s="190"/>
      <c r="KC6" s="191" t="str">
        <f>IF(KB6=0,"",IF(KB6=VLOOKUP("sva_curtas",[2]ARBOR!$A:$C,3,0),0.0001,IF(KB6&gt;VLOOKUP("sva_curtas",[2]ARBOR!$A:$C,3,0),"Maior que CAP!",ROUND(-1*(KB6/VLOOKUP("sva_curtas",[2]ARBOR!$A:$C,3,0)-1),4))))</f>
        <v/>
      </c>
      <c r="KD6" s="192" t="str">
        <f>IF(ISERROR(IF(KC6="","",VLOOKUP(("Oi Internet Pra Celular 10GB"&amp;KC6&amp;"Template Desconto % SVA DADOS B2C"),[2]BENEFICIOS!$A:$E,5,0))),"Criar",IF(KC6="","",VLOOKUP(("Oi Internet Pra Celular 10GB"&amp;KC6&amp;"Template Desconto % SVA DADOS B2C"),[2]BENEFICIOS!$A:$E,5,0)))</f>
        <v/>
      </c>
      <c r="KE6" s="194"/>
      <c r="KF6" s="195"/>
      <c r="KG6" s="196" t="s">
        <v>167</v>
      </c>
      <c r="KH6" s="197" t="s">
        <v>190</v>
      </c>
      <c r="KI6" s="198">
        <v>799</v>
      </c>
      <c r="KJ6" s="197">
        <v>12</v>
      </c>
      <c r="KK6" s="199" t="str">
        <f t="shared" si="5"/>
        <v>Oi benefício fidelização Multiprodutos</v>
      </c>
      <c r="KL6" s="200" t="str">
        <f t="shared" si="6"/>
        <v>PCS-Fk83324</v>
      </c>
      <c r="KM6" s="200" t="str">
        <f t="shared" si="7"/>
        <v>PCS-SBL553142</v>
      </c>
      <c r="KN6" s="201" t="s">
        <v>191</v>
      </c>
      <c r="KO6" s="202" t="s">
        <v>192</v>
      </c>
      <c r="KP6" s="202" t="s">
        <v>193</v>
      </c>
      <c r="KQ6" s="201" t="s">
        <v>194</v>
      </c>
      <c r="KR6" s="199" t="s">
        <v>195</v>
      </c>
      <c r="KS6" s="200" t="s">
        <v>196</v>
      </c>
      <c r="KT6" s="203" t="s">
        <v>197</v>
      </c>
      <c r="KU6" s="129"/>
      <c r="KV6" s="129"/>
      <c r="KW6" s="129"/>
      <c r="KX6" s="129"/>
      <c r="KY6" s="129"/>
      <c r="KZ6" s="129"/>
      <c r="LA6" s="129"/>
      <c r="LB6" s="129"/>
      <c r="LC6" s="129"/>
      <c r="LD6" s="129"/>
      <c r="LE6" s="129"/>
      <c r="LF6" s="129"/>
      <c r="LG6" s="129"/>
      <c r="LH6" s="129"/>
      <c r="LI6" s="129"/>
      <c r="LJ6" s="129"/>
      <c r="LK6" s="204"/>
      <c r="LL6" s="205"/>
      <c r="LM6" s="206"/>
      <c r="LN6" s="206"/>
      <c r="LO6" s="206"/>
      <c r="LP6" s="206"/>
      <c r="LQ6" s="206"/>
      <c r="LR6" s="206"/>
      <c r="LS6" s="206"/>
      <c r="LT6" s="206"/>
      <c r="LU6" s="207"/>
      <c r="LV6" t="s">
        <v>205</v>
      </c>
      <c r="LW6" t="s">
        <v>200</v>
      </c>
    </row>
    <row r="7" spans="1:335" x14ac:dyDescent="0.25">
      <c r="A7" s="134" t="s">
        <v>164</v>
      </c>
      <c r="B7" s="135" t="s">
        <v>165</v>
      </c>
      <c r="C7" s="135" t="s">
        <v>166</v>
      </c>
      <c r="D7" s="136" t="s">
        <v>167</v>
      </c>
      <c r="E7" s="137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9"/>
      <c r="Q7" s="139"/>
      <c r="R7" s="139"/>
      <c r="S7" s="140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208"/>
      <c r="AF7" s="138"/>
      <c r="AG7" s="138"/>
      <c r="AH7" s="142"/>
      <c r="AI7" s="209" t="s">
        <v>8</v>
      </c>
      <c r="AJ7" s="59" t="s">
        <v>168</v>
      </c>
      <c r="AK7" s="60" t="s">
        <v>169</v>
      </c>
      <c r="AL7" s="143">
        <v>43039</v>
      </c>
      <c r="AM7" s="144">
        <v>43159</v>
      </c>
      <c r="AN7" s="63" t="s">
        <v>170</v>
      </c>
      <c r="AO7" s="64" t="s">
        <v>170</v>
      </c>
      <c r="AP7" s="145"/>
      <c r="AQ7" s="145" t="s">
        <v>171</v>
      </c>
      <c r="AR7" s="145">
        <v>20</v>
      </c>
      <c r="AS7" s="145">
        <v>10000</v>
      </c>
      <c r="AT7" s="146" t="s">
        <v>172</v>
      </c>
      <c r="AU7" s="147" t="s">
        <v>167</v>
      </c>
      <c r="AV7" s="148" t="s">
        <v>173</v>
      </c>
      <c r="AW7" s="149" t="s">
        <v>173</v>
      </c>
      <c r="AX7" s="150" t="s">
        <v>8</v>
      </c>
      <c r="AY7" s="151" t="s">
        <v>203</v>
      </c>
      <c r="AZ7" s="152" t="str">
        <f>IF(ISERROR(VLOOKUP(AY7,[2]PLANOS!B:C,2,0)),"",VLOOKUP(AY7,[2]PLANOS!B:C,2,0))</f>
        <v>PCS-3PHipi</v>
      </c>
      <c r="BA7" s="153" t="s">
        <v>173</v>
      </c>
      <c r="BB7" s="154" t="str">
        <f t="shared" si="1"/>
        <v/>
      </c>
      <c r="BC7" s="155"/>
      <c r="BD7" s="156"/>
      <c r="BE7" s="157">
        <v>50.11</v>
      </c>
      <c r="BF7" s="101">
        <f>IF(BE7=0,"",IF(BE7=VLOOKUP("FIXO",[2]ARBOR!$A:$C,3,0),0.0001,IF(BE7&gt;VLOOKUP("FIXO",[2]ARBOR!$A:$C,3,0),"Maior que CAP!",IF((DOLLAR(BE7+(VLOOKUP("FIXO",[2]ARBOR!$A:$C,3,0)*-TRUNC(BE7/VLOOKUP("FIXO",[2]ARBOR!$A:$C,3,0)-1,4)),6))&lt;&gt;(DOLLAR(VLOOKUP("FIXO",[2]ARBOR!$A:$C,3,0),6)),-TRUNC(BE7/VLOOKUP("FIXO",[2]ARBOR!$A:$C,3,0)-1,4)+0.0001,-TRUNC(BE7/VLOOKUP("FIXO",[2]ARBOR!$A:$C,3,0)-1,4)))))</f>
        <v>0.33929999999999999</v>
      </c>
      <c r="BG7" s="158"/>
      <c r="BH7" s="101" t="str">
        <f>IF(BG7=0,"",IF(BG7=VLOOKUP("FIXO",[2]ARBOR!$A:$C,3,0),0.0001,IF(BG7&gt;VLOOKUP("FIXO",[2]ARBOR!$A:$C,3,0),"Maior que CAP!",IF((DOLLAR(BG7+(VLOOKUP("FIXO",[2]ARBOR!$A:$C,3,0)*-TRUNC(BG7/VLOOKUP("FIXO",[2]ARBOR!$A:$C,3,0)-1,4)),6))&lt;&gt;(DOLLAR(VLOOKUP("FIXO",[2]ARBOR!$A:$C,3,0),6)),-TRUNC(BG7/VLOOKUP("FIXO",[2]ARBOR!$A:$C,3,0)-1,4)+0.0001,-TRUNC(BG7/VLOOKUP("FIXO",[2]ARBOR!$A:$C,3,0)-1,4)))))</f>
        <v/>
      </c>
      <c r="BI7" s="101" t="str">
        <f>IF(ISERROR(IF(BF7="","",VLOOKUP(($AY7&amp;BF7&amp;"Template de desconto FLAT bundle - Fixo - Varejo - Ganho Tributário Cross"),[2]BENEFICIOS!$A:$E,5,0))),"Criar",IF(BF7="","",VLOOKUP(($AY7&amp;BF7&amp;"Template de desconto FLAT bundle - Fixo - Varejo - Ganho Tributário Cross"),[2]BENEFICIOS!$A:$E,5,0)))</f>
        <v>MKT-1-9825728196</v>
      </c>
      <c r="BJ7" s="159"/>
      <c r="BK7" s="101" t="str">
        <f t="shared" si="2"/>
        <v/>
      </c>
      <c r="BL7" s="160"/>
      <c r="BM7" s="101" t="str">
        <f>IF(BL7=0,"",IF(BL7=VLOOKUP("FIXO",[2]ARBOR!$A:$C,3,0),0.0001,IF(BL7&gt;VLOOKUP("FIXO",[2]ARBOR!$A:$C,3,0),"Maior que CAP!",IF(BF7&lt;&gt;"",-ROUND(BL7/VLOOKUP("FIXO",[2]ARBOR!$A:$C,3,0)-1,4)-BF7,-ROUND(BL7/VLOOKUP("FIXO",[2]ARBOR!$A:$C,3,0)-1,4)))))</f>
        <v/>
      </c>
      <c r="BN7" s="161"/>
      <c r="BO7" s="101" t="str">
        <f>IF(ISERROR(IF(BK7="","",VLOOKUP(($AY7&amp;BK7&amp;"Template de desconto FLAT bundle - Fixo - Varejo - Ganho Tributário Cross"),[2]BENEFICIOS!$A:$E,5,0))),"Criar",IF(BK7="","",VLOOKUP(($AY7&amp;BK7&amp;"Template de desconto FLAT bundle - Fixo - Varejo - Ganho Tributário Cross"),[2]BENEFICIOS!$A:$E,5,0)))</f>
        <v/>
      </c>
      <c r="BP7" s="162" t="s">
        <v>175</v>
      </c>
      <c r="BQ7" s="163" t="s">
        <v>176</v>
      </c>
      <c r="BR7" s="164" t="s">
        <v>173</v>
      </c>
      <c r="BS7" s="165" t="str">
        <f t="shared" si="0"/>
        <v/>
      </c>
      <c r="BT7" s="155"/>
      <c r="BU7" s="166"/>
      <c r="BV7" s="167" t="s">
        <v>104</v>
      </c>
      <c r="BW7" s="168">
        <v>44.9</v>
      </c>
      <c r="BX7" s="101">
        <f>IF(BW7=0,"",IF(BW7=VLOOKUP("PCS-30874g",[2]ARBOR!$A:$C,3,0),0.0001,IF(BW7&gt;VLOOKUP("PCS-30874g",[2]ARBOR!$A:$C,3,0),"Maior que CAP!",IF((DOLLAR(BW7+(VLOOKUP("PCS-30874g",[2]ARBOR!$A:$C,3,0)*-TRUNC(BW7/VLOOKUP("PCS-30874g",[2]ARBOR!$A:$C,3,0)-1,4)),6))&lt;&gt;(DOLLAR(VLOOKUP("PCS-30874g",[2]ARBOR!$A:$C,3,0),6)),-TRUNC(BW7/VLOOKUP("PCS-30874g",[2]ARBOR!$A:$C,3,0)-1,4)+0.0001,-TRUNC(BW7/VLOOKUP("PCS-30874g",[2]ARBOR!$A:$C,3,0)-1,4)))))</f>
        <v>0.53679999999999994</v>
      </c>
      <c r="BY7" s="163" t="str">
        <f>IF(ISERROR(IF(BX7="","",VLOOKUP(($AY7&amp;BX7&amp;"Template de desconto FLAT bundle - Velox XDSL - Varejo"),[2]BENEFICIOS!$A:$E,5,0))),"Criar",IF(BX7="","",VLOOKUP(($AY7&amp;BX7&amp;"Template de desconto FLAT bundle - Velox XDSL - Varejo"),[2]BENEFICIOS!$A:$E,5,0)))</f>
        <v>MKT-1-9829477373</v>
      </c>
      <c r="BZ7" s="167" t="s">
        <v>104</v>
      </c>
      <c r="CA7" s="168">
        <v>44.9</v>
      </c>
      <c r="CB7" s="101">
        <f>IF(CA7=0,"",IF(CA7=VLOOKUP("PCS-30577g",[2]ARBOR!$A:$C,3,0),0.0001,IF(CA7&gt;VLOOKUP("PCS-30577g",[2]ARBOR!$A:$C,3,0),"Maior que CAP!",IF((DOLLAR(CA7+(VLOOKUP("PCS-30577g",[2]ARBOR!$A:$C,3,0)*-TRUNC(CA7/VLOOKUP("PCS-30577g",[2]ARBOR!$A:$C,3,0)-1,4)),6))&lt;&gt;(DOLLAR(VLOOKUP("PCS-30577g",[2]ARBOR!$A:$C,3,0),6)),-TRUNC(CA7/VLOOKUP("PCS-30577g",[2]ARBOR!$A:$C,3,0)-1,4)+0.0001,-TRUNC(CA7/VLOOKUP("PCS-30577g",[2]ARBOR!$A:$C,3,0)-1,4)))))</f>
        <v>0.53679999999999994</v>
      </c>
      <c r="CC7" s="163" t="str">
        <f>IF(ISERROR(IF(CB7="","",VLOOKUP(($AY7&amp;CB7&amp;"Template de desconto FLAT bundle - Velox XDSL - Varejo"),[2]BENEFICIOS!$A:$E,5,0))),"Criar",IF(CB7="","",VLOOKUP(($AY7&amp;CB7&amp;"Template de desconto FLAT bundle - Velox XDSL - Varejo"),[2]BENEFICIOS!$A:$E,5,0)))</f>
        <v>MKT-1-9829477373</v>
      </c>
      <c r="CD7" s="167" t="s">
        <v>104</v>
      </c>
      <c r="CE7" s="168">
        <v>44.9</v>
      </c>
      <c r="CF7" s="101">
        <f>IF(CE7=0,"",IF(CE7=VLOOKUP("PCS-30604g",[2]ARBOR!$A:$C,3,0),0.0001,IF(CE7&gt;VLOOKUP("PCS-30604g",[2]ARBOR!$A:$C,3,0),"Maior que CAP!",IF((DOLLAR(CE7+(VLOOKUP("PCS-30604g",[2]ARBOR!$A:$C,3,0)*-TRUNC(CE7/VLOOKUP("PCS-30604g",[2]ARBOR!$A:$C,3,0)-1,4)),6))&lt;&gt;(DOLLAR(VLOOKUP("PCS-30604g",[2]ARBOR!$A:$C,3,0),6)),-TRUNC(CE7/VLOOKUP("PCS-30604g",[2]ARBOR!$A:$C,3,0)-1,4)+0.0001,-TRUNC(CE7/VLOOKUP("PCS-30604g",[2]ARBOR!$A:$C,3,0)-1,4)))))</f>
        <v>0.53679999999999994</v>
      </c>
      <c r="CG7" s="163" t="str">
        <f>IF(ISERROR(IF(CF7="","",VLOOKUP(($AY7&amp;CF7&amp;"Template de desconto FLAT bundle - Velox XDSL - Varejo"),[2]BENEFICIOS!$A:$E,5,0))),"Criar",IF(CF7="","",VLOOKUP(($AY7&amp;CF7&amp;"Template de desconto FLAT bundle - Velox XDSL - Varejo"),[2]BENEFICIOS!$A:$E,5,0)))</f>
        <v>MKT-1-9829477373</v>
      </c>
      <c r="CH7" s="167" t="s">
        <v>104</v>
      </c>
      <c r="CI7" s="168">
        <v>44.9</v>
      </c>
      <c r="CJ7" s="101">
        <f>IF(CI7=0,"",IF(CI7=VLOOKUP("PCS-30631g",[2]ARBOR!$A:$C,3,0),0.0001,IF(CI7&gt;VLOOKUP("PCS-30631g",[2]ARBOR!$A:$C,3,0),"Maior que CAP!",IF((DOLLAR(CI7+(VLOOKUP("PCS-30631g",[2]ARBOR!$A:$C,3,0)*-TRUNC(CI7/VLOOKUP("PCS-30631g",[2]ARBOR!$A:$C,3,0)-1,4)),6))&lt;&gt;(DOLLAR(VLOOKUP("PCS-30631g",[2]ARBOR!$A:$C,3,0),6)),-TRUNC(CI7/VLOOKUP("PCS-30631g",[2]ARBOR!$A:$C,3,0)-1,4)+0.0001,-TRUNC(CI7/VLOOKUP("PCS-30631g",[2]ARBOR!$A:$C,3,0)-1,4)))))</f>
        <v>0.54310000000000003</v>
      </c>
      <c r="CK7" s="163" t="str">
        <f>IF(ISERROR(IF(CJ7="","",VLOOKUP(($AY7&amp;CJ7&amp;"Template de desconto FLAT bundle - Velox XDSL - Varejo"),[2]BENEFICIOS!$A:$E,5,0))),"Criar",IF(CJ7="","",VLOOKUP(($AY7&amp;CJ7&amp;"Template de desconto FLAT bundle - Velox XDSL - Varejo"),[2]BENEFICIOS!$A:$E,5,0)))</f>
        <v>MKT-1-9828219079</v>
      </c>
      <c r="CL7" s="167"/>
      <c r="CM7" s="168"/>
      <c r="CN7" s="101" t="str">
        <f>IF(CM7=0,"",IF(CM7=VLOOKUP("PCS-30658g",[2]ARBOR!$A:$C,3,0),0.0001,IF(CM7&gt;VLOOKUP("PCS-30658g",[2]ARBOR!$A:$C,3,0),"Maior que CAP!",IF((DOLLAR(CM7+(VLOOKUP("PCS-30658g",[2]ARBOR!$A:$C,3,0)*-TRUNC(CM7/VLOOKUP("PCS-30658g",[2]ARBOR!$A:$C,3,0)-1,4)),6))&lt;&gt;(DOLLAR(VLOOKUP("PCS-30658g",[2]ARBOR!$A:$C,3,0),6)),-TRUNC(CM7/VLOOKUP("PCS-30658g",[2]ARBOR!$A:$C,3,0)-1,4)+0.0001,-TRUNC(CM7/VLOOKUP("PCS-30658g",[2]ARBOR!$A:$C,3,0)-1,4)))))</f>
        <v/>
      </c>
      <c r="CO7" s="163" t="str">
        <f>IF(ISERROR(IF(CN7="","",VLOOKUP(($AY7&amp;CN7&amp;"Template de desconto FLAT bundle - Velox XDSL - Varejo"),[2]BENEFICIOS!$A:$E,5,0))),"Criar",IF(CN7="","",VLOOKUP(($AY7&amp;CN7&amp;"Template de desconto FLAT bundle - Velox XDSL - Varejo"),[2]BENEFICIOS!$A:$E,5,0)))</f>
        <v/>
      </c>
      <c r="CP7" s="167"/>
      <c r="CQ7" s="168"/>
      <c r="CR7" s="101" t="str">
        <f>IF(CQ7=0,"",IF(CQ7=VLOOKUP("PCS-30685g",[2]ARBOR!$A:$C,3,0),0.0001,IF(CQ7&gt;VLOOKUP("PCS-30685g",[2]ARBOR!$A:$C,3,0),"Maior que CAP!",IF((DOLLAR(CQ7+(VLOOKUP("PCS-30685g",[2]ARBOR!$A:$C,3,0)*-TRUNC(CQ7/VLOOKUP("PCS-30685g",[2]ARBOR!$A:$C,3,0)-1,4)),6))&lt;&gt;(DOLLAR(VLOOKUP("PCS-30685g",[2]ARBOR!$A:$C,3,0),6)),-TRUNC(CQ7/VLOOKUP("PCS-30685g",[2]ARBOR!$A:$C,3,0)-1,4)+0.0001,-TRUNC(CQ7/VLOOKUP("PCS-30685g",[2]ARBOR!$A:$C,3,0)-1,4)))))</f>
        <v/>
      </c>
      <c r="CS7" s="163" t="str">
        <f>IF(ISERROR(IF(CR7="","",VLOOKUP(($AY7&amp;CR7&amp;"Template de desconto FLAT bundle - Velox XDSL - Varejo"),[2]BENEFICIOS!$A:$E,5,0))),"Criar",IF(CR7="","",VLOOKUP(($AY7&amp;CR7&amp;"Template de desconto FLAT bundle - Velox XDSL - Varejo"),[2]BENEFICIOS!$A:$E,5,0)))</f>
        <v/>
      </c>
      <c r="CT7" s="167"/>
      <c r="CU7" s="168"/>
      <c r="CV7" s="101" t="str">
        <f>IF(CU7=0,"",IF(CU7=VLOOKUP("PCS-30712g",[2]ARBOR!$A:$C,3,0),0.0001,IF(CU7&gt;VLOOKUP("PCS-30712g",[2]ARBOR!$A:$C,3,0),"Maior que CAP!",IF((DOLLAR(CU7+(VLOOKUP("PCS-30712g",[2]ARBOR!$A:$C,3,0)*-TRUNC(CU7/VLOOKUP("PCS-30712g",[2]ARBOR!$A:$C,3,0)-1,4)),6))&lt;&gt;(DOLLAR(VLOOKUP("PCS-30712g",[2]ARBOR!$A:$C,3,0),6)),-TRUNC(CU7/VLOOKUP("PCS-30712g",[2]ARBOR!$A:$C,3,0)-1,4)+0.0001,-TRUNC(CU7/VLOOKUP("PCS-30712g",[2]ARBOR!$A:$C,3,0)-1,4)))))</f>
        <v/>
      </c>
      <c r="CW7" s="163" t="str">
        <f>IF(ISERROR(IF(CV7="","",VLOOKUP(($AY7&amp;CV7&amp;"Template de desconto FLAT bundle - Velox XDSL - Varejo"),[2]BENEFICIOS!$A:$E,5,0))),"Criar",IF(CV7="","",VLOOKUP(($AY7&amp;CV7&amp;"Template de desconto FLAT bundle - Velox XDSL - Varejo"),[2]BENEFICIOS!$A:$E,5,0)))</f>
        <v/>
      </c>
      <c r="CX7" s="167"/>
      <c r="CY7" s="168"/>
      <c r="CZ7" s="101" t="str">
        <f>IF(CY7=0,"",IF(CY7=VLOOKUP("PCS-30739g",[2]ARBOR!$A:$C,3,0),0.0001,IF(CY7&gt;VLOOKUP("PCS-30739g",[2]ARBOR!$A:$C,3,0),"Maior que CAP!",IF((DOLLAR(CY7+(VLOOKUP("PCS-30739g",[2]ARBOR!$A:$C,3,0)*-TRUNC(CY7/VLOOKUP("PCS-30739g",[2]ARBOR!$A:$C,3,0)-1,4)),6))&lt;&gt;(DOLLAR(VLOOKUP("PCS-30739g",[2]ARBOR!$A:$C,3,0),6)),-TRUNC(CY7/VLOOKUP("PCS-30739g",[2]ARBOR!$A:$C,3,0)-1,4)+0.0001,-TRUNC(CY7/VLOOKUP("PCS-30739g",[2]ARBOR!$A:$C,3,0)-1,4)))))</f>
        <v/>
      </c>
      <c r="DA7" s="169" t="str">
        <f>IF(ISERROR(IF(CZ7="","",VLOOKUP(($AY7&amp;CZ7&amp;"Template de desconto FLAT bundle - Velox XDSL - Varejo"),[2]BENEFICIOS!$A:$E,5,0))),"Criar",IF(CZ7="","",VLOOKUP(($AY7&amp;CZ7&amp;"Template de desconto FLAT bundle - Velox XDSL - Varejo"),[2]BENEFICIOS!$A:$E,5,0)))</f>
        <v/>
      </c>
      <c r="DB7" s="170"/>
      <c r="DC7" s="171"/>
      <c r="DD7" s="101" t="str">
        <f>IF(DB7=0,"",IF(DB7=VLOOKUP("PCS-30739g",[2]ARBOR!$A:$C,3,0),0.0001,IF(DB7&gt;VLOOKUP("PCS-30739g",[2]ARBOR!$A:$C,3,0),"Maior que CAP!",IF((DOLLAR(DB7+(VLOOKUP("PCS-30739g",[2]ARBOR!$A:$C,3,0)*-TRUNC(DB7/VLOOKUP("PCS-30739g",[2]ARBOR!$A:$C,3,0)-1,4)),6))&lt;&gt;(DOLLAR(VLOOKUP("PCS-30739g",[2]ARBOR!$A:$C,3,0),6)),(-TRUNC(DB7/VLOOKUP("PCS-30739g",[2]ARBOR!$A:$C,3,0)-1,4)+0.0001)-CZ7,-TRUNC(DB7/VLOOKUP("PCS-30739g",[2]ARBOR!$A:$C,3,0)-1,4)-CZ7))))</f>
        <v/>
      </c>
      <c r="DE7" s="163" t="str">
        <f>IF(ISERROR(IF(DD7="","",VLOOKUP(($AY7&amp;DD7&amp;"Template de desconto percentual Bundle - Velox XDSL - Varejo"),[2]BENEFICIOS!$A:$E,5,0))),"Criar",IF(DD7="","",VLOOKUP(($AY7&amp;DD7&amp;"Template de desconto percentual Bundle - Velox XDSL - Varejo"),[2]BENEFICIOS!$A:$E,5,0)))</f>
        <v/>
      </c>
      <c r="DF7" s="167"/>
      <c r="DG7" s="168"/>
      <c r="DH7" s="101" t="str">
        <f>IF(DG7=0,"",IF(DG7=VLOOKUP("PCS-30766g",[2]ARBOR!$A:$C,3,0),0.0001,IF(DG7&gt;VLOOKUP("PCS-30766g",[2]ARBOR!$A:$C,3,0),"Maior que CAP!",IF((DOLLAR(DG7+(VLOOKUP("PCS-30766g",[2]ARBOR!$A:$C,3,0)*-TRUNC(DG7/VLOOKUP("PCS-30766g",[2]ARBOR!$A:$C,3,0)-1,4)),6))&lt;&gt;(DOLLAR(VLOOKUP("PCS-30766g",[2]ARBOR!$A:$C,3,0),6)),-TRUNC(DG7/VLOOKUP("PCS-30766g",[2]ARBOR!$A:$C,3,0)-1,4)+0.0001,-TRUNC(DG7/VLOOKUP("PCS-30766g",[2]ARBOR!$A:$C,3,0)-1,4)))))</f>
        <v/>
      </c>
      <c r="DI7" s="169" t="str">
        <f>IF(ISERROR(IF(DH7="","",VLOOKUP(($AY7&amp;DH7&amp;"Template de desconto FLAT bundle - Velox XDSL - Varejo"),[2]BENEFICIOS!$A:$E,5,0))),"Criar",IF(DH7="","",VLOOKUP(($AY7&amp;DH7&amp;"Template de desconto FLAT bundle - Velox XDSL - Varejo"),[2]BENEFICIOS!$A:$E,5,0)))</f>
        <v/>
      </c>
      <c r="DJ7" s="170"/>
      <c r="DK7" s="171"/>
      <c r="DL7" s="101" t="str">
        <f>IF(DJ7=0,"",IF(DJ7=VLOOKUP("PCS-30766g",[2]ARBOR!$A:$C,3,0),0.0001,IF(DJ7&gt;VLOOKUP("PCS-30766g",[2]ARBOR!$A:$C,3,0),"Maior que CAP!",IF((DOLLAR(DJ7+(VLOOKUP("PCS-30766g",[2]ARBOR!$A:$C,3,0)*-TRUNC(DJ7/VLOOKUP("PCS-30766g",[2]ARBOR!$A:$C,3,0)-1,4)),6))&lt;&gt;(DOLLAR(VLOOKUP("PCS-30766g",[2]ARBOR!$A:$C,3,0),6)),(-TRUNC(DJ7/VLOOKUP("PCS-30766g",[2]ARBOR!$A:$C,3,0)-1,4)+0.0001)-DH7,-TRUNC(DJ7/VLOOKUP("PCS-30766g",[2]ARBOR!$A:$C,3,0)-1,4)-DH7))))</f>
        <v/>
      </c>
      <c r="DM7" s="163" t="str">
        <f>IF(ISERROR(IF(DL7="","",VLOOKUP(($AY7&amp;DL7&amp;"Template de desconto percentual Bundle - Velox XDSL - Varejo"),[2]BENEFICIOS!$A:$E,5,0))),"Criar",IF(DL7="","",VLOOKUP(($AY7&amp;DL7&amp;"Template de desconto percentual Bundle - Velox XDSL - Varejo"),[2]BENEFICIOS!$A:$E,5,0)))</f>
        <v/>
      </c>
      <c r="DN7" s="167"/>
      <c r="DO7" s="168"/>
      <c r="DP7" s="101" t="str">
        <f>IF(DO7=0,"",IF(DO7=VLOOKUP("PCS-30793g",[2]ARBOR!$A:$C,3,0),0.0001,IF(DO7&gt;VLOOKUP("PCS-30793g",[2]ARBOR!$A:$C,3,0),"Maior que CAP!",IF((DOLLAR(DO7+(VLOOKUP("PCS-30793g",[2]ARBOR!$A:$C,3,0)*-TRUNC(DO7/VLOOKUP("PCS-30793g",[2]ARBOR!$A:$C,3,0)-1,4)),6))&lt;&gt;(DOLLAR(VLOOKUP("PCS-30793g",[2]ARBOR!$A:$C,3,0),6)),-TRUNC(DO7/VLOOKUP("PCS-30793g",[2]ARBOR!$A:$C,3,0)-1,4)+0.0001,-TRUNC(DO7/VLOOKUP("PCS-30793g",[2]ARBOR!$A:$C,3,0)-1,4)))))</f>
        <v/>
      </c>
      <c r="DQ7" s="169" t="str">
        <f>IF(ISERROR(IF(DP7="","",VLOOKUP(($AY7&amp;DP7&amp;"Template de desconto FLAT bundle - Velox XDSL - Varejo"),[2]BENEFICIOS!$A:$E,5,0))),"Criar",IF(DP7="","",VLOOKUP(($AY7&amp;DP7&amp;"Template de desconto FLAT bundle - Velox XDSL - Varejo"),[2]BENEFICIOS!$A:$E,5,0)))</f>
        <v/>
      </c>
      <c r="DR7" s="170"/>
      <c r="DS7" s="171"/>
      <c r="DT7" s="101" t="str">
        <f>IF(DR7=0,"",IF(DR7=VLOOKUP("PCS-30793g",[2]ARBOR!$A:$C,3,0),0.0001,IF(DR7&gt;VLOOKUP("PCS-30793g",[2]ARBOR!$A:$C,3,0),"Maior que CAP!",IF((DOLLAR(DR7+(VLOOKUP("PCS-30793g",[2]ARBOR!$A:$C,3,0)*-TRUNC(DR7/VLOOKUP("PCS-30793g",[2]ARBOR!$A:$C,3,0)-1,4)),6))&lt;&gt;(DOLLAR(VLOOKUP("PCS-30793g",[2]ARBOR!$A:$C,3,0),6)),(-TRUNC(DR7/VLOOKUP("PCS-30793g",[2]ARBOR!$A:$C,3,0)-1,4)+0.0001)-DP7,-TRUNC(DR7/VLOOKUP("PCS-30793g",[2]ARBOR!$A:$C,3,0)-1,4)-DP7))))</f>
        <v/>
      </c>
      <c r="DU7" s="163" t="str">
        <f>IF(ISERROR(IF(DT7="","",VLOOKUP(($AY7&amp;DT7&amp;"Template de desconto percentual Bundle - Velox XDSL - Varejo"),[2]BENEFICIOS!$A:$E,5,0))),"Criar",IF(DT7="","",VLOOKUP(($AY7&amp;DT7&amp;"Template de desconto percentual Bundle - Velox XDSL - Varejo"),[2]BENEFICIOS!$A:$E,5,0)))</f>
        <v/>
      </c>
      <c r="DV7" s="167"/>
      <c r="DW7" s="168"/>
      <c r="DX7" s="101" t="str">
        <f>IF(DW7=0,"",IF(DW7=VLOOKUP("PCS-30820g",[2]ARBOR!$A:$C,3,0),0.0001,IF(DW7&gt;VLOOKUP("PCS-30820g",[2]ARBOR!$A:$C,3,0),"Maior que CAP!",IF((DOLLAR(DW7+(VLOOKUP("PCS-30820g",[2]ARBOR!$A:$C,3,0)*-TRUNC(DW7/VLOOKUP("PCS-30820g",[2]ARBOR!$A:$C,3,0)-1,4)),6))&lt;&gt;(DOLLAR(VLOOKUP("PCS-30820g",[2]ARBOR!$A:$C,3,0),6)),-TRUNC(DW7/VLOOKUP("PCS-30820g",[2]ARBOR!$A:$C,3,0)-1,4)+0.0001,-TRUNC(DW7/VLOOKUP("PCS-30820g",[2]ARBOR!$A:$C,3,0)-1,4)))))</f>
        <v/>
      </c>
      <c r="DY7" s="169" t="str">
        <f>IF(ISERROR(IF(DX7="","",VLOOKUP(($AY7&amp;DX7&amp;"Template de desconto FLAT bundle - Velox XDSL - Varejo"),[2]BENEFICIOS!$A:$E,5,0))),"Criar",IF(DX7="","",VLOOKUP(($AY7&amp;DX7&amp;"Template de desconto FLAT bundle - Velox XDSL - Varejo"),[2]BENEFICIOS!$A:$E,5,0)))</f>
        <v/>
      </c>
      <c r="DZ7" s="170"/>
      <c r="EA7" s="171"/>
      <c r="EB7" s="101" t="str">
        <f>IF(DZ7=0,"",IF(DZ7=VLOOKUP("PCS-30820g",[2]ARBOR!$A:$C,3,0),0.0001,IF(DZ7&gt;VLOOKUP("PCS-30820g",[2]ARBOR!$A:$C,3,0),"Maior que CAP!",IF((DOLLAR(DZ7+(VLOOKUP("PCS-30820g",[2]ARBOR!$A:$C,3,0)*-TRUNC(DZ7/VLOOKUP("PCS-30820g",[2]ARBOR!$A:$C,3,0)-1,4)),6))&lt;&gt;(DOLLAR(VLOOKUP("PCS-30820g",[2]ARBOR!$A:$C,3,0),6)),(-TRUNC(DZ7/VLOOKUP("PCS-30820g",[2]ARBOR!$A:$C,3,0)-1,4)+0.0001)-DX7,-TRUNC(DZ7/VLOOKUP("PCS-30820g",[2]ARBOR!$A:$C,3,0)-1,4)-DX7))))</f>
        <v/>
      </c>
      <c r="EC7" s="163" t="str">
        <f>IF(ISERROR(IF(EB7="","",VLOOKUP(($AY7&amp;EB7&amp;"Template de desconto percentual Bundle - Velox XDSL - Varejo"),[2]BENEFICIOS!$A:$E,5,0))),"Criar",IF(EB7="","",VLOOKUP(($AY7&amp;EB7&amp;"Template de desconto percentual Bundle - Velox XDSL - Varejo"),[2]BENEFICIOS!$A:$E,5,0)))</f>
        <v/>
      </c>
      <c r="ED7" s="172">
        <v>44.9</v>
      </c>
      <c r="EE7" s="101">
        <f>IF(ED7=0,"",IF(ED7=VLOOKUP("PCS-21448p2",[2]ARBOR!$A:$C,3,0),0.0001,IF(ED7&gt;VLOOKUP("PCS-21448p2",[2]ARBOR!$A:$C,3,0),"Maior que CAP!",IF((DOLLAR(ED7+(VLOOKUP("PCS-21448p2",[2]ARBOR!$A:$C,3,0)*-TRUNC(ED7/VLOOKUP("PCS-21448p2",[2]ARBOR!$A:$C,3,0)-1,4)),6))&lt;&gt;(DOLLAR(VLOOKUP("PCS-21448p2",[2]ARBOR!$A:$C,3,0),6)),-TRUNC(ED7/VLOOKUP("PCS-21448p2",[2]ARBOR!$A:$C,3,0)-1,4)+0.0001,-TRUNC(ED7/VLOOKUP("PCS-21448p2",[2]ARBOR!$A:$C,3,0)-1,4)))))</f>
        <v>0.64900000000000002</v>
      </c>
      <c r="EF7" s="101" t="str">
        <f>IF(ISERROR(IF(EE7="","",VLOOKUP(("Oi Conta Total Plug 10GB Downgrade"&amp;EE7&amp;"Template de desconto percentual BL Móvel - Internet Total - Varejo"),[2]BENEFICIOS!$A:$E,5,0))),"Criar",IF(EE7="","",VLOOKUP(("Oi Conta Total Plug 10GB Downgrade"&amp;EE7&amp;"Template de desconto percentual BL Móvel - Internet Total - Varejo"),[2]BENEFICIOS!$A:$E,5,0)))</f>
        <v>MKT-1-9825544790</v>
      </c>
      <c r="EG7" s="173">
        <v>16.5</v>
      </c>
      <c r="EH7" s="174">
        <f>IF(EG7=0,"",IF(EG7=VLOOKUP("SVA",[2]ARBOR!$A:$C,3,0),0.0001,IF(EG7&gt;VLOOKUP("SVA",[2]ARBOR!$A:$C,3,0),"Maior que CAP!",IF((DOLLAR(EG7+(VLOOKUP("SVA",[2]ARBOR!$A:$C,3,0)*-TRUNC(EG7/VLOOKUP("SVA",[2]ARBOR!$A:$C,3,0)-1,4)),6))&lt;&gt;(DOLLAR(VLOOKUP("SVA",[2]ARBOR!$A:$C,3,0),6)),-TRUNC(EG7/VLOOKUP("SVA",[2]ARBOR!$A:$C,3,0)-1,4)+0.0001,-TRUNC(EG7/VLOOKUP("SVA",[2]ARBOR!$A:$C,3,0)-1,4)))))</f>
        <v>0.2301</v>
      </c>
      <c r="EI7" s="174" t="s">
        <v>177</v>
      </c>
      <c r="EJ7" s="175"/>
      <c r="EK7" s="176"/>
      <c r="EL7" s="177" t="str">
        <f t="shared" si="3"/>
        <v/>
      </c>
      <c r="EM7" s="174" t="str">
        <f>IF(EL7="S/Desc","S/Desc",IF(ISERROR(IF(EL7="","",VLOOKUP(($BX7&amp;EL7&amp;"Template Desc. % sobre Serviço SVA B2C"),[2]BENEFICIOS!$A:$G,5,0))),"Criar",IF(EL7="","",VLOOKUP(($BX7&amp;EL7&amp;"Template Desc. % sobre Serviço SVA B2C"),[2]BENEFICIOS!$A:$G,5,0))))</f>
        <v/>
      </c>
      <c r="EN7" s="103"/>
      <c r="EO7" s="101" t="str">
        <f>IF(EN7=0,"",IF(EN7=VLOOKUP("PCS-OzTL40",[2]ARBOR!$A:$C,3,0),0.0001,IF(EN7&gt;VLOOKUP("PCS-OzTL40",[2]ARBOR!$A:$C,3,0),"Maior que CAP!",IF((DOLLAR(EN7+(VLOOKUP("PCS-OzTL40",[2]ARBOR!$A:$C,3,0)*-TRUNC(EN7/VLOOKUP("PCS-OzTL40",[2]ARBOR!$A:$C,3,0)-1,4)),6))&lt;&gt;(DOLLAR(VLOOKUP("PCS-OzTL40",[2]ARBOR!$A:$C,3,0),6)),-TRUNC(EN7/VLOOKUP("PCS-OzTL40",[2]ARBOR!$A:$C,3,0)-1,4)+0.0001,-TRUNC(EN7/VLOOKUP("PCS-OzTL40",[2]ARBOR!$A:$C,3,0)-1,4)))))</f>
        <v/>
      </c>
      <c r="EP7" s="163" t="str">
        <f>IF(ISERROR(IF(EO7="","",VLOOKUP(($AY7&amp;EO7&amp;"Template desconto FLAT Plano Principal Oi TV nível conta"),[2]BENEFICIOS!$A:$G,5,0))),"Criar",IF(EO7="","",VLOOKUP(($AY7&amp;EO7&amp;"Template desconto FLAT Plano Principal Oi TV nível conta"),[2]BENEFICIOS!$A:$G,5,0)))</f>
        <v/>
      </c>
      <c r="EQ7" s="103"/>
      <c r="ER7" s="101" t="str">
        <f>IF(EQ7=0,"",IF(EQ7=VLOOKUP("PCS-OzTL41",[2]ARBOR!$A:$C,3,0),0.0001,IF(EQ7&gt;VLOOKUP("PCS-OzTL41",[2]ARBOR!$A:$C,3,0),"Maior que CAP!",IF((DOLLAR(EQ7+(VLOOKUP("PCS-OzTL41",[2]ARBOR!$A:$C,3,0)*-TRUNC(EQ7/VLOOKUP("PCS-OzTL41",[2]ARBOR!$A:$C,3,0)-1,4)),6))&lt;&gt;(DOLLAR(VLOOKUP("PCS-OzTL41",[2]ARBOR!$A:$C,3,0),6)),-TRUNC(EQ7/VLOOKUP("PCS-OzTL41",[2]ARBOR!$A:$C,3,0)-1,4)+0.0001,-TRUNC(EQ7/VLOOKUP("PCS-OzTL41",[2]ARBOR!$A:$C,3,0)-1,4)))))</f>
        <v/>
      </c>
      <c r="ES7" s="178" t="str">
        <f>IF(ISERROR(IF(ER7="","",VLOOKUP(($AY7&amp;ER7&amp;"Template desconto FLAT Plano Principal Oi TV nível conta"),[2]BENEFICIOS!$A:$G,5,0))),"Criar",IF(ER7="","",VLOOKUP(($AY7&amp;ER7&amp;"Template desconto FLAT Plano Principal Oi TV nível conta"),[2]BENEFICIOS!$A:$G,5,0)))</f>
        <v/>
      </c>
      <c r="ET7" s="103"/>
      <c r="EU7" s="101" t="str">
        <f>IF(ET7=0,"",IF(ET7=VLOOKUP("PCS-OzTL44",[2]ARBOR!$A:$C,3,0),0.0001,IF(ET7&gt;VLOOKUP("PCS-OzTL44",[2]ARBOR!$A:$C,3,0),"Maior que CAP!",IF((DOLLAR(ET7+(VLOOKUP("PCS-OzTL44",[2]ARBOR!$A:$C,3,0)*-TRUNC(ET7/VLOOKUP("PCS-OzTL44",[2]ARBOR!$A:$C,3,0)-1,4)),6))&lt;&gt;(DOLLAR(VLOOKUP("PCS-OzTL44",[2]ARBOR!$A:$C,3,0),6)),-TRUNC(ET7/VLOOKUP("PCS-OzTL44",[2]ARBOR!$A:$C,3,0)-1,4)+0.0001,-TRUNC(ET7/VLOOKUP("PCS-OzTL44",[2]ARBOR!$A:$C,3,0)-1,4)))))</f>
        <v/>
      </c>
      <c r="EV7" s="178" t="str">
        <f>IF(ISERROR(IF(EU7="","",VLOOKUP(($AY7&amp;EU7&amp;"Template desconto FLAT Plano Principal Oi TV nível conta"),[2]BENEFICIOS!$A:$G,5,0))),"Criar",IF(EU7="","",VLOOKUP(($AY7&amp;EU7&amp;"Template desconto FLAT Plano Principal Oi TV nível conta"),[2]BENEFICIOS!$A:$G,5,0)))</f>
        <v/>
      </c>
      <c r="EW7" s="103"/>
      <c r="EX7" s="101" t="str">
        <f>IF(EW7=0,"",IF(EW7=VLOOKUP("PCS-OzTL43",[2]ARBOR!$A:$C,3,0),0.0001,IF(EW7&gt;VLOOKUP("PCS-OzTL43",[2]ARBOR!$A:$C,3,0),"Maior que CAP!",IF((DOLLAR(EW7+(VLOOKUP("PCS-OzTL43",[2]ARBOR!$A:$C,3,0)*-TRUNC(EW7/VLOOKUP("PCS-OzTL43",[2]ARBOR!$A:$C,3,0)-1,4)),6))&lt;&gt;(DOLLAR(VLOOKUP("PCS-OzTL43",[2]ARBOR!$A:$C,3,0),6)),-TRUNC(EW7/VLOOKUP("PCS-OzTL43",[2]ARBOR!$A:$C,3,0)-1,4)+0.0001,-TRUNC(EW7/VLOOKUP("PCS-OzTL43",[2]ARBOR!$A:$C,3,0)-1,4)))))</f>
        <v/>
      </c>
      <c r="EY7" s="178" t="str">
        <f>IF(ISERROR(IF(EX7="","",VLOOKUP(($AY7&amp;EX7&amp;"Template desconto FLAT Plano Principal Oi TV nível conta"),[2]BENEFICIOS!$A:$G,5,0))),"Criar",IF(EX7="","",VLOOKUP(($AY7&amp;EX7&amp;"Template desconto FLAT Plano Principal Oi TV nível conta"),[2]BENEFICIOS!$A:$G,5,0)))</f>
        <v/>
      </c>
      <c r="EZ7" s="103"/>
      <c r="FA7" s="101" t="str">
        <f>IF(EZ7=0,"",IF(EZ7=VLOOKUP("PCS-OzTL45",[2]ARBOR!$A:$C,3,0),0.0001,IF(EZ7&gt;VLOOKUP("PCS-OzTL45",[2]ARBOR!$A:$C,3,0),"Maior que CAP!",IF((DOLLAR(EZ7+(VLOOKUP("PCS-OzTL45",[2]ARBOR!$A:$C,3,0)*-TRUNC(EZ7/VLOOKUP("PCS-OzTL45",[2]ARBOR!$A:$C,3,0)-1,4)),6))&lt;&gt;(DOLLAR(VLOOKUP("PCS-OzTL45",[2]ARBOR!$A:$C,3,0),6)),-TRUNC(EZ7/VLOOKUP("PCS-OzTL45",[2]ARBOR!$A:$C,3,0)-1,4)+0.0001,-TRUNC(EZ7/VLOOKUP("PCS-OzTL45",[2]ARBOR!$A:$C,3,0)-1,4)))))</f>
        <v/>
      </c>
      <c r="FB7" s="178" t="str">
        <f>IF(ISERROR(IF(FA7="","",VLOOKUP(($AY7&amp;FA7&amp;"Template desconto FLAT Plano Principal Oi TV nível conta"),[2]BENEFICIOS!$A:$G,5,0))),"Criar",IF(FA7="","",VLOOKUP(($AY7&amp;FA7&amp;"Template desconto FLAT Plano Principal Oi TV nível conta"),[2]BENEFICIOS!$A:$G,5,0)))</f>
        <v/>
      </c>
      <c r="FC7" s="103"/>
      <c r="FD7" s="101" t="str">
        <f>IF(FC7=0,"",IF(FC7=VLOOKUP("PCS-OzTL741",[2]ARBOR!$A:$C,3,0),0.0001,IF(FC7&gt;VLOOKUP("PCS-OzTL741",[2]ARBOR!$A:$C,3,0),"Maior que CAP!",IF((DOLLAR(FC7+(VLOOKUP("PCS-OzTL741",[2]ARBOR!$A:$C,3,0)*-TRUNC(FC7/VLOOKUP("PCS-OzTL741",[2]ARBOR!$A:$C,3,0)-1,4)),6))&lt;&gt;(DOLLAR(VLOOKUP("PCS-OzTL741",[2]ARBOR!$A:$C,3,0),6)),-TRUNC(FC7/VLOOKUP("PCS-OzTL741",[2]ARBOR!$A:$C,3,0)-1,4)+0.0001,-TRUNC(FC7/VLOOKUP("PCS-OzTL741",[2]ARBOR!$A:$C,3,0)-1,4)))))</f>
        <v/>
      </c>
      <c r="FE7" s="178" t="str">
        <f>IF(ISERROR(IF(FD7="","",VLOOKUP(($AY7&amp;FD7&amp;"Template desconto FLAT Plano Principal Oi TV nível conta"),[2]BENEFICIOS!$A:$G,5,0))),"Criar",IF(FD7="","",VLOOKUP(($AY7&amp;FD7&amp;"Template desconto FLAT Plano Principal Oi TV nível conta"),[2]BENEFICIOS!$A:$G,5,0)))</f>
        <v/>
      </c>
      <c r="FF7" s="103"/>
      <c r="FG7" s="101" t="str">
        <f>IF(FF7=0,"",IF(FF7=VLOOKUP("PCS-OzTL744",[2]ARBOR!$A:$C,3,0),0.0001,IF(FF7&gt;VLOOKUP("PCS-OzTL744",[2]ARBOR!$A:$C,3,0),"Maior que CAP!",IF((DOLLAR(FF7+(VLOOKUP("PCS-OzTL744",[2]ARBOR!$A:$C,3,0)*-TRUNC(FF7/VLOOKUP("PCS-OzTL744",[2]ARBOR!$A:$C,3,0)-1,4)),6))&lt;&gt;(DOLLAR(VLOOKUP("PCS-OzTL744",[2]ARBOR!$A:$C,3,0),6)),-TRUNC(FF7/VLOOKUP("PCS-OzTL744",[2]ARBOR!$A:$C,3,0)-1,4)+0.0001,-TRUNC(FF7/VLOOKUP("PCS-OzTL744",[2]ARBOR!$A:$C,3,0)-1,4)))))</f>
        <v/>
      </c>
      <c r="FH7" s="178" t="str">
        <f>IF(ISERROR(IF(FG7="","",VLOOKUP(($AY7&amp;FG7&amp;"Template desconto FLAT Plano Principal Oi TV nível conta"),[2]BENEFICIOS!$A:$G,5,0))),"Criar",IF(FG7="","",VLOOKUP(($AY7&amp;FG7&amp;"Template desconto FLAT Plano Principal Oi TV nível conta"),[2]BENEFICIOS!$A:$G,5,0)))</f>
        <v/>
      </c>
      <c r="FI7" s="103"/>
      <c r="FJ7" s="101" t="str">
        <f>IF(FI7=0,"",IF(FI7=VLOOKUP("PCS-OzTL743",[2]ARBOR!$A:$C,3,0),0.0001,IF(FI7&gt;VLOOKUP("PCS-OzTL743",[2]ARBOR!$A:$C,3,0),"Maior que CAP!",IF((DOLLAR(FI7+(VLOOKUP("PCS-OzTL743",[2]ARBOR!$A:$C,3,0)*-TRUNC(FI7/VLOOKUP("PCS-OzTL743",[2]ARBOR!$A:$C,3,0)-1,4)),6))&lt;&gt;(DOLLAR(VLOOKUP("PCS-OzTL743",[2]ARBOR!$A:$C,3,0),6)),-TRUNC(FI7/VLOOKUP("PCS-OzTL743",[2]ARBOR!$A:$C,3,0)-1,4)+0.0001,-TRUNC(FI7/VLOOKUP("PCS-OzTL743",[2]ARBOR!$A:$C,3,0)-1,4)))))</f>
        <v/>
      </c>
      <c r="FK7" s="178" t="str">
        <f>IF(ISERROR(IF(FJ7="","",VLOOKUP(($AY7&amp;FJ7&amp;"Template desconto FLAT Plano Principal Oi TV nível conta"),[2]BENEFICIOS!$A:$G,5,0))),"Criar",IF(FJ7="","",VLOOKUP(($AY7&amp;FJ7&amp;"Template desconto FLAT Plano Principal Oi TV nível conta"),[2]BENEFICIOS!$A:$G,5,0)))</f>
        <v/>
      </c>
      <c r="FL7" s="103"/>
      <c r="FM7" s="101" t="str">
        <f>IF(FL7=0,"",IF(FL7=VLOOKUP("PCS-OzTL745",[2]ARBOR!$A:$C,3,0),0.0001,IF(FL7&gt;VLOOKUP("PCS-OzTL745",[2]ARBOR!$A:$C,3,0),"Maior que CAP!",IF((DOLLAR(FL7+(VLOOKUP("PCS-OzTL745",[2]ARBOR!$A:$C,3,0)*-TRUNC(FL7/VLOOKUP("PCS-OzTL745",[2]ARBOR!$A:$C,3,0)-1,4)),6))&lt;&gt;(DOLLAR(VLOOKUP("PCS-OzTL745",[2]ARBOR!$A:$C,3,0),6)),-TRUNC(FL7/VLOOKUP("PCS-OzTL745",[2]ARBOR!$A:$C,3,0)-1,4)+0.0001,-TRUNC(FL7/VLOOKUP("PCS-OzTL745",[2]ARBOR!$A:$C,3,0)-1,4)))))</f>
        <v/>
      </c>
      <c r="FN7" s="178" t="str">
        <f>IF(ISERROR(IF(FM7="","",VLOOKUP(($AY7&amp;FM7&amp;"Template desconto FLAT Plano Principal Oi TV nível conta"),[2]BENEFICIOS!$A:$G,5,0))),"Criar",IF(FM7="","",VLOOKUP(($AY7&amp;FM7&amp;"Template desconto FLAT Plano Principal Oi TV nível conta"),[2]BENEFICIOS!$A:$G,5,0)))</f>
        <v/>
      </c>
      <c r="FO7" s="103"/>
      <c r="FP7" s="101" t="str">
        <f>IF(FO7=0,"",IF(FO7=VLOOKUP("PCS-OzTL42",[2]ARBOR!$A:$C,3,0),0.0001,IF(FO7&gt;VLOOKUP("PCS-OzTL42",[2]ARBOR!$A:$C,3,0),"Maior que CAP!",IF((DOLLAR(FO7+(VLOOKUP("PCS-OzTL42",[2]ARBOR!$A:$C,3,0)*-TRUNC(FO7/VLOOKUP("PCS-OzTL42",[2]ARBOR!$A:$C,3,0)-1,4)),6))&lt;&gt;(DOLLAR(VLOOKUP("PCS-OzTL42",[2]ARBOR!$A:$C,3,0),6)),-TRUNC(FO7/VLOOKUP("PCS-OzTL42",[2]ARBOR!$A:$C,3,0)-1,4)+0.0001,-TRUNC(FO7/VLOOKUP("PCS-OzTL42",[2]ARBOR!$A:$C,3,0)-1,4)))))</f>
        <v/>
      </c>
      <c r="FQ7" s="178" t="str">
        <f>IF(ISERROR(IF(FP7="","",VLOOKUP(($AY7&amp;FP7&amp;"Template desconto FLAT Plano Principal Oi TV nível conta"),[2]BENEFICIOS!$A:$G,5,0))),"Criar",IF(FP7="","",VLOOKUP(($AY7&amp;FP7&amp;"Template desconto FLAT Plano Principal Oi TV nível conta"),[2]BENEFICIOS!$A:$G,5,0)))</f>
        <v/>
      </c>
      <c r="FR7" s="103"/>
      <c r="FS7" s="101" t="str">
        <f>IF(FR7=0,"",IF(FR7=VLOOKUP("PCS-OzTL47",[2]ARBOR!$A:$C,3,0),0.0001,IF(FR7&gt;VLOOKUP("PCS-OzTL47",[2]ARBOR!$A:$C,3,0),"Maior que CAP!",IF((DOLLAR(FR7+(VLOOKUP("PCS-OzTL47",[2]ARBOR!$A:$C,3,0)*-TRUNC(FR7/VLOOKUP("PCS-OzTL47",[2]ARBOR!$A:$C,3,0)-1,4)),6))&lt;&gt;(DOLLAR(VLOOKUP("PCS-OzTL47",[2]ARBOR!$A:$C,3,0),6)),-TRUNC(FR7/VLOOKUP("PCS-OzTL47",[2]ARBOR!$A:$C,3,0)-1,4)+0.0001,-TRUNC(FR7/VLOOKUP("PCS-OzTL47",[2]ARBOR!$A:$C,3,0)-1,4)))))</f>
        <v/>
      </c>
      <c r="FT7" s="178" t="str">
        <f>IF(ISERROR(IF(FS7="","",VLOOKUP(($AY7&amp;FS7&amp;"Template desconto FLAT Plano Principal Oi TV nível conta"),[2]BENEFICIOS!$A:$G,5,0))),"Criar",IF(FS7="","",VLOOKUP(($AY7&amp;FS7&amp;"Template desconto FLAT Plano Principal Oi TV nível conta"),[2]BENEFICIOS!$A:$G,5,0)))</f>
        <v/>
      </c>
      <c r="FU7" s="103">
        <v>149.9</v>
      </c>
      <c r="FV7" s="101">
        <f>IF(FU7=0,"",IF(FU7=VLOOKUP("PCS-OzTL46",[2]ARBOR!$A:$C,3,0),0.0001,IF(FU7&gt;VLOOKUP("PCS-OzTL46",[2]ARBOR!$A:$C,3,0),"Maior que CAP!",IF((DOLLAR(FU7+(VLOOKUP("PCS-OzTL46",[2]ARBOR!$A:$C,3,0)*-TRUNC(FU7/VLOOKUP("PCS-OzTL46",[2]ARBOR!$A:$C,3,0)-1,4)),6))&lt;&gt;(DOLLAR(VLOOKUP("PCS-OzTL46",[2]ARBOR!$A:$C,3,0),6)),-TRUNC(FU7/VLOOKUP("PCS-OzTL46",[2]ARBOR!$A:$C,3,0)-1,4)+0.0001,-TRUNC(FU7/VLOOKUP("PCS-OzTL46",[2]ARBOR!$A:$C,3,0)-1,4)))))</f>
        <v>0.30169999999999997</v>
      </c>
      <c r="FW7" s="178" t="str">
        <f>IF(ISERROR(IF(FV7="","",VLOOKUP(($AY7&amp;FV7&amp;"Template desconto FLAT Plano Principal Oi TV nível conta"),[2]BENEFICIOS!$A:$G,5,0))),"Criar",IF(FV7="","",VLOOKUP(($AY7&amp;FV7&amp;"Template desconto FLAT Plano Principal Oi TV nível conta"),[2]BENEFICIOS!$A:$G,5,0)))</f>
        <v>MKT-1-10140936051</v>
      </c>
      <c r="FX7" s="103"/>
      <c r="FY7" s="101" t="str">
        <f>IF(FX7=0,"",IF(FX7=VLOOKUP("PCS-OzTL48",[2]ARBOR!$A:$C,3,0),0.0001,IF(FX7&gt;VLOOKUP("PCS-OzTL48",[2]ARBOR!$A:$C,3,0),"Maior que CAP!",IF((DOLLAR(FX7+(VLOOKUP("PCS-OzTL48",[2]ARBOR!$A:$C,3,0)*-TRUNC(FX7/VLOOKUP("PCS-OzTL48",[2]ARBOR!$A:$C,3,0)-1,4)),6))&lt;&gt;(DOLLAR(VLOOKUP("PCS-OzTL48",[2]ARBOR!$A:$C,3,0),6)),-TRUNC(FX7/VLOOKUP("PCS-OzTL48",[2]ARBOR!$A:$C,3,0)-1,4)+0.0001,-TRUNC(FX7/VLOOKUP("PCS-OzTL48",[2]ARBOR!$A:$C,3,0)-1,4)))))</f>
        <v/>
      </c>
      <c r="FZ7" s="178" t="str">
        <f>IF(ISERROR(IF(FY7="","",VLOOKUP(($AY7&amp;FY7&amp;"Template desconto FLAT Plano Principal Oi TV nível conta"),[2]BENEFICIOS!$A:$G,5,0))),"Criar",IF(FY7="","",VLOOKUP(($AY7&amp;FY7&amp;"Template desconto FLAT Plano Principal Oi TV nível conta"),[2]BENEFICIOS!$A:$G,5,0)))</f>
        <v/>
      </c>
      <c r="GA7" s="103"/>
      <c r="GB7" s="101" t="str">
        <f>IF(GA7=0,"",IF(GA7=VLOOKUP("PCS-OzTL742",[2]ARBOR!$A:$C,3,0),0.0001,IF(GA7&gt;VLOOKUP("PCS-OzTL742",[2]ARBOR!$A:$C,3,0),"Maior que CAP!",IF((DOLLAR(GA7+(VLOOKUP("PCS-OzTL742",[2]ARBOR!$A:$C,3,0)*-TRUNC(GA7/VLOOKUP("PCS-OzTL742",[2]ARBOR!$A:$C,3,0)-1,4)),6))&lt;&gt;(DOLLAR(VLOOKUP("PCS-OzTL742",[2]ARBOR!$A:$C,3,0),6)),-TRUNC(GA7/VLOOKUP("PCS-OzTL742",[2]ARBOR!$A:$C,3,0)-1,4)+0.0001,-TRUNC(GA7/VLOOKUP("PCS-OzTL742",[2]ARBOR!$A:$C,3,0)-1,4)))))</f>
        <v/>
      </c>
      <c r="GC7" s="178" t="str">
        <f>IF(ISERROR(IF(GB7="","",VLOOKUP(($AY7&amp;GB7&amp;"Template desconto FLAT Plano Principal Oi TV nível conta"),[2]BENEFICIOS!$A:$G,5,0))),"Criar",IF(GB7="","",VLOOKUP(($AY7&amp;GB7&amp;"Template desconto FLAT Plano Principal Oi TV nível conta"),[2]BENEFICIOS!$A:$G,5,0)))</f>
        <v/>
      </c>
      <c r="GD7" s="103"/>
      <c r="GE7" s="101" t="str">
        <f>IF(GD7=0,"",IF(GD7=VLOOKUP("PCS-OzTL747",[2]ARBOR!$A:$C,3,0),0.0001,IF(GD7&gt;VLOOKUP("PCS-OzTL747",[2]ARBOR!$A:$C,3,0),"Maior que CAP!",IF((DOLLAR(GD7+(VLOOKUP("PCS-OzTL747",[2]ARBOR!$A:$C,3,0)*-TRUNC(GD7/VLOOKUP("PCS-OzTL747",[2]ARBOR!$A:$C,3,0)-1,4)),6))&lt;&gt;(DOLLAR(VLOOKUP("PCS-OzTL747",[2]ARBOR!$A:$C,3,0),6)),-TRUNC(GD7/VLOOKUP("PCS-OzTL747",[2]ARBOR!$A:$C,3,0)-1,4)+0.0001,-TRUNC(GD7/VLOOKUP("PCS-OzTL747",[2]ARBOR!$A:$C,3,0)-1,4)))))</f>
        <v/>
      </c>
      <c r="GF7" s="178" t="str">
        <f>IF(ISERROR(IF(GE7="","",VLOOKUP(($AY7&amp;GE7&amp;"Template desconto FLAT Plano Principal Oi TV nível conta"),[2]BENEFICIOS!$A:$G,5,0))),"Criar",IF(GE7="","",VLOOKUP(($AY7&amp;GE7&amp;"Template desconto FLAT Plano Principal Oi TV nível conta"),[2]BENEFICIOS!$A:$G,5,0)))</f>
        <v/>
      </c>
      <c r="GG7" s="103">
        <v>169.9</v>
      </c>
      <c r="GH7" s="101">
        <f>IF(GG7=0,"",IF(GG7=VLOOKUP("PCS-OzTL746",[2]ARBOR!$A:$C,3,0),0.0001,IF(GG7&gt;VLOOKUP("PCS-OzTL746",[2]ARBOR!$A:$C,3,0),"Maior que CAP!",IF((DOLLAR(GG7+(VLOOKUP("PCS-OzTL746",[2]ARBOR!$A:$C,3,0)*-TRUNC(GG7/VLOOKUP("PCS-OzTL746",[2]ARBOR!$A:$C,3,0)-1,4)),6))&lt;&gt;(DOLLAR(VLOOKUP("PCS-OzTL746",[2]ARBOR!$A:$C,3,0),6)),-TRUNC(GG7/VLOOKUP("PCS-OzTL746",[2]ARBOR!$A:$C,3,0)-1,4)+0.0001,-TRUNC(GG7/VLOOKUP("PCS-OzTL746",[2]ARBOR!$A:$C,3,0)-1,4)))))</f>
        <v>0.37009999999999998</v>
      </c>
      <c r="GI7" s="178" t="str">
        <f>IF(ISERROR(IF(GH7="","",VLOOKUP(($AY7&amp;GH7&amp;"Template desconto FLAT Plano Principal Oi TV nível conta"),[2]BENEFICIOS!$A:$G,5,0))),"Criar",IF(GH7="","",VLOOKUP(($AY7&amp;GH7&amp;"Template desconto FLAT Plano Principal Oi TV nível conta"),[2]BENEFICIOS!$A:$G,5,0)))</f>
        <v>MKT-1-10140958331</v>
      </c>
      <c r="GJ7" s="103"/>
      <c r="GK7" s="101" t="str">
        <f>IF(GJ7=0,"",IF(GJ7=VLOOKUP("PCS-OzTL748",[2]ARBOR!$A:$C,3,0),0.0001,IF(GJ7&gt;VLOOKUP("PCS-OzTL748",[2]ARBOR!$A:$C,3,0),"Maior que CAP!",IF((DOLLAR(GJ7+(VLOOKUP("PCS-OzTL748",[2]ARBOR!$A:$C,3,0)*-TRUNC(GJ7/VLOOKUP("PCS-OzTL748",[2]ARBOR!$A:$C,3,0)-1,4)),6))&lt;&gt;(DOLLAR(VLOOKUP("PCS-OzTL748",[2]ARBOR!$A:$C,3,0),6)),-TRUNC(GJ7/VLOOKUP("PCS-OzTL748",[2]ARBOR!$A:$C,3,0)-1,4)+0.0001,-TRUNC(GJ7/VLOOKUP("PCS-OzTL748",[2]ARBOR!$A:$C,3,0)-1,4)))))</f>
        <v/>
      </c>
      <c r="GL7" s="178" t="str">
        <f>IF(ISERROR(IF(GK7="","",VLOOKUP(($AY7&amp;GK7&amp;"Template desconto FLAT Plano Principal Oi TV nível conta"),[2]BENEFICIOS!$A:$G,5,0))),"Criar",IF(GK7="","",VLOOKUP(($AY7&amp;GK7&amp;"Template desconto FLAT Plano Principal Oi TV nível conta"),[2]BENEFICIOS!$A:$G,5,0)))</f>
        <v/>
      </c>
      <c r="GM7" s="103">
        <v>75</v>
      </c>
      <c r="GN7" s="101">
        <f>IF(GM7=0,"",IF(GM7=VLOOKUP("PCS-OzTL34",[2]ARBOR!$A:$C,3,0),0.0001,IF(GM7&gt;VLOOKUP("PCS-OzTL34",[2]ARBOR!$A:$C,3,0),"Maior que CAP!",IF((DOLLAR(GM7+(VLOOKUP("PCS-OzTL34",[2]ARBOR!$A:$C,3,0)*-TRUNC(GM7/VLOOKUP("PCS-OzTL34",[2]ARBOR!$A:$C,3,0)-1,4)),6))&lt;&gt;(DOLLAR(VLOOKUP("PCS-OzTL34",[2]ARBOR!$A:$C,3,0),6)),-TRUNC(GM7/VLOOKUP("PCS-OzTL34",[2]ARBOR!$A:$C,3,0)-1,4)+0.0001,-TRUNC(GM7/VLOOKUP("PCS-OzTL34",[2]ARBOR!$A:$C,3,0)-1,4)))))</f>
        <v>0.31900000000000001</v>
      </c>
      <c r="GO7" s="178" t="s">
        <v>178</v>
      </c>
      <c r="GP7" s="103">
        <v>19.899999999999999</v>
      </c>
      <c r="GQ7" s="101">
        <f>IF(GP7=0,"",IF(GP7=VLOOKUP("PCS-OzTL31",[2]ARBOR!$A:$C,3,0),0.0001,IF(GP7&gt;VLOOKUP("PCS-OzTL31",[2]ARBOR!$A:$C,3,0),"Maior que CAP!",IF((DOLLAR(GP7+(VLOOKUP("PCS-OzTL31",[2]ARBOR!$A:$C,3,0)*-TRUNC(GP7/VLOOKUP("PCS-OzTL31",[2]ARBOR!$A:$C,3,0)-1,4)),6))&lt;&gt;(DOLLAR(VLOOKUP("PCS-OzTL31",[2]ARBOR!$A:$C,3,0),6)),-TRUNC(GP7/VLOOKUP("PCS-OzTL31",[2]ARBOR!$A:$C,3,0)-1,4)+0.0001,-TRUNC(GP7/VLOOKUP("PCS-OzTL31",[2]ARBOR!$A:$C,3,0)-1,4)))))</f>
        <v>9.1800000000000007E-2</v>
      </c>
      <c r="GR7" s="178" t="s">
        <v>179</v>
      </c>
      <c r="GS7" s="103">
        <v>19.899999999999999</v>
      </c>
      <c r="GT7" s="101">
        <f>IF(GS7=0,"",IF(GS7=VLOOKUP("PCS-OzTL32",[2]ARBOR!$A:$C,3,0),0.0001,IF(GS7&gt;VLOOKUP("PCS-OzTL32",[2]ARBOR!$A:$C,3,0),"Maior que CAP!",IF((DOLLAR(GS7+(VLOOKUP("PCS-OzTL32",[2]ARBOR!$A:$C,3,0)*-TRUNC(GS7/VLOOKUP("PCS-OzTL32",[2]ARBOR!$A:$C,3,0)-1,4)),6))&lt;&gt;(DOLLAR(VLOOKUP("PCS-OzTL32",[2]ARBOR!$A:$C,3,0),6)),-TRUNC(GS7/VLOOKUP("PCS-OzTL32",[2]ARBOR!$A:$C,3,0)-1,4)+0.0001,-TRUNC(GS7/VLOOKUP("PCS-OzTL32",[2]ARBOR!$A:$C,3,0)-1,4)))))</f>
        <v>9.1800000000000007E-2</v>
      </c>
      <c r="GU7" s="178" t="s">
        <v>180</v>
      </c>
      <c r="GV7" s="103">
        <v>29.9</v>
      </c>
      <c r="GW7" s="101">
        <f>IF(GV7=0,"",IF(GV7=VLOOKUP("PCS-OzTL33",[2]ARBOR!$A:$C,3,0),0.0001,IF(GV7&gt;VLOOKUP("PCS-OzTL33",[2]ARBOR!$A:$C,3,0),"Maior que CAP!",IF((DOLLAR(GV7+(VLOOKUP("PCS-OzTL33",[2]ARBOR!$A:$C,3,0)*-TRUNC(GV7/VLOOKUP("PCS-OzTL33",[2]ARBOR!$A:$C,3,0)-1,4)),6))&lt;&gt;(DOLLAR(VLOOKUP("PCS-OzTL33",[2]ARBOR!$A:$C,3,0),6)),-TRUNC(GV7/VLOOKUP("PCS-OzTL33",[2]ARBOR!$A:$C,3,0)-1,4)+0.0001,-TRUNC(GV7/VLOOKUP("PCS-OzTL33",[2]ARBOR!$A:$C,3,0)-1,4)))))</f>
        <v>9.1800000000000007E-2</v>
      </c>
      <c r="GX7" s="178" t="s">
        <v>181</v>
      </c>
      <c r="GY7" s="103">
        <v>14.9</v>
      </c>
      <c r="GZ7" s="101">
        <f>IF(GY7=0,"",IF(GY7=VLOOKUP("PCS-OzTL503",[2]ARBOR!$A:$C,3,0),0.0001,IF(GY7&gt;VLOOKUP("PCS-OzTL503",[2]ARBOR!$A:$C,3,0),"Maior que CAP!",IF((DOLLAR(GY7+(VLOOKUP("PCS-OzTL503",[2]ARBOR!$A:$C,3,0)*-TRUNC(GY7/VLOOKUP("PCS-OzTL503",[2]ARBOR!$A:$C,3,0)-1,4)),6))&lt;&gt;(DOLLAR(VLOOKUP("PCS-OzTL503",[2]ARBOR!$A:$C,3,0),6)),-TRUNC(GY7/VLOOKUP("PCS-OzTL503",[2]ARBOR!$A:$C,3,0)-1,4)+0.0001,-TRUNC(GY7/VLOOKUP("PCS-OzTL503",[2]ARBOR!$A:$C,3,0)-1,4)))))</f>
        <v>9.1499999999999998E-2</v>
      </c>
      <c r="HA7" s="178" t="s">
        <v>182</v>
      </c>
      <c r="HB7" s="103">
        <v>10</v>
      </c>
      <c r="HC7" s="101">
        <f>IF(HB7=0,"",IF(HB7=VLOOKUP("PCS-OzTL500",[2]ARBOR!$A:$C,3,0),0.0001,IF(HB7&gt;VLOOKUP("PCS-OzTL500",[2]ARBOR!$A:$C,3,0),"Maior que CAP!",IF((DOLLAR(HB7+(VLOOKUP("PCS-OzTL500",[2]ARBOR!$A:$C,3,0)*-TRUNC(HB7/VLOOKUP("PCS-OzTL500",[2]ARBOR!$A:$C,3,0)-1,4)),6))&lt;&gt;(DOLLAR(VLOOKUP("PCS-OzTL500",[2]ARBOR!$A:$C,3,0),6)),-TRUNC(HB7/VLOOKUP("PCS-OzTL500",[2]ARBOR!$A:$C,3,0)-1,4)+0.0001,-TRUNC(HB7/VLOOKUP("PCS-OzTL500",[2]ARBOR!$A:$C,3,0)-1,4)))))</f>
        <v>9.1800000000000007E-2</v>
      </c>
      <c r="HD7" s="178" t="s">
        <v>183</v>
      </c>
      <c r="HE7" s="103" t="s">
        <v>184</v>
      </c>
      <c r="HF7" s="101"/>
      <c r="HG7" s="178"/>
      <c r="HH7" s="103" t="s">
        <v>185</v>
      </c>
      <c r="HI7" s="101"/>
      <c r="HJ7" s="178"/>
      <c r="HK7" s="103" t="s">
        <v>186</v>
      </c>
      <c r="HL7" s="101"/>
      <c r="HM7" s="178"/>
      <c r="HN7" s="103" t="s">
        <v>187</v>
      </c>
      <c r="HO7" s="101"/>
      <c r="HP7" s="178"/>
      <c r="HQ7" s="103" t="s">
        <v>188</v>
      </c>
      <c r="HR7" s="101"/>
      <c r="HS7" s="178"/>
      <c r="HT7" s="103">
        <v>24.9</v>
      </c>
      <c r="HU7" s="101">
        <f>IF(HT7=0,"",IF(HT7=VLOOKUP("PCS-OzTL99",[2]ARBOR!$A:$C,3,0),0.0001,IF(HT7&gt;VLOOKUP("PCS-OzTL99",[2]ARBOR!$A:$C,3,0),"Maior que CAP!",IF((DOLLAR(HT7+(VLOOKUP("PCS-OzTL99",[2]ARBOR!$A:$C,3,0)*-TRUNC(HT7/VLOOKUP("PCS-OzTL99",[2]ARBOR!$A:$C,3,0)-1,4)),6))&lt;&gt;(DOLLAR(VLOOKUP("PCS-OzTL99",[2]ARBOR!$A:$C,3,0),6)),-TRUNC(HT7/VLOOKUP("PCS-OzTL99",[2]ARBOR!$A:$C,3,0)-1,4)+0.0001,-TRUNC(HT7/VLOOKUP("PCS-OzTL99",[2]ARBOR!$A:$C,3,0)-1,4)))))</f>
        <v>0.16729999999999998</v>
      </c>
      <c r="HV7" s="179" t="s">
        <v>189</v>
      </c>
      <c r="HW7" s="170" t="s">
        <v>167</v>
      </c>
      <c r="HX7" s="178" t="str">
        <f t="shared" si="4"/>
        <v>PCS-34704</v>
      </c>
      <c r="HY7" s="180" t="str">
        <f>IFERROR((IF(AZ7="","",VLOOKUP(AZ7,[2]ARBOR!A:C,3,0))),"")</f>
        <v/>
      </c>
      <c r="HZ7" s="181"/>
      <c r="IA7" s="158" t="str">
        <f>IF(HZ7="","",ROUND(1-(HZ7/VLOOKUP(AZ7&amp;"ASS",[2]ARBOR!A:C,3,0)),4))</f>
        <v/>
      </c>
      <c r="IB7" s="158"/>
      <c r="IC7" s="182"/>
      <c r="ID7" s="183"/>
      <c r="IE7" s="101" t="str">
        <f>IF(ID7="","",ROUND(IF(ID7=0,"",IF(ID7=HY7,0.0001,1-((ID7+(VLOOKUP(AZ7&amp;"ASS",[2]ARBOR!A:C,3,0)-HZ7))/HY7))),4))</f>
        <v/>
      </c>
      <c r="IF7" s="101" t="str">
        <f>IF(ISERROR(IF(IE7="","",VLOOKUP(($AY7&amp;IE7&amp;"Template de desconto percentual FLAT Móvel - Conta Total - Varejo - Ganho Tributário Cross"),[2]BENEFICIOS!$A:$E,5,0))),"Criar",IF(IE7="","",VLOOKUP(($AY7&amp;IE7&amp;"Template de desconto percentual FLAT Móvel - Conta Total - Varejo - Ganho Tributário Cross"),[2]BENEFICIOS!$A:$E,5,0)))</f>
        <v/>
      </c>
      <c r="IG7" s="167"/>
      <c r="IH7" s="101"/>
      <c r="II7" s="184"/>
      <c r="IJ7" s="185"/>
      <c r="IK7" s="101"/>
      <c r="IL7" s="101"/>
      <c r="IM7" s="186"/>
      <c r="IN7" s="186"/>
      <c r="IO7" s="187"/>
      <c r="IP7" s="188" t="str">
        <f>IF(IO7=0,"",IF(IO7=VLOOKUP("PCS-813566",[2]ARBOR!$A:$C,3,0),0.0001,IF(IO7&gt;VLOOKUP("PCS-813566",[2]ARBOR!$A:$C,3,0),"Maior que CAP!",ROUND(-1*(IO7/VLOOKUP("PCS-813566",[2]ARBOR!$A:$C,3,0)-1),4))))</f>
        <v/>
      </c>
      <c r="IQ7" s="189" t="str">
        <f>IF(ISERROR(IF(IP7="","",VLOOKUP(("Oi Internet Pra Celular 300MB"&amp;IP7&amp;"Template Flat Instância Dados"),[2]BENEFICIOS!$A:$E,5,0))),"Criar",IF(IP7="","",VLOOKUP(("Oi Internet Pra Celular 300MB"&amp;IP7&amp;"Template Flat Instância Dados"),[2]BENEFICIOS!$A:$E,5,0)))</f>
        <v/>
      </c>
      <c r="IR7" s="190"/>
      <c r="IS7" s="191" t="str">
        <f>IF(IR7=0,"",IF(IR7=VLOOKUP("sva_bancas",[2]ARBOR!$A:$C,3,0),0.0001,IF(IR7&gt;VLOOKUP("sva_livros",[2]ARBOR!$A:$C,3,0),"Maior que CAP!",ROUND(-1*(IR7/VLOOKUP("sva_bancas",[2]ARBOR!$A:$C,3,0)-1),4))))</f>
        <v/>
      </c>
      <c r="IT7" s="192" t="str">
        <f>IF(ISERROR(IF(IS7="","",VLOOKUP(("Oi Internet Pra Celular 300MB"&amp;IS7&amp;"Template Desconto % SVA DADOS B2C"),[2]BENEFICIOS!$A:$E,5,0))),"Criar",IF(IS7="","",VLOOKUP(("Oi Internet Pra Celular 300MB"&amp;IS7&amp;"Template Desconto % SVA DADOS B2C"),[2]BENEFICIOS!$A:$E,5,0)))</f>
        <v/>
      </c>
      <c r="IU7" s="187"/>
      <c r="IV7" s="188" t="str">
        <f>IF(IU7=0,"",IF(IU7=VLOOKUP("PCS-813564",[2]ARBOR!$A:$C,3,0),0.0001,IF(IU7&gt;VLOOKUP("PCS-813564",[2]ARBOR!$A:$C,3,0),"Maior que CAP!",ROUND(-1*(IU7/VLOOKUP("PCS-813564",[2]ARBOR!$A:$C,3,0)-1),4))))</f>
        <v/>
      </c>
      <c r="IW7" s="189" t="str">
        <f>IF(ISERROR(IF(IV7="","",VLOOKUP(("Oi Internet Pra Celular 500MB"&amp;IV7&amp;"Template Flat Instância Dados"),[2]BENEFICIOS!$A:$E,5,0))),"Criar",IF(IV7="","",VLOOKUP(("Oi Internet Pra Celular 500MB"&amp;IV7&amp;"Template Flat Instância Dados"),[2]BENEFICIOS!$A:$E,5,0)))</f>
        <v/>
      </c>
      <c r="IX7" s="190"/>
      <c r="IY7" s="191" t="str">
        <f>IF(IX7=0,"",IF(IX7=VLOOKUP("sva_livros",[2]ARBOR!$A:$C,3,0),0.0001,IF(IX7&gt;VLOOKUP("sva_livros",[2]ARBOR!$A:$C,3,0),"Maior que CAP!",ROUND(-1*(IX7/VLOOKUP("sva_livros",[2]ARBOR!$A:$C,3,0)-1),4))))</f>
        <v/>
      </c>
      <c r="IZ7" s="192" t="str">
        <f>IF(ISERROR(IF(IY7="","",VLOOKUP(("Oi Internet Pra Celular 500MB"&amp;IY7&amp;"Template Desconto % SVA DADOS B2C"),[2]BENEFICIOS!$A:$E,5,0))),"Criar",IF(IY7="","",VLOOKUP(("Oi Internet Pra Celular 500MB"&amp;IY7&amp;"Template Desconto % SVA DADOS B2C"),[2]BENEFICIOS!$A:$E,5,0)))</f>
        <v/>
      </c>
      <c r="JA7" s="187"/>
      <c r="JB7" s="188" t="str">
        <f>IF(JA7=0,"",IF(JA7=VLOOKUP("PCS-10357",[2]ARBOR!$A:$C,3,0),0.0001,IF(JA7&gt;VLOOKUP("PCS-10357",[2]ARBOR!$A:$C,3,0),"Maior que CAP!",ROUND(-1*(JA7/VLOOKUP("PCS-10357",[2]ARBOR!$A:$C,3,0)-1),4))))</f>
        <v/>
      </c>
      <c r="JC7" s="189" t="str">
        <f>IF(ISERROR(IF(JB7="","",VLOOKUP(("Oi Internet Pra Celular 1GB"&amp;JB7&amp;"Template Flat Instância Dados"),[2]BENEFICIOS!$A:$E,5,0))),"Criar",IF(JB7="","",VLOOKUP(("Oi Internet Pra Celular 1GB"&amp;JB7&amp;"Template Flat Instância Dados"),[2]BENEFICIOS!$A:$E,5,0)))</f>
        <v/>
      </c>
      <c r="JD7" s="190"/>
      <c r="JE7" s="191" t="str">
        <f>IF(JD7=0,"",IF(JD7=VLOOKUP("sva_livros",[2]ARBOR!$A:$C,3,0),0.0001,IF(JD7&gt;VLOOKUP("sva_livros",[2]ARBOR!$A:$C,3,0),"Maior que CAP!",ROUND(-1*(JD7/VLOOKUP("sva_livros",[2]ARBOR!$A:$C,3,0)-1),4))))</f>
        <v/>
      </c>
      <c r="JF7" s="192" t="str">
        <f>IF(ISERROR(IF(JE7="","",VLOOKUP(("Oi Internet Pra Celular 1GB"&amp;JE7&amp;"Template Desconto % SVA DADOS B2C"),[2]BENEFICIOS!$A:$E,5,0))),"Criar",IF(JE7="","",VLOOKUP(("Oi Internet Pra Celular 1GB"&amp;JE7&amp;"Template Desconto % SVA DADOS B2C"),[2]BENEFICIOS!$A:$E,5,0)))</f>
        <v/>
      </c>
      <c r="JG7" s="187"/>
      <c r="JH7" s="188" t="str">
        <f>IF(JG7=0,"",IF(JG7=VLOOKUP("PCS-813565",[2]ARBOR!$A:$C,3,0),0.0001,IF(JG7&gt;VLOOKUP("PCS-813565",[2]ARBOR!$A:$C,3,0),"Maior que CAP!",ROUND(-1*(JG7/VLOOKUP("PCS-813565",[2]ARBOR!$A:$C,3,0)-1),4))))</f>
        <v/>
      </c>
      <c r="JI7" s="189" t="str">
        <f>IF(ISERROR(IF(JH7="","",VLOOKUP(("Oi Internet Pra Celular 2GB"&amp;JH7&amp;"Template Flat Instância Dados"),[2]BENEFICIOS!$A:$E,5,0))),"Criar",IF(JH7="","",VLOOKUP(("Oi Internet Pra Celular 2GB"&amp;JH7&amp;"Template Flat Instância Dados"),[2]BENEFICIOS!$A:$E,5,0)))</f>
        <v/>
      </c>
      <c r="JJ7" s="190"/>
      <c r="JK7" s="191" t="str">
        <f>IF(JJ7=0,"",IF(JJ7=VLOOKUP("sva_livros",[2]ARBOR!$A:$C,3,0),0.0001,IF(JJ7&gt;VLOOKUP("sva_livros",[2]ARBOR!$A:$C,3,0),"Maior que CAP!",ROUND(-1*(JJ7/VLOOKUP("sva_livros",[2]ARBOR!$A:$C,3,0)-1),4))))</f>
        <v/>
      </c>
      <c r="JL7" s="192" t="str">
        <f>IF(ISERROR(IF(JK7="","",VLOOKUP(("Oi Internet Pra Celular 2GB"&amp;JK7&amp;"Template Desconto % SVA DADOS B2C"),[2]BENEFICIOS!$A:$E,5,0))),"Criar",IF(JK7="","",VLOOKUP(("Oi Internet Pra Celular 2GB"&amp;JK7&amp;"Template Desconto % SVA DADOS B2C"),[2]BENEFICIOS!$A:$E,5,0)))</f>
        <v/>
      </c>
      <c r="JM7" s="187"/>
      <c r="JN7" s="188" t="str">
        <f>IF(JM7=0,"",IF(JM7=VLOOKUP("PCS-7171B",[2]ARBOR!$A:$C,3,0),0.0001,IF(JM7&gt;VLOOKUP("PCS-7171B",[2]ARBOR!$A:$C,3,0),"Maior que CAP!",ROUND(-1*(JM7/VLOOKUP("PCS-7171B",[2]ARBOR!$A:$C,3,0)-1),4))))</f>
        <v/>
      </c>
      <c r="JO7" s="189" t="str">
        <f>IF(ISERROR(IF(JN7="","",VLOOKUP(("Oi Internet Pra Celular 3GB"&amp;JN7&amp;"Template Flat Instância Dados"),[2]BENEFICIOS!$A:$E,5,0))),"Criar",IF(JN7="","",VLOOKUP(("Oi Internet Pra Celular 3GB"&amp;JN7&amp;"Template Flat Instância Dados"),[2]BENEFICIOS!$A:$E,5,0)))</f>
        <v/>
      </c>
      <c r="JP7" s="190"/>
      <c r="JQ7" s="191" t="str">
        <f>IF(JP7=0,"",IF(JP7=VLOOKUP("sva_livros",[2]ARBOR!$A:$C,3,0),0.0001,IF(JP7&gt;VLOOKUP("sva_livros",[2]ARBOR!$A:$C,3,0),"Maior que CAP!",ROUND(-1*(JP7/VLOOKUP("sva_livros",[2]ARBOR!$A:$C,3,0)-1),4))))</f>
        <v/>
      </c>
      <c r="JR7" s="192" t="str">
        <f>IF(ISERROR(IF(JQ7="","",VLOOKUP(("Oi Internet Pra Celular 3GB"&amp;JQ7&amp;"Template Desconto % SVA DADOS B2C"),[2]BENEFICIOS!$A:$E,5,0))),"Criar",IF(JQ7="","",VLOOKUP(("Oi Internet Pra Celular 3GB"&amp;JQ7&amp;"Template Desconto % SVA DADOS B2C"),[2]BENEFICIOS!$A:$E,5,0)))</f>
        <v/>
      </c>
      <c r="JS7" s="187"/>
      <c r="JT7" s="188" t="str">
        <f>IF(JS7=0,"",IF(JS7=VLOOKUP("PCS-51793o08",[2]ARBOR!$A:$C,3,0),0.0001,IF(JS7&gt;VLOOKUP("PCS-51793o08",[2]ARBOR!$A:$C,3,0),"Maior que CAP!",ROUND(-1*(JS7/VLOOKUP("PCS-51793o08",[2]ARBOR!$A:$C,3,0)-1),4))))</f>
        <v/>
      </c>
      <c r="JU7" s="189" t="str">
        <f>IF(ISERROR(IF(JT7="","",VLOOKUP(("Oi Internet Pra Celular 5GB"&amp;JT7&amp;"Template Flat Instância Dados"),[2]BENEFICIOS!$A:$E,5,0))),"Criar",IF(JT7="","",VLOOKUP(("Oi Internet Pra Celular 5GB"&amp;JT7&amp;"Template Flat Instância Dados"),[2]BENEFICIOS!$A:$E,5,0)))</f>
        <v/>
      </c>
      <c r="JV7" s="190"/>
      <c r="JW7" s="191" t="str">
        <f>IF(JV7=0,"",IF(JV7=VLOOKUP("sva_curtas",[2]ARBOR!$A:$C,3,0),0.0001,IF(JV7&gt;VLOOKUP("sva_curtas",[2]ARBOR!$A:$C,3,0),"Maior que CAP!",ROUND(-1*(JV7/VLOOKUP("sva_curtas",[2]ARBOR!$A:$C,3,0)-1),4))))</f>
        <v/>
      </c>
      <c r="JX7" s="192" t="str">
        <f>IF(ISERROR(IF(JW7="","",VLOOKUP(("Oi Internet Pra Celular 5GB"&amp;JW7&amp;"Template Desconto % SVA DADOS B2C"),[2]BENEFICIOS!$A:$E,5,0))),"Criar",IF(JW7="","",VLOOKUP(("Oi Internet Pra Celular 5GB"&amp;JW7&amp;"Template Desconto % SVA DADOS B2C"),[2]BENEFICIOS!$A:$E,5,0)))</f>
        <v/>
      </c>
      <c r="JY7" s="187"/>
      <c r="JZ7" s="188" t="str">
        <f>IF(JY7=0,"",IF(JY7=VLOOKUP("PCS-7171A",[2]ARBOR!$A:$C,3,0),0.0001,IF(JY7&gt;VLOOKUP("PCS-7171A",[2]ARBOR!$A:$C,3,0),"Maior que CAP!",ROUND(-1*(JY7/VLOOKUP("PCS-7171A",[2]ARBOR!$A:$C,3,0)-1),4))))</f>
        <v/>
      </c>
      <c r="KA7" s="193" t="str">
        <f>IF(ISERROR(IF(JZ7="","",VLOOKUP(("Oi Internet Pra Celular 10GB"&amp;JZ7&amp;"Template Flat Instância Dados"),[2]BENEFICIOS!$A:$E,5,0))),"Criar",IF(JZ7="","",VLOOKUP(("Oi Internet Pra Celular 10GB"&amp;JZ7&amp;"Template Flat Instância Dados"),[2]BENEFICIOS!$A:$E,5,0)))</f>
        <v/>
      </c>
      <c r="KB7" s="190"/>
      <c r="KC7" s="191" t="str">
        <f>IF(KB7=0,"",IF(KB7=VLOOKUP("sva_curtas",[2]ARBOR!$A:$C,3,0),0.0001,IF(KB7&gt;VLOOKUP("sva_curtas",[2]ARBOR!$A:$C,3,0),"Maior que CAP!",ROUND(-1*(KB7/VLOOKUP("sva_curtas",[2]ARBOR!$A:$C,3,0)-1),4))))</f>
        <v/>
      </c>
      <c r="KD7" s="192" t="str">
        <f>IF(ISERROR(IF(KC7="","",VLOOKUP(("Oi Internet Pra Celular 10GB"&amp;KC7&amp;"Template Desconto % SVA DADOS B2C"),[2]BENEFICIOS!$A:$E,5,0))),"Criar",IF(KC7="","",VLOOKUP(("Oi Internet Pra Celular 10GB"&amp;KC7&amp;"Template Desconto % SVA DADOS B2C"),[2]BENEFICIOS!$A:$E,5,0)))</f>
        <v/>
      </c>
      <c r="KE7" s="194"/>
      <c r="KF7" s="195"/>
      <c r="KG7" s="196" t="s">
        <v>167</v>
      </c>
      <c r="KH7" s="197" t="s">
        <v>190</v>
      </c>
      <c r="KI7" s="198">
        <v>799</v>
      </c>
      <c r="KJ7" s="197">
        <v>12</v>
      </c>
      <c r="KK7" s="199" t="str">
        <f t="shared" si="5"/>
        <v>Oi benefício fidelização Multiprodutos</v>
      </c>
      <c r="KL7" s="200" t="str">
        <f t="shared" si="6"/>
        <v>PCS-Fk83324</v>
      </c>
      <c r="KM7" s="200" t="str">
        <f t="shared" si="7"/>
        <v>PCS-SBL553142</v>
      </c>
      <c r="KN7" s="201" t="s">
        <v>191</v>
      </c>
      <c r="KO7" s="202" t="s">
        <v>192</v>
      </c>
      <c r="KP7" s="202" t="s">
        <v>193</v>
      </c>
      <c r="KQ7" s="201" t="s">
        <v>194</v>
      </c>
      <c r="KR7" s="199" t="s">
        <v>195</v>
      </c>
      <c r="KS7" s="200" t="s">
        <v>196</v>
      </c>
      <c r="KT7" s="203" t="s">
        <v>197</v>
      </c>
      <c r="KU7" s="129"/>
      <c r="KV7" s="129"/>
      <c r="KW7" s="129"/>
      <c r="KX7" s="129"/>
      <c r="KY7" s="129"/>
      <c r="KZ7" s="129"/>
      <c r="LA7" s="129"/>
      <c r="LB7" s="129"/>
      <c r="LC7" s="129"/>
      <c r="LD7" s="129"/>
      <c r="LE7" s="129"/>
      <c r="LF7" s="129"/>
      <c r="LG7" s="129"/>
      <c r="LH7" s="129"/>
      <c r="LI7" s="129"/>
      <c r="LJ7" s="129"/>
      <c r="LK7" s="204"/>
      <c r="LL7" s="205"/>
      <c r="LM7" s="206"/>
      <c r="LN7" s="206"/>
      <c r="LO7" s="206"/>
      <c r="LP7" s="206"/>
      <c r="LQ7" s="206"/>
      <c r="LR7" s="206"/>
      <c r="LS7" s="206"/>
      <c r="LT7" s="206"/>
      <c r="LU7" s="207"/>
      <c r="LV7" t="s">
        <v>206</v>
      </c>
      <c r="LW7" t="s">
        <v>200</v>
      </c>
    </row>
    <row r="8" spans="1:335" x14ac:dyDescent="0.25">
      <c r="A8" s="134" t="s">
        <v>164</v>
      </c>
      <c r="B8" s="135" t="s">
        <v>165</v>
      </c>
      <c r="C8" s="135" t="s">
        <v>166</v>
      </c>
      <c r="D8" s="136" t="s">
        <v>167</v>
      </c>
      <c r="E8" s="137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9"/>
      <c r="Q8" s="139"/>
      <c r="R8" s="139"/>
      <c r="S8" s="140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208"/>
      <c r="AF8" s="138"/>
      <c r="AG8" s="138"/>
      <c r="AH8" s="142"/>
      <c r="AI8" s="209" t="s">
        <v>207</v>
      </c>
      <c r="AJ8" s="59" t="s">
        <v>168</v>
      </c>
      <c r="AK8" s="60" t="s">
        <v>169</v>
      </c>
      <c r="AL8" s="143">
        <v>43039</v>
      </c>
      <c r="AM8" s="144">
        <v>43159</v>
      </c>
      <c r="AN8" s="63" t="s">
        <v>170</v>
      </c>
      <c r="AO8" s="64" t="s">
        <v>170</v>
      </c>
      <c r="AP8" s="145"/>
      <c r="AQ8" s="145" t="s">
        <v>171</v>
      </c>
      <c r="AR8" s="145">
        <v>20</v>
      </c>
      <c r="AS8" s="145">
        <v>10000</v>
      </c>
      <c r="AT8" s="146" t="s">
        <v>172</v>
      </c>
      <c r="AU8" s="147" t="s">
        <v>167</v>
      </c>
      <c r="AV8" s="148" t="s">
        <v>173</v>
      </c>
      <c r="AW8" s="149" t="s">
        <v>173</v>
      </c>
      <c r="AX8" s="150" t="s">
        <v>207</v>
      </c>
      <c r="AY8" s="151" t="s">
        <v>203</v>
      </c>
      <c r="AZ8" s="152" t="str">
        <f>IF(ISERROR(VLOOKUP(AY8,[2]PLANOS!B:C,2,0)),"",VLOOKUP(AY8,[2]PLANOS!B:C,2,0))</f>
        <v>PCS-3PHipi</v>
      </c>
      <c r="BA8" s="153" t="s">
        <v>173</v>
      </c>
      <c r="BB8" s="154" t="str">
        <f t="shared" si="1"/>
        <v/>
      </c>
      <c r="BC8" s="155"/>
      <c r="BD8" s="156"/>
      <c r="BE8" s="157">
        <v>50.11</v>
      </c>
      <c r="BF8" s="101">
        <f>IF(BE8=0,"",IF(BE8=VLOOKUP("FIXO",[2]ARBOR!$A:$C,3,0),0.0001,IF(BE8&gt;VLOOKUP("FIXO",[2]ARBOR!$A:$C,3,0),"Maior que CAP!",IF((DOLLAR(BE8+(VLOOKUP("FIXO",[2]ARBOR!$A:$C,3,0)*-TRUNC(BE8/VLOOKUP("FIXO",[2]ARBOR!$A:$C,3,0)-1,4)),6))&lt;&gt;(DOLLAR(VLOOKUP("FIXO",[2]ARBOR!$A:$C,3,0),6)),-TRUNC(BE8/VLOOKUP("FIXO",[2]ARBOR!$A:$C,3,0)-1,4)+0.0001,-TRUNC(BE8/VLOOKUP("FIXO",[2]ARBOR!$A:$C,3,0)-1,4)))))</f>
        <v>0.33929999999999999</v>
      </c>
      <c r="BG8" s="158"/>
      <c r="BH8" s="101" t="str">
        <f>IF(BG8=0,"",IF(BG8=VLOOKUP("FIXO",[2]ARBOR!$A:$C,3,0),0.0001,IF(BG8&gt;VLOOKUP("FIXO",[2]ARBOR!$A:$C,3,0),"Maior que CAP!",IF((DOLLAR(BG8+(VLOOKUP("FIXO",[2]ARBOR!$A:$C,3,0)*-TRUNC(BG8/VLOOKUP("FIXO",[2]ARBOR!$A:$C,3,0)-1,4)),6))&lt;&gt;(DOLLAR(VLOOKUP("FIXO",[2]ARBOR!$A:$C,3,0),6)),-TRUNC(BG8/VLOOKUP("FIXO",[2]ARBOR!$A:$C,3,0)-1,4)+0.0001,-TRUNC(BG8/VLOOKUP("FIXO",[2]ARBOR!$A:$C,3,0)-1,4)))))</f>
        <v/>
      </c>
      <c r="BI8" s="101" t="str">
        <f>IF(ISERROR(IF(BF8="","",VLOOKUP(($AY8&amp;BF8&amp;"Template de desconto FLAT bundle - Fixo - Varejo - Ganho Tributário Cross"),[2]BENEFICIOS!$A:$E,5,0))),"Criar",IF(BF8="","",VLOOKUP(($AY8&amp;BF8&amp;"Template de desconto FLAT bundle - Fixo - Varejo - Ganho Tributário Cross"),[2]BENEFICIOS!$A:$E,5,0)))</f>
        <v>MKT-1-9825728196</v>
      </c>
      <c r="BJ8" s="159"/>
      <c r="BK8" s="101" t="str">
        <f t="shared" si="2"/>
        <v/>
      </c>
      <c r="BL8" s="160"/>
      <c r="BM8" s="101" t="str">
        <f>IF(BL8=0,"",IF(BL8=VLOOKUP("FIXO",[2]ARBOR!$A:$C,3,0),0.0001,IF(BL8&gt;VLOOKUP("FIXO",[2]ARBOR!$A:$C,3,0),"Maior que CAP!",IF(BF8&lt;&gt;"",-ROUND(BL8/VLOOKUP("FIXO",[2]ARBOR!$A:$C,3,0)-1,4)-BF8,-ROUND(BL8/VLOOKUP("FIXO",[2]ARBOR!$A:$C,3,0)-1,4)))))</f>
        <v/>
      </c>
      <c r="BN8" s="161"/>
      <c r="BO8" s="101" t="str">
        <f>IF(ISERROR(IF(BK8="","",VLOOKUP(($AY8&amp;BK8&amp;"Template de desconto FLAT bundle - Fixo - Varejo - Ganho Tributário Cross"),[2]BENEFICIOS!$A:$E,5,0))),"Criar",IF(BK8="","",VLOOKUP(($AY8&amp;BK8&amp;"Template de desconto FLAT bundle - Fixo - Varejo - Ganho Tributário Cross"),[2]BENEFICIOS!$A:$E,5,0)))</f>
        <v/>
      </c>
      <c r="BP8" s="162" t="s">
        <v>175</v>
      </c>
      <c r="BQ8" s="163" t="s">
        <v>176</v>
      </c>
      <c r="BR8" s="164" t="s">
        <v>173</v>
      </c>
      <c r="BS8" s="165" t="str">
        <f t="shared" si="0"/>
        <v/>
      </c>
      <c r="BT8" s="155"/>
      <c r="BU8" s="166"/>
      <c r="BV8" s="167" t="s">
        <v>104</v>
      </c>
      <c r="BW8" s="168">
        <v>44.9</v>
      </c>
      <c r="BX8" s="101">
        <f>IF(BW8=0,"",IF(BW8=VLOOKUP("PCS-30874g",[2]ARBOR!$A:$C,3,0),0.0001,IF(BW8&gt;VLOOKUP("PCS-30874g",[2]ARBOR!$A:$C,3,0),"Maior que CAP!",IF((DOLLAR(BW8+(VLOOKUP("PCS-30874g",[2]ARBOR!$A:$C,3,0)*-TRUNC(BW8/VLOOKUP("PCS-30874g",[2]ARBOR!$A:$C,3,0)-1,4)),6))&lt;&gt;(DOLLAR(VLOOKUP("PCS-30874g",[2]ARBOR!$A:$C,3,0),6)),-TRUNC(BW8/VLOOKUP("PCS-30874g",[2]ARBOR!$A:$C,3,0)-1,4)+0.0001,-TRUNC(BW8/VLOOKUP("PCS-30874g",[2]ARBOR!$A:$C,3,0)-1,4)))))</f>
        <v>0.53679999999999994</v>
      </c>
      <c r="BY8" s="163" t="str">
        <f>IF(ISERROR(IF(BX8="","",VLOOKUP(($AY8&amp;BX8&amp;"Template de desconto FLAT bundle - Velox XDSL - Varejo"),[2]BENEFICIOS!$A:$E,5,0))),"Criar",IF(BX8="","",VLOOKUP(($AY8&amp;BX8&amp;"Template de desconto FLAT bundle - Velox XDSL - Varejo"),[2]BENEFICIOS!$A:$E,5,0)))</f>
        <v>MKT-1-9829477373</v>
      </c>
      <c r="BZ8" s="167" t="s">
        <v>104</v>
      </c>
      <c r="CA8" s="168">
        <v>44.9</v>
      </c>
      <c r="CB8" s="101">
        <f>IF(CA8=0,"",IF(CA8=VLOOKUP("PCS-30577g",[2]ARBOR!$A:$C,3,0),0.0001,IF(CA8&gt;VLOOKUP("PCS-30577g",[2]ARBOR!$A:$C,3,0),"Maior que CAP!",IF((DOLLAR(CA8+(VLOOKUP("PCS-30577g",[2]ARBOR!$A:$C,3,0)*-TRUNC(CA8/VLOOKUP("PCS-30577g",[2]ARBOR!$A:$C,3,0)-1,4)),6))&lt;&gt;(DOLLAR(VLOOKUP("PCS-30577g",[2]ARBOR!$A:$C,3,0),6)),-TRUNC(CA8/VLOOKUP("PCS-30577g",[2]ARBOR!$A:$C,3,0)-1,4)+0.0001,-TRUNC(CA8/VLOOKUP("PCS-30577g",[2]ARBOR!$A:$C,3,0)-1,4)))))</f>
        <v>0.53679999999999994</v>
      </c>
      <c r="CC8" s="163" t="str">
        <f>IF(ISERROR(IF(CB8="","",VLOOKUP(($AY8&amp;CB8&amp;"Template de desconto FLAT bundle - Velox XDSL - Varejo"),[2]BENEFICIOS!$A:$E,5,0))),"Criar",IF(CB8="","",VLOOKUP(($AY8&amp;CB8&amp;"Template de desconto FLAT bundle - Velox XDSL - Varejo"),[2]BENEFICIOS!$A:$E,5,0)))</f>
        <v>MKT-1-9829477373</v>
      </c>
      <c r="CD8" s="167" t="s">
        <v>104</v>
      </c>
      <c r="CE8" s="168">
        <v>44.9</v>
      </c>
      <c r="CF8" s="101">
        <f>IF(CE8=0,"",IF(CE8=VLOOKUP("PCS-30604g",[2]ARBOR!$A:$C,3,0),0.0001,IF(CE8&gt;VLOOKUP("PCS-30604g",[2]ARBOR!$A:$C,3,0),"Maior que CAP!",IF((DOLLAR(CE8+(VLOOKUP("PCS-30604g",[2]ARBOR!$A:$C,3,0)*-TRUNC(CE8/VLOOKUP("PCS-30604g",[2]ARBOR!$A:$C,3,0)-1,4)),6))&lt;&gt;(DOLLAR(VLOOKUP("PCS-30604g",[2]ARBOR!$A:$C,3,0),6)),-TRUNC(CE8/VLOOKUP("PCS-30604g",[2]ARBOR!$A:$C,3,0)-1,4)+0.0001,-TRUNC(CE8/VLOOKUP("PCS-30604g",[2]ARBOR!$A:$C,3,0)-1,4)))))</f>
        <v>0.53679999999999994</v>
      </c>
      <c r="CG8" s="163" t="str">
        <f>IF(ISERROR(IF(CF8="","",VLOOKUP(($AY8&amp;CF8&amp;"Template de desconto FLAT bundle - Velox XDSL - Varejo"),[2]BENEFICIOS!$A:$E,5,0))),"Criar",IF(CF8="","",VLOOKUP(($AY8&amp;CF8&amp;"Template de desconto FLAT bundle - Velox XDSL - Varejo"),[2]BENEFICIOS!$A:$E,5,0)))</f>
        <v>MKT-1-9829477373</v>
      </c>
      <c r="CH8" s="167" t="s">
        <v>104</v>
      </c>
      <c r="CI8" s="168">
        <v>44.9</v>
      </c>
      <c r="CJ8" s="101">
        <f>IF(CI8=0,"",IF(CI8=VLOOKUP("PCS-30631g",[2]ARBOR!$A:$C,3,0),0.0001,IF(CI8&gt;VLOOKUP("PCS-30631g",[2]ARBOR!$A:$C,3,0),"Maior que CAP!",IF((DOLLAR(CI8+(VLOOKUP("PCS-30631g",[2]ARBOR!$A:$C,3,0)*-TRUNC(CI8/VLOOKUP("PCS-30631g",[2]ARBOR!$A:$C,3,0)-1,4)),6))&lt;&gt;(DOLLAR(VLOOKUP("PCS-30631g",[2]ARBOR!$A:$C,3,0),6)),-TRUNC(CI8/VLOOKUP("PCS-30631g",[2]ARBOR!$A:$C,3,0)-1,4)+0.0001,-TRUNC(CI8/VLOOKUP("PCS-30631g",[2]ARBOR!$A:$C,3,0)-1,4)))))</f>
        <v>0.54310000000000003</v>
      </c>
      <c r="CK8" s="163" t="str">
        <f>IF(ISERROR(IF(CJ8="","",VLOOKUP(($AY8&amp;CJ8&amp;"Template de desconto FLAT bundle - Velox XDSL - Varejo"),[2]BENEFICIOS!$A:$E,5,0))),"Criar",IF(CJ8="","",VLOOKUP(($AY8&amp;CJ8&amp;"Template de desconto FLAT bundle - Velox XDSL - Varejo"),[2]BENEFICIOS!$A:$E,5,0)))</f>
        <v>MKT-1-9828219079</v>
      </c>
      <c r="CL8" s="167"/>
      <c r="CM8" s="168"/>
      <c r="CN8" s="101" t="str">
        <f>IF(CM8=0,"",IF(CM8=VLOOKUP("PCS-30658g",[2]ARBOR!$A:$C,3,0),0.0001,IF(CM8&gt;VLOOKUP("PCS-30658g",[2]ARBOR!$A:$C,3,0),"Maior que CAP!",IF((DOLLAR(CM8+(VLOOKUP("PCS-30658g",[2]ARBOR!$A:$C,3,0)*-TRUNC(CM8/VLOOKUP("PCS-30658g",[2]ARBOR!$A:$C,3,0)-1,4)),6))&lt;&gt;(DOLLAR(VLOOKUP("PCS-30658g",[2]ARBOR!$A:$C,3,0),6)),-TRUNC(CM8/VLOOKUP("PCS-30658g",[2]ARBOR!$A:$C,3,0)-1,4)+0.0001,-TRUNC(CM8/VLOOKUP("PCS-30658g",[2]ARBOR!$A:$C,3,0)-1,4)))))</f>
        <v/>
      </c>
      <c r="CO8" s="163" t="str">
        <f>IF(ISERROR(IF(CN8="","",VLOOKUP(($AY8&amp;CN8&amp;"Template de desconto FLAT bundle - Velox XDSL - Varejo"),[2]BENEFICIOS!$A:$E,5,0))),"Criar",IF(CN8="","",VLOOKUP(($AY8&amp;CN8&amp;"Template de desconto FLAT bundle - Velox XDSL - Varejo"),[2]BENEFICIOS!$A:$E,5,0)))</f>
        <v/>
      </c>
      <c r="CP8" s="167"/>
      <c r="CQ8" s="168"/>
      <c r="CR8" s="101" t="str">
        <f>IF(CQ8=0,"",IF(CQ8=VLOOKUP("PCS-30685g",[2]ARBOR!$A:$C,3,0),0.0001,IF(CQ8&gt;VLOOKUP("PCS-30685g",[2]ARBOR!$A:$C,3,0),"Maior que CAP!",IF((DOLLAR(CQ8+(VLOOKUP("PCS-30685g",[2]ARBOR!$A:$C,3,0)*-TRUNC(CQ8/VLOOKUP("PCS-30685g",[2]ARBOR!$A:$C,3,0)-1,4)),6))&lt;&gt;(DOLLAR(VLOOKUP("PCS-30685g",[2]ARBOR!$A:$C,3,0),6)),-TRUNC(CQ8/VLOOKUP("PCS-30685g",[2]ARBOR!$A:$C,3,0)-1,4)+0.0001,-TRUNC(CQ8/VLOOKUP("PCS-30685g",[2]ARBOR!$A:$C,3,0)-1,4)))))</f>
        <v/>
      </c>
      <c r="CS8" s="163" t="str">
        <f>IF(ISERROR(IF(CR8="","",VLOOKUP(($AY8&amp;CR8&amp;"Template de desconto FLAT bundle - Velox XDSL - Varejo"),[2]BENEFICIOS!$A:$E,5,0))),"Criar",IF(CR8="","",VLOOKUP(($AY8&amp;CR8&amp;"Template de desconto FLAT bundle - Velox XDSL - Varejo"),[2]BENEFICIOS!$A:$E,5,0)))</f>
        <v/>
      </c>
      <c r="CT8" s="167"/>
      <c r="CU8" s="168"/>
      <c r="CV8" s="101" t="str">
        <f>IF(CU8=0,"",IF(CU8=VLOOKUP("PCS-30712g",[2]ARBOR!$A:$C,3,0),0.0001,IF(CU8&gt;VLOOKUP("PCS-30712g",[2]ARBOR!$A:$C,3,0),"Maior que CAP!",IF((DOLLAR(CU8+(VLOOKUP("PCS-30712g",[2]ARBOR!$A:$C,3,0)*-TRUNC(CU8/VLOOKUP("PCS-30712g",[2]ARBOR!$A:$C,3,0)-1,4)),6))&lt;&gt;(DOLLAR(VLOOKUP("PCS-30712g",[2]ARBOR!$A:$C,3,0),6)),-TRUNC(CU8/VLOOKUP("PCS-30712g",[2]ARBOR!$A:$C,3,0)-1,4)+0.0001,-TRUNC(CU8/VLOOKUP("PCS-30712g",[2]ARBOR!$A:$C,3,0)-1,4)))))</f>
        <v/>
      </c>
      <c r="CW8" s="163" t="str">
        <f>IF(ISERROR(IF(CV8="","",VLOOKUP(($AY8&amp;CV8&amp;"Template de desconto FLAT bundle - Velox XDSL - Varejo"),[2]BENEFICIOS!$A:$E,5,0))),"Criar",IF(CV8="","",VLOOKUP(($AY8&amp;CV8&amp;"Template de desconto FLAT bundle - Velox XDSL - Varejo"),[2]BENEFICIOS!$A:$E,5,0)))</f>
        <v/>
      </c>
      <c r="CX8" s="167"/>
      <c r="CY8" s="168"/>
      <c r="CZ8" s="101" t="str">
        <f>IF(CY8=0,"",IF(CY8=VLOOKUP("PCS-30739g",[2]ARBOR!$A:$C,3,0),0.0001,IF(CY8&gt;VLOOKUP("PCS-30739g",[2]ARBOR!$A:$C,3,0),"Maior que CAP!",IF((DOLLAR(CY8+(VLOOKUP("PCS-30739g",[2]ARBOR!$A:$C,3,0)*-TRUNC(CY8/VLOOKUP("PCS-30739g",[2]ARBOR!$A:$C,3,0)-1,4)),6))&lt;&gt;(DOLLAR(VLOOKUP("PCS-30739g",[2]ARBOR!$A:$C,3,0),6)),-TRUNC(CY8/VLOOKUP("PCS-30739g",[2]ARBOR!$A:$C,3,0)-1,4)+0.0001,-TRUNC(CY8/VLOOKUP("PCS-30739g",[2]ARBOR!$A:$C,3,0)-1,4)))))</f>
        <v/>
      </c>
      <c r="DA8" s="169" t="str">
        <f>IF(ISERROR(IF(CZ8="","",VLOOKUP(($AY8&amp;CZ8&amp;"Template de desconto FLAT bundle - Velox XDSL - Varejo"),[2]BENEFICIOS!$A:$E,5,0))),"Criar",IF(CZ8="","",VLOOKUP(($AY8&amp;CZ8&amp;"Template de desconto FLAT bundle - Velox XDSL - Varejo"),[2]BENEFICIOS!$A:$E,5,0)))</f>
        <v/>
      </c>
      <c r="DB8" s="170"/>
      <c r="DC8" s="171"/>
      <c r="DD8" s="101" t="str">
        <f>IF(DB8=0,"",IF(DB8=VLOOKUP("PCS-30739g",[2]ARBOR!$A:$C,3,0),0.0001,IF(DB8&gt;VLOOKUP("PCS-30739g",[2]ARBOR!$A:$C,3,0),"Maior que CAP!",IF((DOLLAR(DB8+(VLOOKUP("PCS-30739g",[2]ARBOR!$A:$C,3,0)*-TRUNC(DB8/VLOOKUP("PCS-30739g",[2]ARBOR!$A:$C,3,0)-1,4)),6))&lt;&gt;(DOLLAR(VLOOKUP("PCS-30739g",[2]ARBOR!$A:$C,3,0),6)),(-TRUNC(DB8/VLOOKUP("PCS-30739g",[2]ARBOR!$A:$C,3,0)-1,4)+0.0001)-CZ8,-TRUNC(DB8/VLOOKUP("PCS-30739g",[2]ARBOR!$A:$C,3,0)-1,4)-CZ8))))</f>
        <v/>
      </c>
      <c r="DE8" s="163" t="str">
        <f>IF(ISERROR(IF(DD8="","",VLOOKUP(($AY8&amp;DD8&amp;"Template de desconto percentual Bundle - Velox XDSL - Varejo"),[2]BENEFICIOS!$A:$E,5,0))),"Criar",IF(DD8="","",VLOOKUP(($AY8&amp;DD8&amp;"Template de desconto percentual Bundle - Velox XDSL - Varejo"),[2]BENEFICIOS!$A:$E,5,0)))</f>
        <v/>
      </c>
      <c r="DF8" s="167"/>
      <c r="DG8" s="168"/>
      <c r="DH8" s="101" t="str">
        <f>IF(DG8=0,"",IF(DG8=VLOOKUP("PCS-30766g",[2]ARBOR!$A:$C,3,0),0.0001,IF(DG8&gt;VLOOKUP("PCS-30766g",[2]ARBOR!$A:$C,3,0),"Maior que CAP!",IF((DOLLAR(DG8+(VLOOKUP("PCS-30766g",[2]ARBOR!$A:$C,3,0)*-TRUNC(DG8/VLOOKUP("PCS-30766g",[2]ARBOR!$A:$C,3,0)-1,4)),6))&lt;&gt;(DOLLAR(VLOOKUP("PCS-30766g",[2]ARBOR!$A:$C,3,0),6)),-TRUNC(DG8/VLOOKUP("PCS-30766g",[2]ARBOR!$A:$C,3,0)-1,4)+0.0001,-TRUNC(DG8/VLOOKUP("PCS-30766g",[2]ARBOR!$A:$C,3,0)-1,4)))))</f>
        <v/>
      </c>
      <c r="DI8" s="169" t="str">
        <f>IF(ISERROR(IF(DH8="","",VLOOKUP(($AY8&amp;DH8&amp;"Template de desconto FLAT bundle - Velox XDSL - Varejo"),[2]BENEFICIOS!$A:$E,5,0))),"Criar",IF(DH8="","",VLOOKUP(($AY8&amp;DH8&amp;"Template de desconto FLAT bundle - Velox XDSL - Varejo"),[2]BENEFICIOS!$A:$E,5,0)))</f>
        <v/>
      </c>
      <c r="DJ8" s="170"/>
      <c r="DK8" s="171"/>
      <c r="DL8" s="101" t="str">
        <f>IF(DJ8=0,"",IF(DJ8=VLOOKUP("PCS-30766g",[2]ARBOR!$A:$C,3,0),0.0001,IF(DJ8&gt;VLOOKUP("PCS-30766g",[2]ARBOR!$A:$C,3,0),"Maior que CAP!",IF((DOLLAR(DJ8+(VLOOKUP("PCS-30766g",[2]ARBOR!$A:$C,3,0)*-TRUNC(DJ8/VLOOKUP("PCS-30766g",[2]ARBOR!$A:$C,3,0)-1,4)),6))&lt;&gt;(DOLLAR(VLOOKUP("PCS-30766g",[2]ARBOR!$A:$C,3,0),6)),(-TRUNC(DJ8/VLOOKUP("PCS-30766g",[2]ARBOR!$A:$C,3,0)-1,4)+0.0001)-DH8,-TRUNC(DJ8/VLOOKUP("PCS-30766g",[2]ARBOR!$A:$C,3,0)-1,4)-DH8))))</f>
        <v/>
      </c>
      <c r="DM8" s="163" t="str">
        <f>IF(ISERROR(IF(DL8="","",VLOOKUP(($AY8&amp;DL8&amp;"Template de desconto percentual Bundle - Velox XDSL - Varejo"),[2]BENEFICIOS!$A:$E,5,0))),"Criar",IF(DL8="","",VLOOKUP(($AY8&amp;DL8&amp;"Template de desconto percentual Bundle - Velox XDSL - Varejo"),[2]BENEFICIOS!$A:$E,5,0)))</f>
        <v/>
      </c>
      <c r="DN8" s="167"/>
      <c r="DO8" s="168"/>
      <c r="DP8" s="101" t="str">
        <f>IF(DO8=0,"",IF(DO8=VLOOKUP("PCS-30793g",[2]ARBOR!$A:$C,3,0),0.0001,IF(DO8&gt;VLOOKUP("PCS-30793g",[2]ARBOR!$A:$C,3,0),"Maior que CAP!",IF((DOLLAR(DO8+(VLOOKUP("PCS-30793g",[2]ARBOR!$A:$C,3,0)*-TRUNC(DO8/VLOOKUP("PCS-30793g",[2]ARBOR!$A:$C,3,0)-1,4)),6))&lt;&gt;(DOLLAR(VLOOKUP("PCS-30793g",[2]ARBOR!$A:$C,3,0),6)),-TRUNC(DO8/VLOOKUP("PCS-30793g",[2]ARBOR!$A:$C,3,0)-1,4)+0.0001,-TRUNC(DO8/VLOOKUP("PCS-30793g",[2]ARBOR!$A:$C,3,0)-1,4)))))</f>
        <v/>
      </c>
      <c r="DQ8" s="169" t="str">
        <f>IF(ISERROR(IF(DP8="","",VLOOKUP(($AY8&amp;DP8&amp;"Template de desconto FLAT bundle - Velox XDSL - Varejo"),[2]BENEFICIOS!$A:$E,5,0))),"Criar",IF(DP8="","",VLOOKUP(($AY8&amp;DP8&amp;"Template de desconto FLAT bundle - Velox XDSL - Varejo"),[2]BENEFICIOS!$A:$E,5,0)))</f>
        <v/>
      </c>
      <c r="DR8" s="170"/>
      <c r="DS8" s="171"/>
      <c r="DT8" s="101" t="str">
        <f>IF(DR8=0,"",IF(DR8=VLOOKUP("PCS-30793g",[2]ARBOR!$A:$C,3,0),0.0001,IF(DR8&gt;VLOOKUP("PCS-30793g",[2]ARBOR!$A:$C,3,0),"Maior que CAP!",IF((DOLLAR(DR8+(VLOOKUP("PCS-30793g",[2]ARBOR!$A:$C,3,0)*-TRUNC(DR8/VLOOKUP("PCS-30793g",[2]ARBOR!$A:$C,3,0)-1,4)),6))&lt;&gt;(DOLLAR(VLOOKUP("PCS-30793g",[2]ARBOR!$A:$C,3,0),6)),(-TRUNC(DR8/VLOOKUP("PCS-30793g",[2]ARBOR!$A:$C,3,0)-1,4)+0.0001)-DP8,-TRUNC(DR8/VLOOKUP("PCS-30793g",[2]ARBOR!$A:$C,3,0)-1,4)-DP8))))</f>
        <v/>
      </c>
      <c r="DU8" s="163" t="str">
        <f>IF(ISERROR(IF(DT8="","",VLOOKUP(($AY8&amp;DT8&amp;"Template de desconto percentual Bundle - Velox XDSL - Varejo"),[2]BENEFICIOS!$A:$E,5,0))),"Criar",IF(DT8="","",VLOOKUP(($AY8&amp;DT8&amp;"Template de desconto percentual Bundle - Velox XDSL - Varejo"),[2]BENEFICIOS!$A:$E,5,0)))</f>
        <v/>
      </c>
      <c r="DV8" s="167"/>
      <c r="DW8" s="168"/>
      <c r="DX8" s="101" t="str">
        <f>IF(DW8=0,"",IF(DW8=VLOOKUP("PCS-30820g",[2]ARBOR!$A:$C,3,0),0.0001,IF(DW8&gt;VLOOKUP("PCS-30820g",[2]ARBOR!$A:$C,3,0),"Maior que CAP!",IF((DOLLAR(DW8+(VLOOKUP("PCS-30820g",[2]ARBOR!$A:$C,3,0)*-TRUNC(DW8/VLOOKUP("PCS-30820g",[2]ARBOR!$A:$C,3,0)-1,4)),6))&lt;&gt;(DOLLAR(VLOOKUP("PCS-30820g",[2]ARBOR!$A:$C,3,0),6)),-TRUNC(DW8/VLOOKUP("PCS-30820g",[2]ARBOR!$A:$C,3,0)-1,4)+0.0001,-TRUNC(DW8/VLOOKUP("PCS-30820g",[2]ARBOR!$A:$C,3,0)-1,4)))))</f>
        <v/>
      </c>
      <c r="DY8" s="169" t="str">
        <f>IF(ISERROR(IF(DX8="","",VLOOKUP(($AY8&amp;DX8&amp;"Template de desconto FLAT bundle - Velox XDSL - Varejo"),[2]BENEFICIOS!$A:$E,5,0))),"Criar",IF(DX8="","",VLOOKUP(($AY8&amp;DX8&amp;"Template de desconto FLAT bundle - Velox XDSL - Varejo"),[2]BENEFICIOS!$A:$E,5,0)))</f>
        <v/>
      </c>
      <c r="DZ8" s="170"/>
      <c r="EA8" s="171"/>
      <c r="EB8" s="101" t="str">
        <f>IF(DZ8=0,"",IF(DZ8=VLOOKUP("PCS-30820g",[2]ARBOR!$A:$C,3,0),0.0001,IF(DZ8&gt;VLOOKUP("PCS-30820g",[2]ARBOR!$A:$C,3,0),"Maior que CAP!",IF((DOLLAR(DZ8+(VLOOKUP("PCS-30820g",[2]ARBOR!$A:$C,3,0)*-TRUNC(DZ8/VLOOKUP("PCS-30820g",[2]ARBOR!$A:$C,3,0)-1,4)),6))&lt;&gt;(DOLLAR(VLOOKUP("PCS-30820g",[2]ARBOR!$A:$C,3,0),6)),(-TRUNC(DZ8/VLOOKUP("PCS-30820g",[2]ARBOR!$A:$C,3,0)-1,4)+0.0001)-DX8,-TRUNC(DZ8/VLOOKUP("PCS-30820g",[2]ARBOR!$A:$C,3,0)-1,4)-DX8))))</f>
        <v/>
      </c>
      <c r="EC8" s="163" t="str">
        <f>IF(ISERROR(IF(EB8="","",VLOOKUP(($AY8&amp;EB8&amp;"Template de desconto percentual Bundle - Velox XDSL - Varejo"),[2]BENEFICIOS!$A:$E,5,0))),"Criar",IF(EB8="","",VLOOKUP(($AY8&amp;EB8&amp;"Template de desconto percentual Bundle - Velox XDSL - Varejo"),[2]BENEFICIOS!$A:$E,5,0)))</f>
        <v/>
      </c>
      <c r="ED8" s="172">
        <v>44.9</v>
      </c>
      <c r="EE8" s="101">
        <f>IF(ED8=0,"",IF(ED8=VLOOKUP("PCS-21448p2",[2]ARBOR!$A:$C,3,0),0.0001,IF(ED8&gt;VLOOKUP("PCS-21448p2",[2]ARBOR!$A:$C,3,0),"Maior que CAP!",IF((DOLLAR(ED8+(VLOOKUP("PCS-21448p2",[2]ARBOR!$A:$C,3,0)*-TRUNC(ED8/VLOOKUP("PCS-21448p2",[2]ARBOR!$A:$C,3,0)-1,4)),6))&lt;&gt;(DOLLAR(VLOOKUP("PCS-21448p2",[2]ARBOR!$A:$C,3,0),6)),-TRUNC(ED8/VLOOKUP("PCS-21448p2",[2]ARBOR!$A:$C,3,0)-1,4)+0.0001,-TRUNC(ED8/VLOOKUP("PCS-21448p2",[2]ARBOR!$A:$C,3,0)-1,4)))))</f>
        <v>0.64900000000000002</v>
      </c>
      <c r="EF8" s="101" t="str">
        <f>IF(ISERROR(IF(EE8="","",VLOOKUP(("Oi Conta Total Plug 10GB Downgrade"&amp;EE8&amp;"Template de desconto percentual BL Móvel - Internet Total - Varejo"),[2]BENEFICIOS!$A:$E,5,0))),"Criar",IF(EE8="","",VLOOKUP(("Oi Conta Total Plug 10GB Downgrade"&amp;EE8&amp;"Template de desconto percentual BL Móvel - Internet Total - Varejo"),[2]BENEFICIOS!$A:$E,5,0)))</f>
        <v>MKT-1-9825544790</v>
      </c>
      <c r="EG8" s="173">
        <v>16.5</v>
      </c>
      <c r="EH8" s="174">
        <f>IF(EG8=0,"",IF(EG8=VLOOKUP("SVA",[2]ARBOR!$A:$C,3,0),0.0001,IF(EG8&gt;VLOOKUP("SVA",[2]ARBOR!$A:$C,3,0),"Maior que CAP!",IF((DOLLAR(EG8+(VLOOKUP("SVA",[2]ARBOR!$A:$C,3,0)*-TRUNC(EG8/VLOOKUP("SVA",[2]ARBOR!$A:$C,3,0)-1,4)),6))&lt;&gt;(DOLLAR(VLOOKUP("SVA",[2]ARBOR!$A:$C,3,0),6)),-TRUNC(EG8/VLOOKUP("SVA",[2]ARBOR!$A:$C,3,0)-1,4)+0.0001,-TRUNC(EG8/VLOOKUP("SVA",[2]ARBOR!$A:$C,3,0)-1,4)))))</f>
        <v>0.2301</v>
      </c>
      <c r="EI8" s="174" t="s">
        <v>177</v>
      </c>
      <c r="EJ8" s="175"/>
      <c r="EK8" s="176"/>
      <c r="EL8" s="177" t="str">
        <f t="shared" si="3"/>
        <v/>
      </c>
      <c r="EM8" s="174" t="str">
        <f>IF(EL8="S/Desc","S/Desc",IF(ISERROR(IF(EL8="","",VLOOKUP(($BX8&amp;EL8&amp;"Template Desc. % sobre Serviço SVA B2C"),[2]BENEFICIOS!$A:$G,5,0))),"Criar",IF(EL8="","",VLOOKUP(($BX8&amp;EL8&amp;"Template Desc. % sobre Serviço SVA B2C"),[2]BENEFICIOS!$A:$G,5,0))))</f>
        <v/>
      </c>
      <c r="EN8" s="103"/>
      <c r="EO8" s="101" t="str">
        <f>IF(EN8=0,"",IF(EN8=VLOOKUP("PCS-OzTL40",[2]ARBOR!$A:$C,3,0),0.0001,IF(EN8&gt;VLOOKUP("PCS-OzTL40",[2]ARBOR!$A:$C,3,0),"Maior que CAP!",IF((DOLLAR(EN8+(VLOOKUP("PCS-OzTL40",[2]ARBOR!$A:$C,3,0)*-TRUNC(EN8/VLOOKUP("PCS-OzTL40",[2]ARBOR!$A:$C,3,0)-1,4)),6))&lt;&gt;(DOLLAR(VLOOKUP("PCS-OzTL40",[2]ARBOR!$A:$C,3,0),6)),-TRUNC(EN8/VLOOKUP("PCS-OzTL40",[2]ARBOR!$A:$C,3,0)-1,4)+0.0001,-TRUNC(EN8/VLOOKUP("PCS-OzTL40",[2]ARBOR!$A:$C,3,0)-1,4)))))</f>
        <v/>
      </c>
      <c r="EP8" s="163" t="str">
        <f>IF(ISERROR(IF(EO8="","",VLOOKUP(($AY8&amp;EO8&amp;"Template desconto FLAT Plano Principal Oi TV nível conta"),[2]BENEFICIOS!$A:$G,5,0))),"Criar",IF(EO8="","",VLOOKUP(($AY8&amp;EO8&amp;"Template desconto FLAT Plano Principal Oi TV nível conta"),[2]BENEFICIOS!$A:$G,5,0)))</f>
        <v/>
      </c>
      <c r="EQ8" s="103"/>
      <c r="ER8" s="101" t="str">
        <f>IF(EQ8=0,"",IF(EQ8=VLOOKUP("PCS-OzTL41",[2]ARBOR!$A:$C,3,0),0.0001,IF(EQ8&gt;VLOOKUP("PCS-OzTL41",[2]ARBOR!$A:$C,3,0),"Maior que CAP!",IF((DOLLAR(EQ8+(VLOOKUP("PCS-OzTL41",[2]ARBOR!$A:$C,3,0)*-TRUNC(EQ8/VLOOKUP("PCS-OzTL41",[2]ARBOR!$A:$C,3,0)-1,4)),6))&lt;&gt;(DOLLAR(VLOOKUP("PCS-OzTL41",[2]ARBOR!$A:$C,3,0),6)),-TRUNC(EQ8/VLOOKUP("PCS-OzTL41",[2]ARBOR!$A:$C,3,0)-1,4)+0.0001,-TRUNC(EQ8/VLOOKUP("PCS-OzTL41",[2]ARBOR!$A:$C,3,0)-1,4)))))</f>
        <v/>
      </c>
      <c r="ES8" s="178" t="str">
        <f>IF(ISERROR(IF(ER8="","",VLOOKUP(($AY8&amp;ER8&amp;"Template desconto FLAT Plano Principal Oi TV nível conta"),[2]BENEFICIOS!$A:$G,5,0))),"Criar",IF(ER8="","",VLOOKUP(($AY8&amp;ER8&amp;"Template desconto FLAT Plano Principal Oi TV nível conta"),[2]BENEFICIOS!$A:$G,5,0)))</f>
        <v/>
      </c>
      <c r="ET8" s="103"/>
      <c r="EU8" s="101" t="str">
        <f>IF(ET8=0,"",IF(ET8=VLOOKUP("PCS-OzTL44",[2]ARBOR!$A:$C,3,0),0.0001,IF(ET8&gt;VLOOKUP("PCS-OzTL44",[2]ARBOR!$A:$C,3,0),"Maior que CAP!",IF((DOLLAR(ET8+(VLOOKUP("PCS-OzTL44",[2]ARBOR!$A:$C,3,0)*-TRUNC(ET8/VLOOKUP("PCS-OzTL44",[2]ARBOR!$A:$C,3,0)-1,4)),6))&lt;&gt;(DOLLAR(VLOOKUP("PCS-OzTL44",[2]ARBOR!$A:$C,3,0),6)),-TRUNC(ET8/VLOOKUP("PCS-OzTL44",[2]ARBOR!$A:$C,3,0)-1,4)+0.0001,-TRUNC(ET8/VLOOKUP("PCS-OzTL44",[2]ARBOR!$A:$C,3,0)-1,4)))))</f>
        <v/>
      </c>
      <c r="EV8" s="178" t="str">
        <f>IF(ISERROR(IF(EU8="","",VLOOKUP(($AY8&amp;EU8&amp;"Template desconto FLAT Plano Principal Oi TV nível conta"),[2]BENEFICIOS!$A:$G,5,0))),"Criar",IF(EU8="","",VLOOKUP(($AY8&amp;EU8&amp;"Template desconto FLAT Plano Principal Oi TV nível conta"),[2]BENEFICIOS!$A:$G,5,0)))</f>
        <v/>
      </c>
      <c r="EW8" s="103"/>
      <c r="EX8" s="101" t="str">
        <f>IF(EW8=0,"",IF(EW8=VLOOKUP("PCS-OzTL43",[2]ARBOR!$A:$C,3,0),0.0001,IF(EW8&gt;VLOOKUP("PCS-OzTL43",[2]ARBOR!$A:$C,3,0),"Maior que CAP!",IF((DOLLAR(EW8+(VLOOKUP("PCS-OzTL43",[2]ARBOR!$A:$C,3,0)*-TRUNC(EW8/VLOOKUP("PCS-OzTL43",[2]ARBOR!$A:$C,3,0)-1,4)),6))&lt;&gt;(DOLLAR(VLOOKUP("PCS-OzTL43",[2]ARBOR!$A:$C,3,0),6)),-TRUNC(EW8/VLOOKUP("PCS-OzTL43",[2]ARBOR!$A:$C,3,0)-1,4)+0.0001,-TRUNC(EW8/VLOOKUP("PCS-OzTL43",[2]ARBOR!$A:$C,3,0)-1,4)))))</f>
        <v/>
      </c>
      <c r="EY8" s="178" t="str">
        <f>IF(ISERROR(IF(EX8="","",VLOOKUP(($AY8&amp;EX8&amp;"Template desconto FLAT Plano Principal Oi TV nível conta"),[2]BENEFICIOS!$A:$G,5,0))),"Criar",IF(EX8="","",VLOOKUP(($AY8&amp;EX8&amp;"Template desconto FLAT Plano Principal Oi TV nível conta"),[2]BENEFICIOS!$A:$G,5,0)))</f>
        <v/>
      </c>
      <c r="EZ8" s="103"/>
      <c r="FA8" s="101" t="str">
        <f>IF(EZ8=0,"",IF(EZ8=VLOOKUP("PCS-OzTL45",[2]ARBOR!$A:$C,3,0),0.0001,IF(EZ8&gt;VLOOKUP("PCS-OzTL45",[2]ARBOR!$A:$C,3,0),"Maior que CAP!",IF((DOLLAR(EZ8+(VLOOKUP("PCS-OzTL45",[2]ARBOR!$A:$C,3,0)*-TRUNC(EZ8/VLOOKUP("PCS-OzTL45",[2]ARBOR!$A:$C,3,0)-1,4)),6))&lt;&gt;(DOLLAR(VLOOKUP("PCS-OzTL45",[2]ARBOR!$A:$C,3,0),6)),-TRUNC(EZ8/VLOOKUP("PCS-OzTL45",[2]ARBOR!$A:$C,3,0)-1,4)+0.0001,-TRUNC(EZ8/VLOOKUP("PCS-OzTL45",[2]ARBOR!$A:$C,3,0)-1,4)))))</f>
        <v/>
      </c>
      <c r="FB8" s="178" t="str">
        <f>IF(ISERROR(IF(FA8="","",VLOOKUP(($AY8&amp;FA8&amp;"Template desconto FLAT Plano Principal Oi TV nível conta"),[2]BENEFICIOS!$A:$G,5,0))),"Criar",IF(FA8="","",VLOOKUP(($AY8&amp;FA8&amp;"Template desconto FLAT Plano Principal Oi TV nível conta"),[2]BENEFICIOS!$A:$G,5,0)))</f>
        <v/>
      </c>
      <c r="FC8" s="103"/>
      <c r="FD8" s="101" t="str">
        <f>IF(FC8=0,"",IF(FC8=VLOOKUP("PCS-OzTL741",[2]ARBOR!$A:$C,3,0),0.0001,IF(FC8&gt;VLOOKUP("PCS-OzTL741",[2]ARBOR!$A:$C,3,0),"Maior que CAP!",IF((DOLLAR(FC8+(VLOOKUP("PCS-OzTL741",[2]ARBOR!$A:$C,3,0)*-TRUNC(FC8/VLOOKUP("PCS-OzTL741",[2]ARBOR!$A:$C,3,0)-1,4)),6))&lt;&gt;(DOLLAR(VLOOKUP("PCS-OzTL741",[2]ARBOR!$A:$C,3,0),6)),-TRUNC(FC8/VLOOKUP("PCS-OzTL741",[2]ARBOR!$A:$C,3,0)-1,4)+0.0001,-TRUNC(FC8/VLOOKUP("PCS-OzTL741",[2]ARBOR!$A:$C,3,0)-1,4)))))</f>
        <v/>
      </c>
      <c r="FE8" s="178" t="str">
        <f>IF(ISERROR(IF(FD8="","",VLOOKUP(($AY8&amp;FD8&amp;"Template desconto FLAT Plano Principal Oi TV nível conta"),[2]BENEFICIOS!$A:$G,5,0))),"Criar",IF(FD8="","",VLOOKUP(($AY8&amp;FD8&amp;"Template desconto FLAT Plano Principal Oi TV nível conta"),[2]BENEFICIOS!$A:$G,5,0)))</f>
        <v/>
      </c>
      <c r="FF8" s="103"/>
      <c r="FG8" s="101" t="str">
        <f>IF(FF8=0,"",IF(FF8=VLOOKUP("PCS-OzTL744",[2]ARBOR!$A:$C,3,0),0.0001,IF(FF8&gt;VLOOKUP("PCS-OzTL744",[2]ARBOR!$A:$C,3,0),"Maior que CAP!",IF((DOLLAR(FF8+(VLOOKUP("PCS-OzTL744",[2]ARBOR!$A:$C,3,0)*-TRUNC(FF8/VLOOKUP("PCS-OzTL744",[2]ARBOR!$A:$C,3,0)-1,4)),6))&lt;&gt;(DOLLAR(VLOOKUP("PCS-OzTL744",[2]ARBOR!$A:$C,3,0),6)),-TRUNC(FF8/VLOOKUP("PCS-OzTL744",[2]ARBOR!$A:$C,3,0)-1,4)+0.0001,-TRUNC(FF8/VLOOKUP("PCS-OzTL744",[2]ARBOR!$A:$C,3,0)-1,4)))))</f>
        <v/>
      </c>
      <c r="FH8" s="178" t="str">
        <f>IF(ISERROR(IF(FG8="","",VLOOKUP(($AY8&amp;FG8&amp;"Template desconto FLAT Plano Principal Oi TV nível conta"),[2]BENEFICIOS!$A:$G,5,0))),"Criar",IF(FG8="","",VLOOKUP(($AY8&amp;FG8&amp;"Template desconto FLAT Plano Principal Oi TV nível conta"),[2]BENEFICIOS!$A:$G,5,0)))</f>
        <v/>
      </c>
      <c r="FI8" s="103"/>
      <c r="FJ8" s="101" t="str">
        <f>IF(FI8=0,"",IF(FI8=VLOOKUP("PCS-OzTL743",[2]ARBOR!$A:$C,3,0),0.0001,IF(FI8&gt;VLOOKUP("PCS-OzTL743",[2]ARBOR!$A:$C,3,0),"Maior que CAP!",IF((DOLLAR(FI8+(VLOOKUP("PCS-OzTL743",[2]ARBOR!$A:$C,3,0)*-TRUNC(FI8/VLOOKUP("PCS-OzTL743",[2]ARBOR!$A:$C,3,0)-1,4)),6))&lt;&gt;(DOLLAR(VLOOKUP("PCS-OzTL743",[2]ARBOR!$A:$C,3,0),6)),-TRUNC(FI8/VLOOKUP("PCS-OzTL743",[2]ARBOR!$A:$C,3,0)-1,4)+0.0001,-TRUNC(FI8/VLOOKUP("PCS-OzTL743",[2]ARBOR!$A:$C,3,0)-1,4)))))</f>
        <v/>
      </c>
      <c r="FK8" s="178" t="str">
        <f>IF(ISERROR(IF(FJ8="","",VLOOKUP(($AY8&amp;FJ8&amp;"Template desconto FLAT Plano Principal Oi TV nível conta"),[2]BENEFICIOS!$A:$G,5,0))),"Criar",IF(FJ8="","",VLOOKUP(($AY8&amp;FJ8&amp;"Template desconto FLAT Plano Principal Oi TV nível conta"),[2]BENEFICIOS!$A:$G,5,0)))</f>
        <v/>
      </c>
      <c r="FL8" s="103"/>
      <c r="FM8" s="101" t="str">
        <f>IF(FL8=0,"",IF(FL8=VLOOKUP("PCS-OzTL745",[2]ARBOR!$A:$C,3,0),0.0001,IF(FL8&gt;VLOOKUP("PCS-OzTL745",[2]ARBOR!$A:$C,3,0),"Maior que CAP!",IF((DOLLAR(FL8+(VLOOKUP("PCS-OzTL745",[2]ARBOR!$A:$C,3,0)*-TRUNC(FL8/VLOOKUP("PCS-OzTL745",[2]ARBOR!$A:$C,3,0)-1,4)),6))&lt;&gt;(DOLLAR(VLOOKUP("PCS-OzTL745",[2]ARBOR!$A:$C,3,0),6)),-TRUNC(FL8/VLOOKUP("PCS-OzTL745",[2]ARBOR!$A:$C,3,0)-1,4)+0.0001,-TRUNC(FL8/VLOOKUP("PCS-OzTL745",[2]ARBOR!$A:$C,3,0)-1,4)))))</f>
        <v/>
      </c>
      <c r="FN8" s="178" t="str">
        <f>IF(ISERROR(IF(FM8="","",VLOOKUP(($AY8&amp;FM8&amp;"Template desconto FLAT Plano Principal Oi TV nível conta"),[2]BENEFICIOS!$A:$G,5,0))),"Criar",IF(FM8="","",VLOOKUP(($AY8&amp;FM8&amp;"Template desconto FLAT Plano Principal Oi TV nível conta"),[2]BENEFICIOS!$A:$G,5,0)))</f>
        <v/>
      </c>
      <c r="FO8" s="103"/>
      <c r="FP8" s="101" t="str">
        <f>IF(FO8=0,"",IF(FO8=VLOOKUP("PCS-OzTL42",[2]ARBOR!$A:$C,3,0),0.0001,IF(FO8&gt;VLOOKUP("PCS-OzTL42",[2]ARBOR!$A:$C,3,0),"Maior que CAP!",IF((DOLLAR(FO8+(VLOOKUP("PCS-OzTL42",[2]ARBOR!$A:$C,3,0)*-TRUNC(FO8/VLOOKUP("PCS-OzTL42",[2]ARBOR!$A:$C,3,0)-1,4)),6))&lt;&gt;(DOLLAR(VLOOKUP("PCS-OzTL42",[2]ARBOR!$A:$C,3,0),6)),-TRUNC(FO8/VLOOKUP("PCS-OzTL42",[2]ARBOR!$A:$C,3,0)-1,4)+0.0001,-TRUNC(FO8/VLOOKUP("PCS-OzTL42",[2]ARBOR!$A:$C,3,0)-1,4)))))</f>
        <v/>
      </c>
      <c r="FQ8" s="178" t="str">
        <f>IF(ISERROR(IF(FP8="","",VLOOKUP(($AY8&amp;FP8&amp;"Template desconto FLAT Plano Principal Oi TV nível conta"),[2]BENEFICIOS!$A:$G,5,0))),"Criar",IF(FP8="","",VLOOKUP(($AY8&amp;FP8&amp;"Template desconto FLAT Plano Principal Oi TV nível conta"),[2]BENEFICIOS!$A:$G,5,0)))</f>
        <v/>
      </c>
      <c r="FR8" s="103"/>
      <c r="FS8" s="101" t="str">
        <f>IF(FR8=0,"",IF(FR8=VLOOKUP("PCS-OzTL47",[2]ARBOR!$A:$C,3,0),0.0001,IF(FR8&gt;VLOOKUP("PCS-OzTL47",[2]ARBOR!$A:$C,3,0),"Maior que CAP!",IF((DOLLAR(FR8+(VLOOKUP("PCS-OzTL47",[2]ARBOR!$A:$C,3,0)*-TRUNC(FR8/VLOOKUP("PCS-OzTL47",[2]ARBOR!$A:$C,3,0)-1,4)),6))&lt;&gt;(DOLLAR(VLOOKUP("PCS-OzTL47",[2]ARBOR!$A:$C,3,0),6)),-TRUNC(FR8/VLOOKUP("PCS-OzTL47",[2]ARBOR!$A:$C,3,0)-1,4)+0.0001,-TRUNC(FR8/VLOOKUP("PCS-OzTL47",[2]ARBOR!$A:$C,3,0)-1,4)))))</f>
        <v/>
      </c>
      <c r="FT8" s="178" t="str">
        <f>IF(ISERROR(IF(FS8="","",VLOOKUP(($AY8&amp;FS8&amp;"Template desconto FLAT Plano Principal Oi TV nível conta"),[2]BENEFICIOS!$A:$G,5,0))),"Criar",IF(FS8="","",VLOOKUP(($AY8&amp;FS8&amp;"Template desconto FLAT Plano Principal Oi TV nível conta"),[2]BENEFICIOS!$A:$G,5,0)))</f>
        <v/>
      </c>
      <c r="FU8" s="103"/>
      <c r="FV8" s="101" t="str">
        <f>IF(FU8=0,"",IF(FU8=VLOOKUP("PCS-OzTL46",[2]ARBOR!$A:$C,3,0),0.0001,IF(FU8&gt;VLOOKUP("PCS-OzTL46",[2]ARBOR!$A:$C,3,0),"Maior que CAP!",IF((DOLLAR(FU8+(VLOOKUP("PCS-OzTL46",[2]ARBOR!$A:$C,3,0)*-TRUNC(FU8/VLOOKUP("PCS-OzTL46",[2]ARBOR!$A:$C,3,0)-1,4)),6))&lt;&gt;(DOLLAR(VLOOKUP("PCS-OzTL46",[2]ARBOR!$A:$C,3,0),6)),-TRUNC(FU8/VLOOKUP("PCS-OzTL46",[2]ARBOR!$A:$C,3,0)-1,4)+0.0001,-TRUNC(FU8/VLOOKUP("PCS-OzTL46",[2]ARBOR!$A:$C,3,0)-1,4)))))</f>
        <v/>
      </c>
      <c r="FW8" s="178" t="str">
        <f>IF(ISERROR(IF(FV8="","",VLOOKUP(($AY8&amp;FV8&amp;"Template desconto FLAT Plano Principal Oi TV nível conta"),[2]BENEFICIOS!$A:$G,5,0))),"Criar",IF(FV8="","",VLOOKUP(($AY8&amp;FV8&amp;"Template desconto FLAT Plano Principal Oi TV nível conta"),[2]BENEFICIOS!$A:$G,5,0)))</f>
        <v/>
      </c>
      <c r="FX8" s="103"/>
      <c r="FY8" s="101" t="str">
        <f>IF(FX8=0,"",IF(FX8=VLOOKUP("PCS-OzTL48",[2]ARBOR!$A:$C,3,0),0.0001,IF(FX8&gt;VLOOKUP("PCS-OzTL48",[2]ARBOR!$A:$C,3,0),"Maior que CAP!",IF((DOLLAR(FX8+(VLOOKUP("PCS-OzTL48",[2]ARBOR!$A:$C,3,0)*-TRUNC(FX8/VLOOKUP("PCS-OzTL48",[2]ARBOR!$A:$C,3,0)-1,4)),6))&lt;&gt;(DOLLAR(VLOOKUP("PCS-OzTL48",[2]ARBOR!$A:$C,3,0),6)),-TRUNC(FX8/VLOOKUP("PCS-OzTL48",[2]ARBOR!$A:$C,3,0)-1,4)+0.0001,-TRUNC(FX8/VLOOKUP("PCS-OzTL48",[2]ARBOR!$A:$C,3,0)-1,4)))))</f>
        <v/>
      </c>
      <c r="FZ8" s="178" t="str">
        <f>IF(ISERROR(IF(FY8="","",VLOOKUP(($AY8&amp;FY8&amp;"Template desconto FLAT Plano Principal Oi TV nível conta"),[2]BENEFICIOS!$A:$G,5,0))),"Criar",IF(FY8="","",VLOOKUP(($AY8&amp;FY8&amp;"Template desconto FLAT Plano Principal Oi TV nível conta"),[2]BENEFICIOS!$A:$G,5,0)))</f>
        <v/>
      </c>
      <c r="GA8" s="103"/>
      <c r="GB8" s="101" t="str">
        <f>IF(GA8=0,"",IF(GA8=VLOOKUP("PCS-OzTL742",[2]ARBOR!$A:$C,3,0),0.0001,IF(GA8&gt;VLOOKUP("PCS-OzTL742",[2]ARBOR!$A:$C,3,0),"Maior que CAP!",IF((DOLLAR(GA8+(VLOOKUP("PCS-OzTL742",[2]ARBOR!$A:$C,3,0)*-TRUNC(GA8/VLOOKUP("PCS-OzTL742",[2]ARBOR!$A:$C,3,0)-1,4)),6))&lt;&gt;(DOLLAR(VLOOKUP("PCS-OzTL742",[2]ARBOR!$A:$C,3,0),6)),-TRUNC(GA8/VLOOKUP("PCS-OzTL742",[2]ARBOR!$A:$C,3,0)-1,4)+0.0001,-TRUNC(GA8/VLOOKUP("PCS-OzTL742",[2]ARBOR!$A:$C,3,0)-1,4)))))</f>
        <v/>
      </c>
      <c r="GC8" s="178" t="str">
        <f>IF(ISERROR(IF(GB8="","",VLOOKUP(($AY8&amp;GB8&amp;"Template desconto FLAT Plano Principal Oi TV nível conta"),[2]BENEFICIOS!$A:$G,5,0))),"Criar",IF(GB8="","",VLOOKUP(($AY8&amp;GB8&amp;"Template desconto FLAT Plano Principal Oi TV nível conta"),[2]BENEFICIOS!$A:$G,5,0)))</f>
        <v/>
      </c>
      <c r="GD8" s="103"/>
      <c r="GE8" s="101" t="str">
        <f>IF(GD8=0,"",IF(GD8=VLOOKUP("PCS-OzTL747",[2]ARBOR!$A:$C,3,0),0.0001,IF(GD8&gt;VLOOKUP("PCS-OzTL747",[2]ARBOR!$A:$C,3,0),"Maior que CAP!",IF((DOLLAR(GD8+(VLOOKUP("PCS-OzTL747",[2]ARBOR!$A:$C,3,0)*-TRUNC(GD8/VLOOKUP("PCS-OzTL747",[2]ARBOR!$A:$C,3,0)-1,4)),6))&lt;&gt;(DOLLAR(VLOOKUP("PCS-OzTL747",[2]ARBOR!$A:$C,3,0),6)),-TRUNC(GD8/VLOOKUP("PCS-OzTL747",[2]ARBOR!$A:$C,3,0)-1,4)+0.0001,-TRUNC(GD8/VLOOKUP("PCS-OzTL747",[2]ARBOR!$A:$C,3,0)-1,4)))))</f>
        <v/>
      </c>
      <c r="GF8" s="178" t="str">
        <f>IF(ISERROR(IF(GE8="","",VLOOKUP(($AY8&amp;GE8&amp;"Template desconto FLAT Plano Principal Oi TV nível conta"),[2]BENEFICIOS!$A:$G,5,0))),"Criar",IF(GE8="","",VLOOKUP(($AY8&amp;GE8&amp;"Template desconto FLAT Plano Principal Oi TV nível conta"),[2]BENEFICIOS!$A:$G,5,0)))</f>
        <v/>
      </c>
      <c r="GG8" s="103"/>
      <c r="GH8" s="101" t="str">
        <f>IF(GG8=0,"",IF(GG8=VLOOKUP("PCS-OzTL746",[2]ARBOR!$A:$C,3,0),0.0001,IF(GG8&gt;VLOOKUP("PCS-OzTL746",[2]ARBOR!$A:$C,3,0),"Maior que CAP!",IF((DOLLAR(GG8+(VLOOKUP("PCS-OzTL746",[2]ARBOR!$A:$C,3,0)*-TRUNC(GG8/VLOOKUP("PCS-OzTL746",[2]ARBOR!$A:$C,3,0)-1,4)),6))&lt;&gt;(DOLLAR(VLOOKUP("PCS-OzTL746",[2]ARBOR!$A:$C,3,0),6)),-TRUNC(GG8/VLOOKUP("PCS-OzTL746",[2]ARBOR!$A:$C,3,0)-1,4)+0.0001,-TRUNC(GG8/VLOOKUP("PCS-OzTL746",[2]ARBOR!$A:$C,3,0)-1,4)))))</f>
        <v/>
      </c>
      <c r="GI8" s="178" t="str">
        <f>IF(ISERROR(IF(GH8="","",VLOOKUP(($AY8&amp;GH8&amp;"Template desconto FLAT Plano Principal Oi TV nível conta"),[2]BENEFICIOS!$A:$G,5,0))),"Criar",IF(GH8="","",VLOOKUP(($AY8&amp;GH8&amp;"Template desconto FLAT Plano Principal Oi TV nível conta"),[2]BENEFICIOS!$A:$G,5,0)))</f>
        <v/>
      </c>
      <c r="GJ8" s="103">
        <v>189.9</v>
      </c>
      <c r="GK8" s="101">
        <f>IF(GJ8=0,"",IF(GJ8=VLOOKUP("PCS-OzTL748",[2]ARBOR!$A:$C,3,0),0.0001,IF(GJ8&gt;VLOOKUP("PCS-OzTL748",[2]ARBOR!$A:$C,3,0),"Maior que CAP!",IF((DOLLAR(GJ8+(VLOOKUP("PCS-OzTL748",[2]ARBOR!$A:$C,3,0)*-TRUNC(GJ8/VLOOKUP("PCS-OzTL748",[2]ARBOR!$A:$C,3,0)-1,4)),6))&lt;&gt;(DOLLAR(VLOOKUP("PCS-OzTL748",[2]ARBOR!$A:$C,3,0),6)),-TRUNC(GJ8/VLOOKUP("PCS-OzTL748",[2]ARBOR!$A:$C,3,0)-1,4)+0.0001,-TRUNC(GJ8/VLOOKUP("PCS-OzTL748",[2]ARBOR!$A:$C,3,0)-1,4)))))</f>
        <v>0.38400000000000001</v>
      </c>
      <c r="GL8" s="178" t="str">
        <f>IF(ISERROR(IF(GK8="","",VLOOKUP(($AY8&amp;GK8&amp;"Template desconto FLAT Plano Principal Oi TV nível conta"),[2]BENEFICIOS!$A:$G,5,0))),"Criar",IF(GK8="","",VLOOKUP(($AY8&amp;GK8&amp;"Template desconto FLAT Plano Principal Oi TV nível conta"),[2]BENEFICIOS!$A:$G,5,0)))</f>
        <v>MKT-1-9827464097</v>
      </c>
      <c r="GM8" s="103">
        <v>75</v>
      </c>
      <c r="GN8" s="101">
        <f>IF(GM8=0,"",IF(GM8=VLOOKUP("PCS-OzTL34",[2]ARBOR!$A:$C,3,0),0.0001,IF(GM8&gt;VLOOKUP("PCS-OzTL34",[2]ARBOR!$A:$C,3,0),"Maior que CAP!",IF((DOLLAR(GM8+(VLOOKUP("PCS-OzTL34",[2]ARBOR!$A:$C,3,0)*-TRUNC(GM8/VLOOKUP("PCS-OzTL34",[2]ARBOR!$A:$C,3,0)-1,4)),6))&lt;&gt;(DOLLAR(VLOOKUP("PCS-OzTL34",[2]ARBOR!$A:$C,3,0),6)),-TRUNC(GM8/VLOOKUP("PCS-OzTL34",[2]ARBOR!$A:$C,3,0)-1,4)+0.0001,-TRUNC(GM8/VLOOKUP("PCS-OzTL34",[2]ARBOR!$A:$C,3,0)-1,4)))))</f>
        <v>0.31900000000000001</v>
      </c>
      <c r="GO8" s="178" t="s">
        <v>178</v>
      </c>
      <c r="GP8" s="103">
        <v>19.899999999999999</v>
      </c>
      <c r="GQ8" s="101">
        <f>IF(GP8=0,"",IF(GP8=VLOOKUP("PCS-OzTL31",[2]ARBOR!$A:$C,3,0),0.0001,IF(GP8&gt;VLOOKUP("PCS-OzTL31",[2]ARBOR!$A:$C,3,0),"Maior que CAP!",IF((DOLLAR(GP8+(VLOOKUP("PCS-OzTL31",[2]ARBOR!$A:$C,3,0)*-TRUNC(GP8/VLOOKUP("PCS-OzTL31",[2]ARBOR!$A:$C,3,0)-1,4)),6))&lt;&gt;(DOLLAR(VLOOKUP("PCS-OzTL31",[2]ARBOR!$A:$C,3,0),6)),-TRUNC(GP8/VLOOKUP("PCS-OzTL31",[2]ARBOR!$A:$C,3,0)-1,4)+0.0001,-TRUNC(GP8/VLOOKUP("PCS-OzTL31",[2]ARBOR!$A:$C,3,0)-1,4)))))</f>
        <v>9.1800000000000007E-2</v>
      </c>
      <c r="GR8" s="178" t="s">
        <v>179</v>
      </c>
      <c r="GS8" s="103">
        <v>19.899999999999999</v>
      </c>
      <c r="GT8" s="101">
        <f>IF(GS8=0,"",IF(GS8=VLOOKUP("PCS-OzTL32",[2]ARBOR!$A:$C,3,0),0.0001,IF(GS8&gt;VLOOKUP("PCS-OzTL32",[2]ARBOR!$A:$C,3,0),"Maior que CAP!",IF((DOLLAR(GS8+(VLOOKUP("PCS-OzTL32",[2]ARBOR!$A:$C,3,0)*-TRUNC(GS8/VLOOKUP("PCS-OzTL32",[2]ARBOR!$A:$C,3,0)-1,4)),6))&lt;&gt;(DOLLAR(VLOOKUP("PCS-OzTL32",[2]ARBOR!$A:$C,3,0),6)),-TRUNC(GS8/VLOOKUP("PCS-OzTL32",[2]ARBOR!$A:$C,3,0)-1,4)+0.0001,-TRUNC(GS8/VLOOKUP("PCS-OzTL32",[2]ARBOR!$A:$C,3,0)-1,4)))))</f>
        <v>9.1800000000000007E-2</v>
      </c>
      <c r="GU8" s="178" t="s">
        <v>180</v>
      </c>
      <c r="GV8" s="103">
        <v>29.9</v>
      </c>
      <c r="GW8" s="101">
        <f>IF(GV8=0,"",IF(GV8=VLOOKUP("PCS-OzTL33",[2]ARBOR!$A:$C,3,0),0.0001,IF(GV8&gt;VLOOKUP("PCS-OzTL33",[2]ARBOR!$A:$C,3,0),"Maior que CAP!",IF((DOLLAR(GV8+(VLOOKUP("PCS-OzTL33",[2]ARBOR!$A:$C,3,0)*-TRUNC(GV8/VLOOKUP("PCS-OzTL33",[2]ARBOR!$A:$C,3,0)-1,4)),6))&lt;&gt;(DOLLAR(VLOOKUP("PCS-OzTL33",[2]ARBOR!$A:$C,3,0),6)),-TRUNC(GV8/VLOOKUP("PCS-OzTL33",[2]ARBOR!$A:$C,3,0)-1,4)+0.0001,-TRUNC(GV8/VLOOKUP("PCS-OzTL33",[2]ARBOR!$A:$C,3,0)-1,4)))))</f>
        <v>9.1800000000000007E-2</v>
      </c>
      <c r="GX8" s="178" t="s">
        <v>181</v>
      </c>
      <c r="GY8" s="103">
        <v>14.9</v>
      </c>
      <c r="GZ8" s="101">
        <f>IF(GY8=0,"",IF(GY8=VLOOKUP("PCS-OzTL503",[2]ARBOR!$A:$C,3,0),0.0001,IF(GY8&gt;VLOOKUP("PCS-OzTL503",[2]ARBOR!$A:$C,3,0),"Maior que CAP!",IF((DOLLAR(GY8+(VLOOKUP("PCS-OzTL503",[2]ARBOR!$A:$C,3,0)*-TRUNC(GY8/VLOOKUP("PCS-OzTL503",[2]ARBOR!$A:$C,3,0)-1,4)),6))&lt;&gt;(DOLLAR(VLOOKUP("PCS-OzTL503",[2]ARBOR!$A:$C,3,0),6)),-TRUNC(GY8/VLOOKUP("PCS-OzTL503",[2]ARBOR!$A:$C,3,0)-1,4)+0.0001,-TRUNC(GY8/VLOOKUP("PCS-OzTL503",[2]ARBOR!$A:$C,3,0)-1,4)))))</f>
        <v>9.1499999999999998E-2</v>
      </c>
      <c r="HA8" s="178" t="s">
        <v>182</v>
      </c>
      <c r="HB8" s="103">
        <v>10</v>
      </c>
      <c r="HC8" s="101">
        <f>IF(HB8=0,"",IF(HB8=VLOOKUP("PCS-OzTL500",[2]ARBOR!$A:$C,3,0),0.0001,IF(HB8&gt;VLOOKUP("PCS-OzTL500",[2]ARBOR!$A:$C,3,0),"Maior que CAP!",IF((DOLLAR(HB8+(VLOOKUP("PCS-OzTL500",[2]ARBOR!$A:$C,3,0)*-TRUNC(HB8/VLOOKUP("PCS-OzTL500",[2]ARBOR!$A:$C,3,0)-1,4)),6))&lt;&gt;(DOLLAR(VLOOKUP("PCS-OzTL500",[2]ARBOR!$A:$C,3,0),6)),-TRUNC(HB8/VLOOKUP("PCS-OzTL500",[2]ARBOR!$A:$C,3,0)-1,4)+0.0001,-TRUNC(HB8/VLOOKUP("PCS-OzTL500",[2]ARBOR!$A:$C,3,0)-1,4)))))</f>
        <v>9.1800000000000007E-2</v>
      </c>
      <c r="HD8" s="178" t="s">
        <v>183</v>
      </c>
      <c r="HE8" s="103" t="s">
        <v>184</v>
      </c>
      <c r="HF8" s="101"/>
      <c r="HG8" s="178"/>
      <c r="HH8" s="103" t="s">
        <v>185</v>
      </c>
      <c r="HI8" s="101"/>
      <c r="HJ8" s="178"/>
      <c r="HK8" s="103" t="s">
        <v>186</v>
      </c>
      <c r="HL8" s="101"/>
      <c r="HM8" s="178"/>
      <c r="HN8" s="103" t="s">
        <v>187</v>
      </c>
      <c r="HO8" s="101"/>
      <c r="HP8" s="178"/>
      <c r="HQ8" s="103" t="s">
        <v>188</v>
      </c>
      <c r="HR8" s="101"/>
      <c r="HS8" s="178"/>
      <c r="HT8" s="103">
        <v>24.9</v>
      </c>
      <c r="HU8" s="101">
        <f>IF(HT8=0,"",IF(HT8=VLOOKUP("PCS-OzTL99",[2]ARBOR!$A:$C,3,0),0.0001,IF(HT8&gt;VLOOKUP("PCS-OzTL99",[2]ARBOR!$A:$C,3,0),"Maior que CAP!",IF((DOLLAR(HT8+(VLOOKUP("PCS-OzTL99",[2]ARBOR!$A:$C,3,0)*-TRUNC(HT8/VLOOKUP("PCS-OzTL99",[2]ARBOR!$A:$C,3,0)-1,4)),6))&lt;&gt;(DOLLAR(VLOOKUP("PCS-OzTL99",[2]ARBOR!$A:$C,3,0),6)),-TRUNC(HT8/VLOOKUP("PCS-OzTL99",[2]ARBOR!$A:$C,3,0)-1,4)+0.0001,-TRUNC(HT8/VLOOKUP("PCS-OzTL99",[2]ARBOR!$A:$C,3,0)-1,4)))))</f>
        <v>0.16729999999999998</v>
      </c>
      <c r="HV8" s="179" t="s">
        <v>189</v>
      </c>
      <c r="HW8" s="170" t="s">
        <v>167</v>
      </c>
      <c r="HX8" s="178" t="str">
        <f t="shared" si="4"/>
        <v>PCS-34704</v>
      </c>
      <c r="HY8" s="180" t="str">
        <f>IFERROR((IF(AZ8="","",VLOOKUP(AZ8,[2]ARBOR!A:C,3,0))),"")</f>
        <v/>
      </c>
      <c r="HZ8" s="181"/>
      <c r="IA8" s="158" t="str">
        <f>IF(HZ8="","",ROUND(1-(HZ8/VLOOKUP(AZ8&amp;"ASS",[2]ARBOR!A:C,3,0)),4))</f>
        <v/>
      </c>
      <c r="IB8" s="158"/>
      <c r="IC8" s="182"/>
      <c r="ID8" s="183"/>
      <c r="IE8" s="101" t="str">
        <f>IF(ID8="","",ROUND(IF(ID8=0,"",IF(ID8=HY8,0.0001,1-((ID8+(VLOOKUP(AZ8&amp;"ASS",[2]ARBOR!A:C,3,0)-HZ8))/HY8))),4))</f>
        <v/>
      </c>
      <c r="IF8" s="101" t="str">
        <f>IF(ISERROR(IF(IE8="","",VLOOKUP(($AY8&amp;IE8&amp;"Template de desconto percentual FLAT Móvel - Conta Total - Varejo - Ganho Tributário Cross"),[2]BENEFICIOS!$A:$E,5,0))),"Criar",IF(IE8="","",VLOOKUP(($AY8&amp;IE8&amp;"Template de desconto percentual FLAT Móvel - Conta Total - Varejo - Ganho Tributário Cross"),[2]BENEFICIOS!$A:$E,5,0)))</f>
        <v/>
      </c>
      <c r="IG8" s="167"/>
      <c r="IH8" s="101"/>
      <c r="II8" s="184"/>
      <c r="IJ8" s="185"/>
      <c r="IK8" s="101"/>
      <c r="IL8" s="101"/>
      <c r="IM8" s="186"/>
      <c r="IN8" s="186"/>
      <c r="IO8" s="187"/>
      <c r="IP8" s="188" t="str">
        <f>IF(IO8=0,"",IF(IO8=VLOOKUP("PCS-813566",[2]ARBOR!$A:$C,3,0),0.0001,IF(IO8&gt;VLOOKUP("PCS-813566",[2]ARBOR!$A:$C,3,0),"Maior que CAP!",ROUND(-1*(IO8/VLOOKUP("PCS-813566",[2]ARBOR!$A:$C,3,0)-1),4))))</f>
        <v/>
      </c>
      <c r="IQ8" s="189" t="str">
        <f>IF(ISERROR(IF(IP8="","",VLOOKUP(("Oi Internet Pra Celular 300MB"&amp;IP8&amp;"Template Flat Instância Dados"),[2]BENEFICIOS!$A:$E,5,0))),"Criar",IF(IP8="","",VLOOKUP(("Oi Internet Pra Celular 300MB"&amp;IP8&amp;"Template Flat Instância Dados"),[2]BENEFICIOS!$A:$E,5,0)))</f>
        <v/>
      </c>
      <c r="IR8" s="190"/>
      <c r="IS8" s="191" t="str">
        <f>IF(IR8=0,"",IF(IR8=VLOOKUP("sva_bancas",[2]ARBOR!$A:$C,3,0),0.0001,IF(IR8&gt;VLOOKUP("sva_livros",[2]ARBOR!$A:$C,3,0),"Maior que CAP!",ROUND(-1*(IR8/VLOOKUP("sva_bancas",[2]ARBOR!$A:$C,3,0)-1),4))))</f>
        <v/>
      </c>
      <c r="IT8" s="192" t="str">
        <f>IF(ISERROR(IF(IS8="","",VLOOKUP(("Oi Internet Pra Celular 300MB"&amp;IS8&amp;"Template Desconto % SVA DADOS B2C"),[2]BENEFICIOS!$A:$E,5,0))),"Criar",IF(IS8="","",VLOOKUP(("Oi Internet Pra Celular 300MB"&amp;IS8&amp;"Template Desconto % SVA DADOS B2C"),[2]BENEFICIOS!$A:$E,5,0)))</f>
        <v/>
      </c>
      <c r="IU8" s="187"/>
      <c r="IV8" s="188" t="str">
        <f>IF(IU8=0,"",IF(IU8=VLOOKUP("PCS-813564",[2]ARBOR!$A:$C,3,0),0.0001,IF(IU8&gt;VLOOKUP("PCS-813564",[2]ARBOR!$A:$C,3,0),"Maior que CAP!",ROUND(-1*(IU8/VLOOKUP("PCS-813564",[2]ARBOR!$A:$C,3,0)-1),4))))</f>
        <v/>
      </c>
      <c r="IW8" s="189" t="str">
        <f>IF(ISERROR(IF(IV8="","",VLOOKUP(("Oi Internet Pra Celular 500MB"&amp;IV8&amp;"Template Flat Instância Dados"),[2]BENEFICIOS!$A:$E,5,0))),"Criar",IF(IV8="","",VLOOKUP(("Oi Internet Pra Celular 500MB"&amp;IV8&amp;"Template Flat Instância Dados"),[2]BENEFICIOS!$A:$E,5,0)))</f>
        <v/>
      </c>
      <c r="IX8" s="190"/>
      <c r="IY8" s="191" t="str">
        <f>IF(IX8=0,"",IF(IX8=VLOOKUP("sva_livros",[2]ARBOR!$A:$C,3,0),0.0001,IF(IX8&gt;VLOOKUP("sva_livros",[2]ARBOR!$A:$C,3,0),"Maior que CAP!",ROUND(-1*(IX8/VLOOKUP("sva_livros",[2]ARBOR!$A:$C,3,0)-1),4))))</f>
        <v/>
      </c>
      <c r="IZ8" s="192" t="str">
        <f>IF(ISERROR(IF(IY8="","",VLOOKUP(("Oi Internet Pra Celular 500MB"&amp;IY8&amp;"Template Desconto % SVA DADOS B2C"),[2]BENEFICIOS!$A:$E,5,0))),"Criar",IF(IY8="","",VLOOKUP(("Oi Internet Pra Celular 500MB"&amp;IY8&amp;"Template Desconto % SVA DADOS B2C"),[2]BENEFICIOS!$A:$E,5,0)))</f>
        <v/>
      </c>
      <c r="JA8" s="187"/>
      <c r="JB8" s="188" t="str">
        <f>IF(JA8=0,"",IF(JA8=VLOOKUP("PCS-10357",[2]ARBOR!$A:$C,3,0),0.0001,IF(JA8&gt;VLOOKUP("PCS-10357",[2]ARBOR!$A:$C,3,0),"Maior que CAP!",ROUND(-1*(JA8/VLOOKUP("PCS-10357",[2]ARBOR!$A:$C,3,0)-1),4))))</f>
        <v/>
      </c>
      <c r="JC8" s="189" t="str">
        <f>IF(ISERROR(IF(JB8="","",VLOOKUP(("Oi Internet Pra Celular 1GB"&amp;JB8&amp;"Template Flat Instância Dados"),[2]BENEFICIOS!$A:$E,5,0))),"Criar",IF(JB8="","",VLOOKUP(("Oi Internet Pra Celular 1GB"&amp;JB8&amp;"Template Flat Instância Dados"),[2]BENEFICIOS!$A:$E,5,0)))</f>
        <v/>
      </c>
      <c r="JD8" s="190"/>
      <c r="JE8" s="191" t="str">
        <f>IF(JD8=0,"",IF(JD8=VLOOKUP("sva_livros",[2]ARBOR!$A:$C,3,0),0.0001,IF(JD8&gt;VLOOKUP("sva_livros",[2]ARBOR!$A:$C,3,0),"Maior que CAP!",ROUND(-1*(JD8/VLOOKUP("sva_livros",[2]ARBOR!$A:$C,3,0)-1),4))))</f>
        <v/>
      </c>
      <c r="JF8" s="192" t="str">
        <f>IF(ISERROR(IF(JE8="","",VLOOKUP(("Oi Internet Pra Celular 1GB"&amp;JE8&amp;"Template Desconto % SVA DADOS B2C"),[2]BENEFICIOS!$A:$E,5,0))),"Criar",IF(JE8="","",VLOOKUP(("Oi Internet Pra Celular 1GB"&amp;JE8&amp;"Template Desconto % SVA DADOS B2C"),[2]BENEFICIOS!$A:$E,5,0)))</f>
        <v/>
      </c>
      <c r="JG8" s="187"/>
      <c r="JH8" s="188" t="str">
        <f>IF(JG8=0,"",IF(JG8=VLOOKUP("PCS-813565",[2]ARBOR!$A:$C,3,0),0.0001,IF(JG8&gt;VLOOKUP("PCS-813565",[2]ARBOR!$A:$C,3,0),"Maior que CAP!",ROUND(-1*(JG8/VLOOKUP("PCS-813565",[2]ARBOR!$A:$C,3,0)-1),4))))</f>
        <v/>
      </c>
      <c r="JI8" s="189" t="str">
        <f>IF(ISERROR(IF(JH8="","",VLOOKUP(("Oi Internet Pra Celular 2GB"&amp;JH8&amp;"Template Flat Instância Dados"),[2]BENEFICIOS!$A:$E,5,0))),"Criar",IF(JH8="","",VLOOKUP(("Oi Internet Pra Celular 2GB"&amp;JH8&amp;"Template Flat Instância Dados"),[2]BENEFICIOS!$A:$E,5,0)))</f>
        <v/>
      </c>
      <c r="JJ8" s="190"/>
      <c r="JK8" s="191" t="str">
        <f>IF(JJ8=0,"",IF(JJ8=VLOOKUP("sva_livros",[2]ARBOR!$A:$C,3,0),0.0001,IF(JJ8&gt;VLOOKUP("sva_livros",[2]ARBOR!$A:$C,3,0),"Maior que CAP!",ROUND(-1*(JJ8/VLOOKUP("sva_livros",[2]ARBOR!$A:$C,3,0)-1),4))))</f>
        <v/>
      </c>
      <c r="JL8" s="192" t="str">
        <f>IF(ISERROR(IF(JK8="","",VLOOKUP(("Oi Internet Pra Celular 2GB"&amp;JK8&amp;"Template Desconto % SVA DADOS B2C"),[2]BENEFICIOS!$A:$E,5,0))),"Criar",IF(JK8="","",VLOOKUP(("Oi Internet Pra Celular 2GB"&amp;JK8&amp;"Template Desconto % SVA DADOS B2C"),[2]BENEFICIOS!$A:$E,5,0)))</f>
        <v/>
      </c>
      <c r="JM8" s="187"/>
      <c r="JN8" s="188" t="str">
        <f>IF(JM8=0,"",IF(JM8=VLOOKUP("PCS-7171B",[2]ARBOR!$A:$C,3,0),0.0001,IF(JM8&gt;VLOOKUP("PCS-7171B",[2]ARBOR!$A:$C,3,0),"Maior que CAP!",ROUND(-1*(JM8/VLOOKUP("PCS-7171B",[2]ARBOR!$A:$C,3,0)-1),4))))</f>
        <v/>
      </c>
      <c r="JO8" s="189" t="str">
        <f>IF(ISERROR(IF(JN8="","",VLOOKUP(("Oi Internet Pra Celular 3GB"&amp;JN8&amp;"Template Flat Instância Dados"),[2]BENEFICIOS!$A:$E,5,0))),"Criar",IF(JN8="","",VLOOKUP(("Oi Internet Pra Celular 3GB"&amp;JN8&amp;"Template Flat Instância Dados"),[2]BENEFICIOS!$A:$E,5,0)))</f>
        <v/>
      </c>
      <c r="JP8" s="190"/>
      <c r="JQ8" s="191" t="str">
        <f>IF(JP8=0,"",IF(JP8=VLOOKUP("sva_livros",[2]ARBOR!$A:$C,3,0),0.0001,IF(JP8&gt;VLOOKUP("sva_livros",[2]ARBOR!$A:$C,3,0),"Maior que CAP!",ROUND(-1*(JP8/VLOOKUP("sva_livros",[2]ARBOR!$A:$C,3,0)-1),4))))</f>
        <v/>
      </c>
      <c r="JR8" s="192" t="str">
        <f>IF(ISERROR(IF(JQ8="","",VLOOKUP(("Oi Internet Pra Celular 3GB"&amp;JQ8&amp;"Template Desconto % SVA DADOS B2C"),[2]BENEFICIOS!$A:$E,5,0))),"Criar",IF(JQ8="","",VLOOKUP(("Oi Internet Pra Celular 3GB"&amp;JQ8&amp;"Template Desconto % SVA DADOS B2C"),[2]BENEFICIOS!$A:$E,5,0)))</f>
        <v/>
      </c>
      <c r="JS8" s="187"/>
      <c r="JT8" s="188" t="str">
        <f>IF(JS8=0,"",IF(JS8=VLOOKUP("PCS-51793o08",[2]ARBOR!$A:$C,3,0),0.0001,IF(JS8&gt;VLOOKUP("PCS-51793o08",[2]ARBOR!$A:$C,3,0),"Maior que CAP!",ROUND(-1*(JS8/VLOOKUP("PCS-51793o08",[2]ARBOR!$A:$C,3,0)-1),4))))</f>
        <v/>
      </c>
      <c r="JU8" s="189" t="str">
        <f>IF(ISERROR(IF(JT8="","",VLOOKUP(("Oi Internet Pra Celular 5GB"&amp;JT8&amp;"Template Flat Instância Dados"),[2]BENEFICIOS!$A:$E,5,0))),"Criar",IF(JT8="","",VLOOKUP(("Oi Internet Pra Celular 5GB"&amp;JT8&amp;"Template Flat Instância Dados"),[2]BENEFICIOS!$A:$E,5,0)))</f>
        <v/>
      </c>
      <c r="JV8" s="190"/>
      <c r="JW8" s="191" t="str">
        <f>IF(JV8=0,"",IF(JV8=VLOOKUP("sva_curtas",[2]ARBOR!$A:$C,3,0),0.0001,IF(JV8&gt;VLOOKUP("sva_curtas",[2]ARBOR!$A:$C,3,0),"Maior que CAP!",ROUND(-1*(JV8/VLOOKUP("sva_curtas",[2]ARBOR!$A:$C,3,0)-1),4))))</f>
        <v/>
      </c>
      <c r="JX8" s="192" t="str">
        <f>IF(ISERROR(IF(JW8="","",VLOOKUP(("Oi Internet Pra Celular 5GB"&amp;JW8&amp;"Template Desconto % SVA DADOS B2C"),[2]BENEFICIOS!$A:$E,5,0))),"Criar",IF(JW8="","",VLOOKUP(("Oi Internet Pra Celular 5GB"&amp;JW8&amp;"Template Desconto % SVA DADOS B2C"),[2]BENEFICIOS!$A:$E,5,0)))</f>
        <v/>
      </c>
      <c r="JY8" s="187"/>
      <c r="JZ8" s="188" t="str">
        <f>IF(JY8=0,"",IF(JY8=VLOOKUP("PCS-7171A",[2]ARBOR!$A:$C,3,0),0.0001,IF(JY8&gt;VLOOKUP("PCS-7171A",[2]ARBOR!$A:$C,3,0),"Maior que CAP!",ROUND(-1*(JY8/VLOOKUP("PCS-7171A",[2]ARBOR!$A:$C,3,0)-1),4))))</f>
        <v/>
      </c>
      <c r="KA8" s="193" t="str">
        <f>IF(ISERROR(IF(JZ8="","",VLOOKUP(("Oi Internet Pra Celular 10GB"&amp;JZ8&amp;"Template Flat Instância Dados"),[2]BENEFICIOS!$A:$E,5,0))),"Criar",IF(JZ8="","",VLOOKUP(("Oi Internet Pra Celular 10GB"&amp;JZ8&amp;"Template Flat Instância Dados"),[2]BENEFICIOS!$A:$E,5,0)))</f>
        <v/>
      </c>
      <c r="KB8" s="190"/>
      <c r="KC8" s="191" t="str">
        <f>IF(KB8=0,"",IF(KB8=VLOOKUP("sva_curtas",[2]ARBOR!$A:$C,3,0),0.0001,IF(KB8&gt;VLOOKUP("sva_curtas",[2]ARBOR!$A:$C,3,0),"Maior que CAP!",ROUND(-1*(KB8/VLOOKUP("sva_curtas",[2]ARBOR!$A:$C,3,0)-1),4))))</f>
        <v/>
      </c>
      <c r="KD8" s="192" t="str">
        <f>IF(ISERROR(IF(KC8="","",VLOOKUP(("Oi Internet Pra Celular 10GB"&amp;KC8&amp;"Template Desconto % SVA DADOS B2C"),[2]BENEFICIOS!$A:$E,5,0))),"Criar",IF(KC8="","",VLOOKUP(("Oi Internet Pra Celular 10GB"&amp;KC8&amp;"Template Desconto % SVA DADOS B2C"),[2]BENEFICIOS!$A:$E,5,0)))</f>
        <v/>
      </c>
      <c r="KE8" s="194"/>
      <c r="KF8" s="195"/>
      <c r="KG8" s="196" t="s">
        <v>167</v>
      </c>
      <c r="KH8" s="197" t="s">
        <v>190</v>
      </c>
      <c r="KI8" s="198">
        <v>899</v>
      </c>
      <c r="KJ8" s="197">
        <v>12</v>
      </c>
      <c r="KK8" s="199" t="str">
        <f t="shared" si="5"/>
        <v>Oi benefício fidelização Multiprodutos</v>
      </c>
      <c r="KL8" s="200" t="str">
        <f t="shared" si="6"/>
        <v>PCS-Fk83324</v>
      </c>
      <c r="KM8" s="200" t="str">
        <f t="shared" si="7"/>
        <v>PCS-SBL553142</v>
      </c>
      <c r="KN8" s="201" t="s">
        <v>191</v>
      </c>
      <c r="KO8" s="202" t="s">
        <v>192</v>
      </c>
      <c r="KP8" s="202" t="s">
        <v>193</v>
      </c>
      <c r="KQ8" s="201" t="s">
        <v>194</v>
      </c>
      <c r="KR8" s="199" t="s">
        <v>195</v>
      </c>
      <c r="KS8" s="200" t="s">
        <v>196</v>
      </c>
      <c r="KT8" s="203" t="s">
        <v>197</v>
      </c>
      <c r="KU8" s="129" t="s">
        <v>198</v>
      </c>
      <c r="KV8" s="129" t="s">
        <v>198</v>
      </c>
      <c r="KW8" s="129" t="s">
        <v>198</v>
      </c>
      <c r="KX8" s="129" t="s">
        <v>198</v>
      </c>
      <c r="KY8" s="129" t="s">
        <v>198</v>
      </c>
      <c r="KZ8" s="129" t="s">
        <v>198</v>
      </c>
      <c r="LA8" s="129" t="s">
        <v>198</v>
      </c>
      <c r="LB8" s="129" t="s">
        <v>198</v>
      </c>
      <c r="LC8" s="129" t="s">
        <v>198</v>
      </c>
      <c r="LD8" s="129" t="s">
        <v>198</v>
      </c>
      <c r="LE8" s="129" t="s">
        <v>198</v>
      </c>
      <c r="LF8" s="129" t="s">
        <v>198</v>
      </c>
      <c r="LG8" s="129" t="s">
        <v>198</v>
      </c>
      <c r="LH8" s="129" t="s">
        <v>198</v>
      </c>
      <c r="LI8" s="129" t="s">
        <v>198</v>
      </c>
      <c r="LJ8" s="129" t="s">
        <v>198</v>
      </c>
      <c r="LK8" s="204">
        <v>240.01</v>
      </c>
      <c r="LL8" s="205"/>
      <c r="LM8" s="206"/>
      <c r="LN8" s="206"/>
      <c r="LO8" s="206"/>
      <c r="LP8" s="206"/>
      <c r="LQ8" s="206"/>
      <c r="LR8" s="206"/>
      <c r="LS8" s="206"/>
      <c r="LT8" s="206"/>
      <c r="LU8" s="207"/>
      <c r="LV8" t="s">
        <v>208</v>
      </c>
      <c r="LW8" t="s">
        <v>200</v>
      </c>
    </row>
    <row r="9" spans="1:335" x14ac:dyDescent="0.25">
      <c r="A9" s="134" t="s">
        <v>164</v>
      </c>
      <c r="B9" s="135" t="s">
        <v>165</v>
      </c>
      <c r="C9" s="135" t="s">
        <v>166</v>
      </c>
      <c r="D9" s="136" t="s">
        <v>167</v>
      </c>
      <c r="E9" s="137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9"/>
      <c r="Q9" s="139"/>
      <c r="R9" s="139"/>
      <c r="S9" s="140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208"/>
      <c r="AF9" s="138"/>
      <c r="AG9" s="138"/>
      <c r="AH9" s="142"/>
      <c r="AI9" s="209" t="s">
        <v>9</v>
      </c>
      <c r="AJ9" s="59" t="s">
        <v>168</v>
      </c>
      <c r="AK9" s="60" t="s">
        <v>209</v>
      </c>
      <c r="AL9" s="143">
        <v>43039</v>
      </c>
      <c r="AM9" s="144">
        <v>43159</v>
      </c>
      <c r="AN9" s="63" t="s">
        <v>170</v>
      </c>
      <c r="AO9" s="64" t="s">
        <v>170</v>
      </c>
      <c r="AP9" s="145"/>
      <c r="AQ9" s="145" t="s">
        <v>171</v>
      </c>
      <c r="AR9" s="145">
        <v>20</v>
      </c>
      <c r="AS9" s="145">
        <v>10000</v>
      </c>
      <c r="AT9" s="146" t="s">
        <v>172</v>
      </c>
      <c r="AU9" s="147" t="s">
        <v>167</v>
      </c>
      <c r="AV9" s="148" t="s">
        <v>173</v>
      </c>
      <c r="AW9" s="149" t="s">
        <v>173</v>
      </c>
      <c r="AX9" s="150" t="s">
        <v>9</v>
      </c>
      <c r="AY9" s="151" t="s">
        <v>174</v>
      </c>
      <c r="AZ9" s="152" t="str">
        <f>IF(ISERROR(VLOOKUP(AY9,[2]PLANOS!B:C,2,0)),"",VLOOKUP(AY9,[2]PLANOS!B:C,2,0))</f>
        <v>PCS-3PLowpi</v>
      </c>
      <c r="BA9" s="153" t="s">
        <v>173</v>
      </c>
      <c r="BB9" s="154" t="str">
        <f t="shared" si="1"/>
        <v/>
      </c>
      <c r="BC9" s="155"/>
      <c r="BD9" s="156"/>
      <c r="BE9" s="210">
        <v>55.11</v>
      </c>
      <c r="BF9" s="101">
        <f>IF(BE9=0,"",IF(BE9=VLOOKUP("FIXO",[2]ARBOR!$A:$C,3,0),0.0001,IF(BE9&gt;VLOOKUP("FIXO",[2]ARBOR!$A:$C,3,0),"Maior que CAP!",IF((DOLLAR(BE9+(VLOOKUP("FIXO",[2]ARBOR!$A:$C,3,0)*-TRUNC(BE9/VLOOKUP("FIXO",[2]ARBOR!$A:$C,3,0)-1,4)),6))&lt;&gt;(DOLLAR(VLOOKUP("FIXO",[2]ARBOR!$A:$C,3,0),6)),-TRUNC(BE9/VLOOKUP("FIXO",[2]ARBOR!$A:$C,3,0)-1,4)+0.0001,-TRUNC(BE9/VLOOKUP("FIXO",[2]ARBOR!$A:$C,3,0)-1,4)))))</f>
        <v>0.27339999999999998</v>
      </c>
      <c r="BG9" s="158"/>
      <c r="BH9" s="101" t="str">
        <f>IF(BG9=0,"",IF(BG9=VLOOKUP("FIXO",[2]ARBOR!$A:$C,3,0),0.0001,IF(BG9&gt;VLOOKUP("FIXO",[2]ARBOR!$A:$C,3,0),"Maior que CAP!",IF((DOLLAR(BG9+(VLOOKUP("FIXO",[2]ARBOR!$A:$C,3,0)*-TRUNC(BG9/VLOOKUP("FIXO",[2]ARBOR!$A:$C,3,0)-1,4)),6))&lt;&gt;(DOLLAR(VLOOKUP("FIXO",[2]ARBOR!$A:$C,3,0),6)),-TRUNC(BG9/VLOOKUP("FIXO",[2]ARBOR!$A:$C,3,0)-1,4)+0.0001,-TRUNC(BG9/VLOOKUP("FIXO",[2]ARBOR!$A:$C,3,0)-1,4)))))</f>
        <v/>
      </c>
      <c r="BI9" s="211" t="str">
        <f>IF(ISERROR(IF(BF9="","",VLOOKUP(($AY9&amp;BF9&amp;"Template de desconto FLAT bundle - Fixo - Varejo - Ganho Tributário Cross"),[2]BENEFICIOS!$A:$E,5,0))),"Criar",IF(BF9="","",VLOOKUP(($AY9&amp;BF9&amp;"Template de desconto FLAT bundle - Fixo - Varejo - Ganho Tributário Cross"),[2]BENEFICIOS!$A:$E,5,0)))</f>
        <v>MKT-1-9825728397</v>
      </c>
      <c r="BJ9" s="159"/>
      <c r="BK9" s="101" t="str">
        <f t="shared" si="2"/>
        <v/>
      </c>
      <c r="BL9" s="160"/>
      <c r="BM9" s="101" t="str">
        <f>IF(BL9=0,"",IF(BL9=VLOOKUP("FIXO",[2]ARBOR!$A:$C,3,0),0.0001,IF(BL9&gt;VLOOKUP("FIXO",[2]ARBOR!$A:$C,3,0),"Maior que CAP!",IF(BF9&lt;&gt;"",-ROUND(BL9/VLOOKUP("FIXO",[2]ARBOR!$A:$C,3,0)-1,4)-BF9,-ROUND(BL9/VLOOKUP("FIXO",[2]ARBOR!$A:$C,3,0)-1,4)))))</f>
        <v/>
      </c>
      <c r="BN9" s="161"/>
      <c r="BO9" s="101" t="str">
        <f>IF(ISERROR(IF(BK9="","",VLOOKUP(($AY9&amp;BK9&amp;"Template de desconto FLAT bundle - Fixo - Varejo - Ganho Tributário Cross"),[2]BENEFICIOS!$A:$E,5,0))),"Criar",IF(BK9="","",VLOOKUP(($AY9&amp;BK9&amp;"Template de desconto FLAT bundle - Fixo - Varejo - Ganho Tributário Cross"),[2]BENEFICIOS!$A:$E,5,0)))</f>
        <v/>
      </c>
      <c r="BP9" s="162" t="s">
        <v>175</v>
      </c>
      <c r="BQ9" s="163" t="s">
        <v>176</v>
      </c>
      <c r="BR9" s="164" t="s">
        <v>173</v>
      </c>
      <c r="BS9" s="165" t="str">
        <f t="shared" si="0"/>
        <v/>
      </c>
      <c r="BT9" s="155"/>
      <c r="BU9" s="166"/>
      <c r="BV9" s="167" t="s">
        <v>210</v>
      </c>
      <c r="BW9" s="168">
        <v>44.9</v>
      </c>
      <c r="BX9" s="101">
        <f>IF(BW9=0,"",IF(BW9=VLOOKUP("PCS-30874g",[2]ARBOR!$A:$C,3,0),0.0001,IF(BW9&gt;VLOOKUP("PCS-30874g",[2]ARBOR!$A:$C,3,0),"Maior que CAP!",IF((DOLLAR(BW9+(VLOOKUP("PCS-30874g",[2]ARBOR!$A:$C,3,0)*-TRUNC(BW9/VLOOKUP("PCS-30874g",[2]ARBOR!$A:$C,3,0)-1,4)),6))&lt;&gt;(DOLLAR(VLOOKUP("PCS-30874g",[2]ARBOR!$A:$C,3,0),6)),-TRUNC(BW9/VLOOKUP("PCS-30874g",[2]ARBOR!$A:$C,3,0)-1,4)+0.0001,-TRUNC(BW9/VLOOKUP("PCS-30874g",[2]ARBOR!$A:$C,3,0)-1,4)))))</f>
        <v>0.53679999999999994</v>
      </c>
      <c r="BY9" s="163" t="str">
        <f>IF(ISERROR(IF(BX9="","",VLOOKUP(($AY9&amp;BX9&amp;"Template de desconto FLAT bundle - Velox XDSL - Varejo"),[2]BENEFICIOS!$A:$E,5,0))),"Criar",IF(BX9="","",VLOOKUP(($AY9&amp;BX9&amp;"Template de desconto FLAT bundle - Velox XDSL - Varejo"),[2]BENEFICIOS!$A:$E,5,0)))</f>
        <v>MKT-1-9831719752</v>
      </c>
      <c r="BZ9" s="167" t="s">
        <v>210</v>
      </c>
      <c r="CA9" s="168">
        <v>44.9</v>
      </c>
      <c r="CB9" s="101">
        <f>IF(CA9=0,"",IF(CA9=VLOOKUP("PCS-30577g",[2]ARBOR!$A:$C,3,0),0.0001,IF(CA9&gt;VLOOKUP("PCS-30577g",[2]ARBOR!$A:$C,3,0),"Maior que CAP!",IF((DOLLAR(CA9+(VLOOKUP("PCS-30577g",[2]ARBOR!$A:$C,3,0)*-TRUNC(CA9/VLOOKUP("PCS-30577g",[2]ARBOR!$A:$C,3,0)-1,4)),6))&lt;&gt;(DOLLAR(VLOOKUP("PCS-30577g",[2]ARBOR!$A:$C,3,0),6)),-TRUNC(CA9/VLOOKUP("PCS-30577g",[2]ARBOR!$A:$C,3,0)-1,4)+0.0001,-TRUNC(CA9/VLOOKUP("PCS-30577g",[2]ARBOR!$A:$C,3,0)-1,4)))))</f>
        <v>0.53679999999999994</v>
      </c>
      <c r="CC9" s="163" t="str">
        <f>IF(ISERROR(IF(CB9="","",VLOOKUP(($AY9&amp;CB9&amp;"Template de desconto FLAT bundle - Velox XDSL - Varejo"),[2]BENEFICIOS!$A:$E,5,0))),"Criar",IF(CB9="","",VLOOKUP(($AY9&amp;CB9&amp;"Template de desconto FLAT bundle - Velox XDSL - Varejo"),[2]BENEFICIOS!$A:$E,5,0)))</f>
        <v>MKT-1-9831719752</v>
      </c>
      <c r="CD9" s="167" t="s">
        <v>210</v>
      </c>
      <c r="CE9" s="168">
        <v>44.9</v>
      </c>
      <c r="CF9" s="101">
        <f>IF(CE9=0,"",IF(CE9=VLOOKUP("PCS-30604g",[2]ARBOR!$A:$C,3,0),0.0001,IF(CE9&gt;VLOOKUP("PCS-30604g",[2]ARBOR!$A:$C,3,0),"Maior que CAP!",IF((DOLLAR(CE9+(VLOOKUP("PCS-30604g",[2]ARBOR!$A:$C,3,0)*-TRUNC(CE9/VLOOKUP("PCS-30604g",[2]ARBOR!$A:$C,3,0)-1,4)),6))&lt;&gt;(DOLLAR(VLOOKUP("PCS-30604g",[2]ARBOR!$A:$C,3,0),6)),-TRUNC(CE9/VLOOKUP("PCS-30604g",[2]ARBOR!$A:$C,3,0)-1,4)+0.0001,-TRUNC(CE9/VLOOKUP("PCS-30604g",[2]ARBOR!$A:$C,3,0)-1,4)))))</f>
        <v>0.53679999999999994</v>
      </c>
      <c r="CG9" s="163" t="str">
        <f>IF(ISERROR(IF(CF9="","",VLOOKUP(($AY9&amp;CF9&amp;"Template de desconto FLAT bundle - Velox XDSL - Varejo"),[2]BENEFICIOS!$A:$E,5,0))),"Criar",IF(CF9="","",VLOOKUP(($AY9&amp;CF9&amp;"Template de desconto FLAT bundle - Velox XDSL - Varejo"),[2]BENEFICIOS!$A:$E,5,0)))</f>
        <v>MKT-1-9831719752</v>
      </c>
      <c r="CH9" s="167" t="s">
        <v>210</v>
      </c>
      <c r="CI9" s="168">
        <v>44.9</v>
      </c>
      <c r="CJ9" s="101">
        <f>IF(CI9=0,"",IF(CI9=VLOOKUP("PCS-30631g",[2]ARBOR!$A:$C,3,0),0.0001,IF(CI9&gt;VLOOKUP("PCS-30631g",[2]ARBOR!$A:$C,3,0),"Maior que CAP!",IF((DOLLAR(CI9+(VLOOKUP("PCS-30631g",[2]ARBOR!$A:$C,3,0)*-TRUNC(CI9/VLOOKUP("PCS-30631g",[2]ARBOR!$A:$C,3,0)-1,4)),6))&lt;&gt;(DOLLAR(VLOOKUP("PCS-30631g",[2]ARBOR!$A:$C,3,0),6)),-TRUNC(CI9/VLOOKUP("PCS-30631g",[2]ARBOR!$A:$C,3,0)-1,4)+0.0001,-TRUNC(CI9/VLOOKUP("PCS-30631g",[2]ARBOR!$A:$C,3,0)-1,4)))))</f>
        <v>0.54310000000000003</v>
      </c>
      <c r="CK9" s="163" t="str">
        <f>IF(ISERROR(IF(CJ9="","",VLOOKUP(($AY9&amp;CJ9&amp;"Template de desconto FLAT bundle - Velox XDSL - Varejo"),[2]BENEFICIOS!$A:$E,5,0))),"Criar",IF(CJ9="","",VLOOKUP(($AY9&amp;CJ9&amp;"Template de desconto FLAT bundle - Velox XDSL - Varejo"),[2]BENEFICIOS!$A:$E,5,0)))</f>
        <v>MKT-1-9828191673</v>
      </c>
      <c r="CL9" s="167" t="s">
        <v>104</v>
      </c>
      <c r="CM9" s="168">
        <v>49.9</v>
      </c>
      <c r="CN9" s="101">
        <f>IF(CM9=0,"",IF(CM9=VLOOKUP("PCS-30658g",[2]ARBOR!$A:$C,3,0),0.0001,IF(CM9&gt;VLOOKUP("PCS-30658g",[2]ARBOR!$A:$C,3,0),"Maior que CAP!",IF((DOLLAR(CM9+(VLOOKUP("PCS-30658g",[2]ARBOR!$A:$C,3,0)*-TRUNC(CM9/VLOOKUP("PCS-30658g",[2]ARBOR!$A:$C,3,0)-1,4)),6))&lt;&gt;(DOLLAR(VLOOKUP("PCS-30658g",[2]ARBOR!$A:$C,3,0),6)),-TRUNC(CM9/VLOOKUP("PCS-30658g",[2]ARBOR!$A:$C,3,0)-1,4)+0.0001,-TRUNC(CM9/VLOOKUP("PCS-30658g",[2]ARBOR!$A:$C,3,0)-1,4)))))</f>
        <v>0.55569999999999997</v>
      </c>
      <c r="CO9" s="163" t="str">
        <f>IF(ISERROR(IF(CN9="","",VLOOKUP(($AY9&amp;CN9&amp;"Template de desconto FLAT bundle - Velox XDSL - Varejo"),[2]BENEFICIOS!$A:$E,5,0))),"Criar",IF(CN9="","",VLOOKUP(($AY9&amp;CN9&amp;"Template de desconto FLAT bundle - Velox XDSL - Varejo"),[2]BENEFICIOS!$A:$E,5,0)))</f>
        <v>MKT-1-9828234782</v>
      </c>
      <c r="CP9" s="167" t="s">
        <v>104</v>
      </c>
      <c r="CQ9" s="168">
        <v>49.9</v>
      </c>
      <c r="CR9" s="101">
        <f>IF(CQ9=0,"",IF(CQ9=VLOOKUP("PCS-30685g",[2]ARBOR!$A:$C,3,0),0.0001,IF(CQ9&gt;VLOOKUP("PCS-30685g",[2]ARBOR!$A:$C,3,0),"Maior que CAP!",IF((DOLLAR(CQ9+(VLOOKUP("PCS-30685g",[2]ARBOR!$A:$C,3,0)*-TRUNC(CQ9/VLOOKUP("PCS-30685g",[2]ARBOR!$A:$C,3,0)-1,4)),6))&lt;&gt;(DOLLAR(VLOOKUP("PCS-30685g",[2]ARBOR!$A:$C,3,0),6)),-TRUNC(CQ9/VLOOKUP("PCS-30685g",[2]ARBOR!$A:$C,3,0)-1,4)+0.0001,-TRUNC(CQ9/VLOOKUP("PCS-30685g",[2]ARBOR!$A:$C,3,0)-1,4)))))</f>
        <v>0.60509999999999997</v>
      </c>
      <c r="CS9" s="163" t="str">
        <f>IF(ISERROR(IF(CR9="","",VLOOKUP(($AY9&amp;CR9&amp;"Template de desconto FLAT bundle - Velox XDSL - Varejo"),[2]BENEFICIOS!$A:$E,5,0))),"Criar",IF(CR9="","",VLOOKUP(($AY9&amp;CR9&amp;"Template de desconto FLAT bundle - Velox XDSL - Varejo"),[2]BENEFICIOS!$A:$E,5,0)))</f>
        <v>MKT-1-9828243951</v>
      </c>
      <c r="CT9" s="167"/>
      <c r="CU9" s="168"/>
      <c r="CV9" s="101" t="str">
        <f>IF(CU9=0,"",IF(CU9=VLOOKUP("PCS-30712g",[2]ARBOR!$A:$C,3,0),0.0001,IF(CU9&gt;VLOOKUP("PCS-30712g",[2]ARBOR!$A:$C,3,0),"Maior que CAP!",IF((DOLLAR(CU9+(VLOOKUP("PCS-30712g",[2]ARBOR!$A:$C,3,0)*-TRUNC(CU9/VLOOKUP("PCS-30712g",[2]ARBOR!$A:$C,3,0)-1,4)),6))&lt;&gt;(DOLLAR(VLOOKUP("PCS-30712g",[2]ARBOR!$A:$C,3,0),6)),-TRUNC(CU9/VLOOKUP("PCS-30712g",[2]ARBOR!$A:$C,3,0)-1,4)+0.0001,-TRUNC(CU9/VLOOKUP("PCS-30712g",[2]ARBOR!$A:$C,3,0)-1,4)))))</f>
        <v/>
      </c>
      <c r="CW9" s="163" t="str">
        <f>IF(ISERROR(IF(CV9="","",VLOOKUP(($AY9&amp;CV9&amp;"Template de desconto FLAT bundle - Velox XDSL - Varejo"),[2]BENEFICIOS!$A:$E,5,0))),"Criar",IF(CV9="","",VLOOKUP(($AY9&amp;CV9&amp;"Template de desconto FLAT bundle - Velox XDSL - Varejo"),[2]BENEFICIOS!$A:$E,5,0)))</f>
        <v/>
      </c>
      <c r="CX9" s="167"/>
      <c r="CY9" s="168"/>
      <c r="CZ9" s="101" t="str">
        <f>IF(CY9=0,"",IF(CY9=VLOOKUP("PCS-30739g",[2]ARBOR!$A:$C,3,0),0.0001,IF(CY9&gt;VLOOKUP("PCS-30739g",[2]ARBOR!$A:$C,3,0),"Maior que CAP!",IF((DOLLAR(CY9+(VLOOKUP("PCS-30739g",[2]ARBOR!$A:$C,3,0)*-TRUNC(CY9/VLOOKUP("PCS-30739g",[2]ARBOR!$A:$C,3,0)-1,4)),6))&lt;&gt;(DOLLAR(VLOOKUP("PCS-30739g",[2]ARBOR!$A:$C,3,0),6)),-TRUNC(CY9/VLOOKUP("PCS-30739g",[2]ARBOR!$A:$C,3,0)-1,4)+0.0001,-TRUNC(CY9/VLOOKUP("PCS-30739g",[2]ARBOR!$A:$C,3,0)-1,4)))))</f>
        <v/>
      </c>
      <c r="DA9" s="169" t="str">
        <f>IF(ISERROR(IF(CZ9="","",VLOOKUP(($AY9&amp;CZ9&amp;"Template de desconto FLAT bundle - Velox XDSL - Varejo"),[2]BENEFICIOS!$A:$E,5,0))),"Criar",IF(CZ9="","",VLOOKUP(($AY9&amp;CZ9&amp;"Template de desconto FLAT bundle - Velox XDSL - Varejo"),[2]BENEFICIOS!$A:$E,5,0)))</f>
        <v/>
      </c>
      <c r="DB9" s="170"/>
      <c r="DC9" s="171"/>
      <c r="DD9" s="101" t="str">
        <f>IF(DB9=0,"",IF(DB9=VLOOKUP("PCS-30739g",[2]ARBOR!$A:$C,3,0),0.0001,IF(DB9&gt;VLOOKUP("PCS-30739g",[2]ARBOR!$A:$C,3,0),"Maior que CAP!",IF((DOLLAR(DB9+(VLOOKUP("PCS-30739g",[2]ARBOR!$A:$C,3,0)*-TRUNC(DB9/VLOOKUP("PCS-30739g",[2]ARBOR!$A:$C,3,0)-1,4)),6))&lt;&gt;(DOLLAR(VLOOKUP("PCS-30739g",[2]ARBOR!$A:$C,3,0),6)),(-TRUNC(DB9/VLOOKUP("PCS-30739g",[2]ARBOR!$A:$C,3,0)-1,4)+0.0001)-CZ9,-TRUNC(DB9/VLOOKUP("PCS-30739g",[2]ARBOR!$A:$C,3,0)-1,4)-CZ9))))</f>
        <v/>
      </c>
      <c r="DE9" s="163" t="str">
        <f>IF(ISERROR(IF(DD9="","",VLOOKUP(($AY9&amp;DD9&amp;"Template de desconto percentual Bundle - Velox XDSL - Varejo"),[2]BENEFICIOS!$A:$E,5,0))),"Criar",IF(DD9="","",VLOOKUP(($AY9&amp;DD9&amp;"Template de desconto percentual Bundle - Velox XDSL - Varejo"),[2]BENEFICIOS!$A:$E,5,0)))</f>
        <v/>
      </c>
      <c r="DF9" s="167"/>
      <c r="DG9" s="168"/>
      <c r="DH9" s="101" t="str">
        <f>IF(DG9=0,"",IF(DG9=VLOOKUP("PCS-30766g",[2]ARBOR!$A:$C,3,0),0.0001,IF(DG9&gt;VLOOKUP("PCS-30766g",[2]ARBOR!$A:$C,3,0),"Maior que CAP!",IF((DOLLAR(DG9+(VLOOKUP("PCS-30766g",[2]ARBOR!$A:$C,3,0)*-TRUNC(DG9/VLOOKUP("PCS-30766g",[2]ARBOR!$A:$C,3,0)-1,4)),6))&lt;&gt;(DOLLAR(VLOOKUP("PCS-30766g",[2]ARBOR!$A:$C,3,0),6)),-TRUNC(DG9/VLOOKUP("PCS-30766g",[2]ARBOR!$A:$C,3,0)-1,4)+0.0001,-TRUNC(DG9/VLOOKUP("PCS-30766g",[2]ARBOR!$A:$C,3,0)-1,4)))))</f>
        <v/>
      </c>
      <c r="DI9" s="169" t="str">
        <f>IF(ISERROR(IF(DH9="","",VLOOKUP(($AY9&amp;DH9&amp;"Template de desconto FLAT bundle - Velox XDSL - Varejo"),[2]BENEFICIOS!$A:$E,5,0))),"Criar",IF(DH9="","",VLOOKUP(($AY9&amp;DH9&amp;"Template de desconto FLAT bundle - Velox XDSL - Varejo"),[2]BENEFICIOS!$A:$E,5,0)))</f>
        <v/>
      </c>
      <c r="DJ9" s="170"/>
      <c r="DK9" s="171"/>
      <c r="DL9" s="101" t="str">
        <f>IF(DJ9=0,"",IF(DJ9=VLOOKUP("PCS-30766g",[2]ARBOR!$A:$C,3,0),0.0001,IF(DJ9&gt;VLOOKUP("PCS-30766g",[2]ARBOR!$A:$C,3,0),"Maior que CAP!",IF((DOLLAR(DJ9+(VLOOKUP("PCS-30766g",[2]ARBOR!$A:$C,3,0)*-TRUNC(DJ9/VLOOKUP("PCS-30766g",[2]ARBOR!$A:$C,3,0)-1,4)),6))&lt;&gt;(DOLLAR(VLOOKUP("PCS-30766g",[2]ARBOR!$A:$C,3,0),6)),(-TRUNC(DJ9/VLOOKUP("PCS-30766g",[2]ARBOR!$A:$C,3,0)-1,4)+0.0001)-DH9,-TRUNC(DJ9/VLOOKUP("PCS-30766g",[2]ARBOR!$A:$C,3,0)-1,4)-DH9))))</f>
        <v/>
      </c>
      <c r="DM9" s="163" t="str">
        <f>IF(ISERROR(IF(DL9="","",VLOOKUP(($AY9&amp;DL9&amp;"Template de desconto percentual Bundle - Velox XDSL - Varejo"),[2]BENEFICIOS!$A:$E,5,0))),"Criar",IF(DL9="","",VLOOKUP(($AY9&amp;DL9&amp;"Template de desconto percentual Bundle - Velox XDSL - Varejo"),[2]BENEFICIOS!$A:$E,5,0)))</f>
        <v/>
      </c>
      <c r="DN9" s="167"/>
      <c r="DO9" s="168"/>
      <c r="DP9" s="101" t="str">
        <f>IF(DO9=0,"",IF(DO9=VLOOKUP("PCS-30793g",[2]ARBOR!$A:$C,3,0),0.0001,IF(DO9&gt;VLOOKUP("PCS-30793g",[2]ARBOR!$A:$C,3,0),"Maior que CAP!",IF((DOLLAR(DO9+(VLOOKUP("PCS-30793g",[2]ARBOR!$A:$C,3,0)*-TRUNC(DO9/VLOOKUP("PCS-30793g",[2]ARBOR!$A:$C,3,0)-1,4)),6))&lt;&gt;(DOLLAR(VLOOKUP("PCS-30793g",[2]ARBOR!$A:$C,3,0),6)),-TRUNC(DO9/VLOOKUP("PCS-30793g",[2]ARBOR!$A:$C,3,0)-1,4)+0.0001,-TRUNC(DO9/VLOOKUP("PCS-30793g",[2]ARBOR!$A:$C,3,0)-1,4)))))</f>
        <v/>
      </c>
      <c r="DQ9" s="169" t="str">
        <f>IF(ISERROR(IF(DP9="","",VLOOKUP(($AY9&amp;DP9&amp;"Template de desconto FLAT bundle - Velox XDSL - Varejo"),[2]BENEFICIOS!$A:$E,5,0))),"Criar",IF(DP9="","",VLOOKUP(($AY9&amp;DP9&amp;"Template de desconto FLAT bundle - Velox XDSL - Varejo"),[2]BENEFICIOS!$A:$E,5,0)))</f>
        <v/>
      </c>
      <c r="DR9" s="170"/>
      <c r="DS9" s="171"/>
      <c r="DT9" s="101" t="str">
        <f>IF(DR9=0,"",IF(DR9=VLOOKUP("PCS-30793g",[2]ARBOR!$A:$C,3,0),0.0001,IF(DR9&gt;VLOOKUP("PCS-30793g",[2]ARBOR!$A:$C,3,0),"Maior que CAP!",IF((DOLLAR(DR9+(VLOOKUP("PCS-30793g",[2]ARBOR!$A:$C,3,0)*-TRUNC(DR9/VLOOKUP("PCS-30793g",[2]ARBOR!$A:$C,3,0)-1,4)),6))&lt;&gt;(DOLLAR(VLOOKUP("PCS-30793g",[2]ARBOR!$A:$C,3,0),6)),(-TRUNC(DR9/VLOOKUP("PCS-30793g",[2]ARBOR!$A:$C,3,0)-1,4)+0.0001)-DP9,-TRUNC(DR9/VLOOKUP("PCS-30793g",[2]ARBOR!$A:$C,3,0)-1,4)-DP9))))</f>
        <v/>
      </c>
      <c r="DU9" s="163" t="str">
        <f>IF(ISERROR(IF(DT9="","",VLOOKUP(($AY9&amp;DT9&amp;"Template de desconto percentual Bundle - Velox XDSL - Varejo"),[2]BENEFICIOS!$A:$E,5,0))),"Criar",IF(DT9="","",VLOOKUP(($AY9&amp;DT9&amp;"Template de desconto percentual Bundle - Velox XDSL - Varejo"),[2]BENEFICIOS!$A:$E,5,0)))</f>
        <v/>
      </c>
      <c r="DV9" s="167"/>
      <c r="DW9" s="168"/>
      <c r="DX9" s="101" t="str">
        <f>IF(DW9=0,"",IF(DW9=VLOOKUP("PCS-30820g",[2]ARBOR!$A:$C,3,0),0.0001,IF(DW9&gt;VLOOKUP("PCS-30820g",[2]ARBOR!$A:$C,3,0),"Maior que CAP!",IF((DOLLAR(DW9+(VLOOKUP("PCS-30820g",[2]ARBOR!$A:$C,3,0)*-TRUNC(DW9/VLOOKUP("PCS-30820g",[2]ARBOR!$A:$C,3,0)-1,4)),6))&lt;&gt;(DOLLAR(VLOOKUP("PCS-30820g",[2]ARBOR!$A:$C,3,0),6)),-TRUNC(DW9/VLOOKUP("PCS-30820g",[2]ARBOR!$A:$C,3,0)-1,4)+0.0001,-TRUNC(DW9/VLOOKUP("PCS-30820g",[2]ARBOR!$A:$C,3,0)-1,4)))))</f>
        <v/>
      </c>
      <c r="DY9" s="169" t="str">
        <f>IF(ISERROR(IF(DX9="","",VLOOKUP(($AY9&amp;DX9&amp;"Template de desconto FLAT bundle - Velox XDSL - Varejo"),[2]BENEFICIOS!$A:$E,5,0))),"Criar",IF(DX9="","",VLOOKUP(($AY9&amp;DX9&amp;"Template de desconto FLAT bundle - Velox XDSL - Varejo"),[2]BENEFICIOS!$A:$E,5,0)))</f>
        <v/>
      </c>
      <c r="DZ9" s="170"/>
      <c r="EA9" s="171"/>
      <c r="EB9" s="101" t="str">
        <f>IF(DZ9=0,"",IF(DZ9=VLOOKUP("PCS-30820g",[2]ARBOR!$A:$C,3,0),0.0001,IF(DZ9&gt;VLOOKUP("PCS-30820g",[2]ARBOR!$A:$C,3,0),"Maior que CAP!",IF((DOLLAR(DZ9+(VLOOKUP("PCS-30820g",[2]ARBOR!$A:$C,3,0)*-TRUNC(DZ9/VLOOKUP("PCS-30820g",[2]ARBOR!$A:$C,3,0)-1,4)),6))&lt;&gt;(DOLLAR(VLOOKUP("PCS-30820g",[2]ARBOR!$A:$C,3,0),6)),(-TRUNC(DZ9/VLOOKUP("PCS-30820g",[2]ARBOR!$A:$C,3,0)-1,4)+0.0001)-DX9,-TRUNC(DZ9/VLOOKUP("PCS-30820g",[2]ARBOR!$A:$C,3,0)-1,4)-DX9))))</f>
        <v/>
      </c>
      <c r="EC9" s="163" t="str">
        <f>IF(ISERROR(IF(EB9="","",VLOOKUP(($AY9&amp;EB9&amp;"Template de desconto percentual Bundle - Velox XDSL - Varejo"),[2]BENEFICIOS!$A:$E,5,0))),"Criar",IF(EB9="","",VLOOKUP(($AY9&amp;EB9&amp;"Template de desconto percentual Bundle - Velox XDSL - Varejo"),[2]BENEFICIOS!$A:$E,5,0)))</f>
        <v/>
      </c>
      <c r="ED9" s="172"/>
      <c r="EE9" s="101" t="str">
        <f>IF(ED9=0,"",IF(ED9=VLOOKUP("PCS-21448p2",[2]ARBOR!$A:$C,3,0),0.0001,IF(ED9&gt;VLOOKUP("PCS-21448p2",[2]ARBOR!$A:$C,3,0),"Maior que CAP!",IF((DOLLAR(ED9+(VLOOKUP("PCS-21448p2",[2]ARBOR!$A:$C,3,0)*-TRUNC(ED9/VLOOKUP("PCS-21448p2",[2]ARBOR!$A:$C,3,0)-1,4)),6))&lt;&gt;(DOLLAR(VLOOKUP("PCS-21448p2",[2]ARBOR!$A:$C,3,0),6)),-TRUNC(ED9/VLOOKUP("PCS-21448p2",[2]ARBOR!$A:$C,3,0)-1,4)+0.0001,-TRUNC(ED9/VLOOKUP("PCS-21448p2",[2]ARBOR!$A:$C,3,0)-1,4)))))</f>
        <v/>
      </c>
      <c r="EF9" s="101" t="str">
        <f>IF(ISERROR(IF(EE9="","",VLOOKUP(("Oi Conta Total Plug 10GB Downgrade"&amp;EE9&amp;"Template de desconto percentual BL Móvel - Internet Total - Varejo"),[2]BENEFICIOS!$A:$E,5,0))),"Criar",IF(EE9="","",VLOOKUP(("Oi Conta Total Plug 10GB Downgrade"&amp;EE9&amp;"Template de desconto percentual BL Móvel - Internet Total - Varejo"),[2]BENEFICIOS!$A:$E,5,0)))</f>
        <v/>
      </c>
      <c r="EG9" s="173">
        <v>19.899999999999999</v>
      </c>
      <c r="EH9" s="174">
        <f>IF(EG9=0,"",IF(EG9=VLOOKUP("SVA",[2]ARBOR!$A:$C,3,0),0.0001,IF(EG9&gt;VLOOKUP("SVA",[2]ARBOR!$A:$C,3,0),"Maior que CAP!",IF((DOLLAR(EG9+(VLOOKUP("SVA",[2]ARBOR!$A:$C,3,0)*-TRUNC(EG9/VLOOKUP("SVA",[2]ARBOR!$A:$C,3,0)-1,4)),6))&lt;&gt;(DOLLAR(VLOOKUP("SVA",[2]ARBOR!$A:$C,3,0),6)),-TRUNC(EG9/VLOOKUP("SVA",[2]ARBOR!$A:$C,3,0)-1,4)+0.0001,-TRUNC(EG9/VLOOKUP("SVA",[2]ARBOR!$A:$C,3,0)-1,4)))))</f>
        <v>7.1400000000000005E-2</v>
      </c>
      <c r="EI9" s="174" t="s">
        <v>211</v>
      </c>
      <c r="EJ9" s="175"/>
      <c r="EK9" s="176"/>
      <c r="EL9" s="177" t="str">
        <f t="shared" si="3"/>
        <v/>
      </c>
      <c r="EM9" s="174" t="str">
        <f>IF(EL9="S/Desc","S/Desc",IF(ISERROR(IF(EL9="","",VLOOKUP(($BX9&amp;EL9&amp;"Template Desc. % sobre Serviço SVA B2C"),[2]BENEFICIOS!$A:$G,5,0))),"Criar",IF(EL9="","",VLOOKUP(($BX9&amp;EL9&amp;"Template Desc. % sobre Serviço SVA B2C"),[2]BENEFICIOS!$A:$G,5,0))))</f>
        <v/>
      </c>
      <c r="EN9" s="103">
        <v>84.9</v>
      </c>
      <c r="EO9" s="101">
        <f>IF(EN9=0,"",IF(EN9=VLOOKUP("PCS-OzTL40",[2]ARBOR!$A:$C,3,0),0.0001,IF(EN9&gt;VLOOKUP("PCS-OzTL40",[2]ARBOR!$A:$C,3,0),"Maior que CAP!",IF((DOLLAR(EN9+(VLOOKUP("PCS-OzTL40",[2]ARBOR!$A:$C,3,0)*-TRUNC(EN9/VLOOKUP("PCS-OzTL40",[2]ARBOR!$A:$C,3,0)-1,4)),6))&lt;&gt;(DOLLAR(VLOOKUP("PCS-OzTL40",[2]ARBOR!$A:$C,3,0),6)),-TRUNC(EN9/VLOOKUP("PCS-OzTL40",[2]ARBOR!$A:$C,3,0)-1,4)+0.0001,-TRUNC(EN9/VLOOKUP("PCS-OzTL40",[2]ARBOR!$A:$C,3,0)-1,4)))))</f>
        <v>0.14249999999999999</v>
      </c>
      <c r="EP9" s="163" t="str">
        <f>IF(ISERROR(IF(EO9="","",VLOOKUP(($AY9&amp;EO9&amp;"Template desconto FLAT Plano Principal Oi TV nível conta"),[2]BENEFICIOS!$A:$G,5,0))),"Criar",IF(EO9="","",VLOOKUP(($AY9&amp;EO9&amp;"Template desconto FLAT Plano Principal Oi TV nível conta"),[2]BENEFICIOS!$A:$G,5,0)))</f>
        <v>MKT-1-10140955511</v>
      </c>
      <c r="EQ9" s="103"/>
      <c r="ER9" s="101" t="str">
        <f>IF(EQ9=0,"",IF(EQ9=VLOOKUP("PCS-OzTL41",[2]ARBOR!$A:$C,3,0),0.0001,IF(EQ9&gt;VLOOKUP("PCS-OzTL41",[2]ARBOR!$A:$C,3,0),"Maior que CAP!",IF((DOLLAR(EQ9+(VLOOKUP("PCS-OzTL41",[2]ARBOR!$A:$C,3,0)*-TRUNC(EQ9/VLOOKUP("PCS-OzTL41",[2]ARBOR!$A:$C,3,0)-1,4)),6))&lt;&gt;(DOLLAR(VLOOKUP("PCS-OzTL41",[2]ARBOR!$A:$C,3,0),6)),-TRUNC(EQ9/VLOOKUP("PCS-OzTL41",[2]ARBOR!$A:$C,3,0)-1,4)+0.0001,-TRUNC(EQ9/VLOOKUP("PCS-OzTL41",[2]ARBOR!$A:$C,3,0)-1,4)))))</f>
        <v/>
      </c>
      <c r="ES9" s="178" t="str">
        <f>IF(ISERROR(IF(ER9="","",VLOOKUP(($AY9&amp;ER9&amp;"Template desconto FLAT Plano Principal Oi TV nível conta"),[2]BENEFICIOS!$A:$G,5,0))),"Criar",IF(ER9="","",VLOOKUP(($AY9&amp;ER9&amp;"Template desconto FLAT Plano Principal Oi TV nível conta"),[2]BENEFICIOS!$A:$G,5,0)))</f>
        <v/>
      </c>
      <c r="ET9" s="103"/>
      <c r="EU9" s="101" t="str">
        <f>IF(ET9=0,"",IF(ET9=VLOOKUP("PCS-OzTL44",[2]ARBOR!$A:$C,3,0),0.0001,IF(ET9&gt;VLOOKUP("PCS-OzTL44",[2]ARBOR!$A:$C,3,0),"Maior que CAP!",IF((DOLLAR(ET9+(VLOOKUP("PCS-OzTL44",[2]ARBOR!$A:$C,3,0)*-TRUNC(ET9/VLOOKUP("PCS-OzTL44",[2]ARBOR!$A:$C,3,0)-1,4)),6))&lt;&gt;(DOLLAR(VLOOKUP("PCS-OzTL44",[2]ARBOR!$A:$C,3,0),6)),-TRUNC(ET9/VLOOKUP("PCS-OzTL44",[2]ARBOR!$A:$C,3,0)-1,4)+0.0001,-TRUNC(ET9/VLOOKUP("PCS-OzTL44",[2]ARBOR!$A:$C,3,0)-1,4)))))</f>
        <v/>
      </c>
      <c r="EV9" s="178" t="str">
        <f>IF(ISERROR(IF(EU9="","",VLOOKUP(($AY9&amp;EU9&amp;"Template desconto FLAT Plano Principal Oi TV nível conta"),[2]BENEFICIOS!$A:$G,5,0))),"Criar",IF(EU9="","",VLOOKUP(($AY9&amp;EU9&amp;"Template desconto FLAT Plano Principal Oi TV nível conta"),[2]BENEFICIOS!$A:$G,5,0)))</f>
        <v/>
      </c>
      <c r="EW9" s="103"/>
      <c r="EX9" s="101" t="str">
        <f>IF(EW9=0,"",IF(EW9=VLOOKUP("PCS-OzTL43",[2]ARBOR!$A:$C,3,0),0.0001,IF(EW9&gt;VLOOKUP("PCS-OzTL43",[2]ARBOR!$A:$C,3,0),"Maior que CAP!",IF((DOLLAR(EW9+(VLOOKUP("PCS-OzTL43",[2]ARBOR!$A:$C,3,0)*-TRUNC(EW9/VLOOKUP("PCS-OzTL43",[2]ARBOR!$A:$C,3,0)-1,4)),6))&lt;&gt;(DOLLAR(VLOOKUP("PCS-OzTL43",[2]ARBOR!$A:$C,3,0),6)),-TRUNC(EW9/VLOOKUP("PCS-OzTL43",[2]ARBOR!$A:$C,3,0)-1,4)+0.0001,-TRUNC(EW9/VLOOKUP("PCS-OzTL43",[2]ARBOR!$A:$C,3,0)-1,4)))))</f>
        <v/>
      </c>
      <c r="EY9" s="178" t="str">
        <f>IF(ISERROR(IF(EX9="","",VLOOKUP(($AY9&amp;EX9&amp;"Template desconto FLAT Plano Principal Oi TV nível conta"),[2]BENEFICIOS!$A:$G,5,0))),"Criar",IF(EX9="","",VLOOKUP(($AY9&amp;EX9&amp;"Template desconto FLAT Plano Principal Oi TV nível conta"),[2]BENEFICIOS!$A:$G,5,0)))</f>
        <v/>
      </c>
      <c r="EZ9" s="103"/>
      <c r="FA9" s="101" t="str">
        <f>IF(EZ9=0,"",IF(EZ9=VLOOKUP("PCS-OzTL45",[2]ARBOR!$A:$C,3,0),0.0001,IF(EZ9&gt;VLOOKUP("PCS-OzTL45",[2]ARBOR!$A:$C,3,0),"Maior que CAP!",IF((DOLLAR(EZ9+(VLOOKUP("PCS-OzTL45",[2]ARBOR!$A:$C,3,0)*-TRUNC(EZ9/VLOOKUP("PCS-OzTL45",[2]ARBOR!$A:$C,3,0)-1,4)),6))&lt;&gt;(DOLLAR(VLOOKUP("PCS-OzTL45",[2]ARBOR!$A:$C,3,0),6)),-TRUNC(EZ9/VLOOKUP("PCS-OzTL45",[2]ARBOR!$A:$C,3,0)-1,4)+0.0001,-TRUNC(EZ9/VLOOKUP("PCS-OzTL45",[2]ARBOR!$A:$C,3,0)-1,4)))))</f>
        <v/>
      </c>
      <c r="FB9" s="178" t="str">
        <f>IF(ISERROR(IF(FA9="","",VLOOKUP(($AY9&amp;FA9&amp;"Template desconto FLAT Plano Principal Oi TV nível conta"),[2]BENEFICIOS!$A:$G,5,0))),"Criar",IF(FA9="","",VLOOKUP(($AY9&amp;FA9&amp;"Template desconto FLAT Plano Principal Oi TV nível conta"),[2]BENEFICIOS!$A:$G,5,0)))</f>
        <v/>
      </c>
      <c r="FC9" s="103"/>
      <c r="FD9" s="101" t="str">
        <f>IF(FC9=0,"",IF(FC9=VLOOKUP("PCS-OzTL741",[2]ARBOR!$A:$C,3,0),0.0001,IF(FC9&gt;VLOOKUP("PCS-OzTL741",[2]ARBOR!$A:$C,3,0),"Maior que CAP!",IF((DOLLAR(FC9+(VLOOKUP("PCS-OzTL741",[2]ARBOR!$A:$C,3,0)*-TRUNC(FC9/VLOOKUP("PCS-OzTL741",[2]ARBOR!$A:$C,3,0)-1,4)),6))&lt;&gt;(DOLLAR(VLOOKUP("PCS-OzTL741",[2]ARBOR!$A:$C,3,0),6)),-TRUNC(FC9/VLOOKUP("PCS-OzTL741",[2]ARBOR!$A:$C,3,0)-1,4)+0.0001,-TRUNC(FC9/VLOOKUP("PCS-OzTL741",[2]ARBOR!$A:$C,3,0)-1,4)))))</f>
        <v/>
      </c>
      <c r="FE9" s="178" t="str">
        <f>IF(ISERROR(IF(FD9="","",VLOOKUP(($AY9&amp;FD9&amp;"Template desconto FLAT Plano Principal Oi TV nível conta"),[2]BENEFICIOS!$A:$G,5,0))),"Criar",IF(FD9="","",VLOOKUP(($AY9&amp;FD9&amp;"Template desconto FLAT Plano Principal Oi TV nível conta"),[2]BENEFICIOS!$A:$G,5,0)))</f>
        <v/>
      </c>
      <c r="FF9" s="103"/>
      <c r="FG9" s="101" t="str">
        <f>IF(FF9=0,"",IF(FF9=VLOOKUP("PCS-OzTL744",[2]ARBOR!$A:$C,3,0),0.0001,IF(FF9&gt;VLOOKUP("PCS-OzTL744",[2]ARBOR!$A:$C,3,0),"Maior que CAP!",IF((DOLLAR(FF9+(VLOOKUP("PCS-OzTL744",[2]ARBOR!$A:$C,3,0)*-TRUNC(FF9/VLOOKUP("PCS-OzTL744",[2]ARBOR!$A:$C,3,0)-1,4)),6))&lt;&gt;(DOLLAR(VLOOKUP("PCS-OzTL744",[2]ARBOR!$A:$C,3,0),6)),-TRUNC(FF9/VLOOKUP("PCS-OzTL744",[2]ARBOR!$A:$C,3,0)-1,4)+0.0001,-TRUNC(FF9/VLOOKUP("PCS-OzTL744",[2]ARBOR!$A:$C,3,0)-1,4)))))</f>
        <v/>
      </c>
      <c r="FH9" s="178" t="str">
        <f>IF(ISERROR(IF(FG9="","",VLOOKUP(($AY9&amp;FG9&amp;"Template desconto FLAT Plano Principal Oi TV nível conta"),[2]BENEFICIOS!$A:$G,5,0))),"Criar",IF(FG9="","",VLOOKUP(($AY9&amp;FG9&amp;"Template desconto FLAT Plano Principal Oi TV nível conta"),[2]BENEFICIOS!$A:$G,5,0)))</f>
        <v/>
      </c>
      <c r="FI9" s="103"/>
      <c r="FJ9" s="101" t="str">
        <f>IF(FI9=0,"",IF(FI9=VLOOKUP("PCS-OzTL743",[2]ARBOR!$A:$C,3,0),0.0001,IF(FI9&gt;VLOOKUP("PCS-OzTL743",[2]ARBOR!$A:$C,3,0),"Maior que CAP!",IF((DOLLAR(FI9+(VLOOKUP("PCS-OzTL743",[2]ARBOR!$A:$C,3,0)*-TRUNC(FI9/VLOOKUP("PCS-OzTL743",[2]ARBOR!$A:$C,3,0)-1,4)),6))&lt;&gt;(DOLLAR(VLOOKUP("PCS-OzTL743",[2]ARBOR!$A:$C,3,0),6)),-TRUNC(FI9/VLOOKUP("PCS-OzTL743",[2]ARBOR!$A:$C,3,0)-1,4)+0.0001,-TRUNC(FI9/VLOOKUP("PCS-OzTL743",[2]ARBOR!$A:$C,3,0)-1,4)))))</f>
        <v/>
      </c>
      <c r="FK9" s="178" t="str">
        <f>IF(ISERROR(IF(FJ9="","",VLOOKUP(($AY9&amp;FJ9&amp;"Template desconto FLAT Plano Principal Oi TV nível conta"),[2]BENEFICIOS!$A:$G,5,0))),"Criar",IF(FJ9="","",VLOOKUP(($AY9&amp;FJ9&amp;"Template desconto FLAT Plano Principal Oi TV nível conta"),[2]BENEFICIOS!$A:$G,5,0)))</f>
        <v/>
      </c>
      <c r="FL9" s="103"/>
      <c r="FM9" s="101" t="str">
        <f>IF(FL9=0,"",IF(FL9=VLOOKUP("PCS-OzTL745",[2]ARBOR!$A:$C,3,0),0.0001,IF(FL9&gt;VLOOKUP("PCS-OzTL745",[2]ARBOR!$A:$C,3,0),"Maior que CAP!",IF((DOLLAR(FL9+(VLOOKUP("PCS-OzTL745",[2]ARBOR!$A:$C,3,0)*-TRUNC(FL9/VLOOKUP("PCS-OzTL745",[2]ARBOR!$A:$C,3,0)-1,4)),6))&lt;&gt;(DOLLAR(VLOOKUP("PCS-OzTL745",[2]ARBOR!$A:$C,3,0),6)),-TRUNC(FL9/VLOOKUP("PCS-OzTL745",[2]ARBOR!$A:$C,3,0)-1,4)+0.0001,-TRUNC(FL9/VLOOKUP("PCS-OzTL745",[2]ARBOR!$A:$C,3,0)-1,4)))))</f>
        <v/>
      </c>
      <c r="FN9" s="178" t="str">
        <f>IF(ISERROR(IF(FM9="","",VLOOKUP(($AY9&amp;FM9&amp;"Template desconto FLAT Plano Principal Oi TV nível conta"),[2]BENEFICIOS!$A:$G,5,0))),"Criar",IF(FM9="","",VLOOKUP(($AY9&amp;FM9&amp;"Template desconto FLAT Plano Principal Oi TV nível conta"),[2]BENEFICIOS!$A:$G,5,0)))</f>
        <v/>
      </c>
      <c r="FO9" s="103"/>
      <c r="FP9" s="101" t="str">
        <f>IF(FO9=0,"",IF(FO9=VLOOKUP("PCS-OzTL42",[2]ARBOR!$A:$C,3,0),0.0001,IF(FO9&gt;VLOOKUP("PCS-OzTL42",[2]ARBOR!$A:$C,3,0),"Maior que CAP!",IF((DOLLAR(FO9+(VLOOKUP("PCS-OzTL42",[2]ARBOR!$A:$C,3,0)*-TRUNC(FO9/VLOOKUP("PCS-OzTL42",[2]ARBOR!$A:$C,3,0)-1,4)),6))&lt;&gt;(DOLLAR(VLOOKUP("PCS-OzTL42",[2]ARBOR!$A:$C,3,0),6)),-TRUNC(FO9/VLOOKUP("PCS-OzTL42",[2]ARBOR!$A:$C,3,0)-1,4)+0.0001,-TRUNC(FO9/VLOOKUP("PCS-OzTL42",[2]ARBOR!$A:$C,3,0)-1,4)))))</f>
        <v/>
      </c>
      <c r="FQ9" s="178" t="str">
        <f>IF(ISERROR(IF(FP9="","",VLOOKUP(($AY9&amp;FP9&amp;"Template desconto FLAT Plano Principal Oi TV nível conta"),[2]BENEFICIOS!$A:$G,5,0))),"Criar",IF(FP9="","",VLOOKUP(($AY9&amp;FP9&amp;"Template desconto FLAT Plano Principal Oi TV nível conta"),[2]BENEFICIOS!$A:$G,5,0)))</f>
        <v/>
      </c>
      <c r="FR9" s="103"/>
      <c r="FS9" s="101" t="str">
        <f>IF(FR9=0,"",IF(FR9=VLOOKUP("PCS-OzTL47",[2]ARBOR!$A:$C,3,0),0.0001,IF(FR9&gt;VLOOKUP("PCS-OzTL47",[2]ARBOR!$A:$C,3,0),"Maior que CAP!",IF((DOLLAR(FR9+(VLOOKUP("PCS-OzTL47",[2]ARBOR!$A:$C,3,0)*-TRUNC(FR9/VLOOKUP("PCS-OzTL47",[2]ARBOR!$A:$C,3,0)-1,4)),6))&lt;&gt;(DOLLAR(VLOOKUP("PCS-OzTL47",[2]ARBOR!$A:$C,3,0),6)),-TRUNC(FR9/VLOOKUP("PCS-OzTL47",[2]ARBOR!$A:$C,3,0)-1,4)+0.0001,-TRUNC(FR9/VLOOKUP("PCS-OzTL47",[2]ARBOR!$A:$C,3,0)-1,4)))))</f>
        <v/>
      </c>
      <c r="FT9" s="178" t="str">
        <f>IF(ISERROR(IF(FS9="","",VLOOKUP(($AY9&amp;FS9&amp;"Template desconto FLAT Plano Principal Oi TV nível conta"),[2]BENEFICIOS!$A:$G,5,0))),"Criar",IF(FS9="","",VLOOKUP(($AY9&amp;FS9&amp;"Template desconto FLAT Plano Principal Oi TV nível conta"),[2]BENEFICIOS!$A:$G,5,0)))</f>
        <v/>
      </c>
      <c r="FU9" s="103"/>
      <c r="FV9" s="101" t="str">
        <f>IF(FU9=0,"",IF(FU9=VLOOKUP("PCS-OzTL46",[2]ARBOR!$A:$C,3,0),0.0001,IF(FU9&gt;VLOOKUP("PCS-OzTL46",[2]ARBOR!$A:$C,3,0),"Maior que CAP!",IF((DOLLAR(FU9+(VLOOKUP("PCS-OzTL46",[2]ARBOR!$A:$C,3,0)*-TRUNC(FU9/VLOOKUP("PCS-OzTL46",[2]ARBOR!$A:$C,3,0)-1,4)),6))&lt;&gt;(DOLLAR(VLOOKUP("PCS-OzTL46",[2]ARBOR!$A:$C,3,0),6)),-TRUNC(FU9/VLOOKUP("PCS-OzTL46",[2]ARBOR!$A:$C,3,0)-1,4)+0.0001,-TRUNC(FU9/VLOOKUP("PCS-OzTL46",[2]ARBOR!$A:$C,3,0)-1,4)))))</f>
        <v/>
      </c>
      <c r="FW9" s="178" t="str">
        <f>IF(ISERROR(IF(FV9="","",VLOOKUP(($AY9&amp;FV9&amp;"Template desconto FLAT Plano Principal Oi TV nível conta"),[2]BENEFICIOS!$A:$G,5,0))),"Criar",IF(FV9="","",VLOOKUP(($AY9&amp;FV9&amp;"Template desconto FLAT Plano Principal Oi TV nível conta"),[2]BENEFICIOS!$A:$G,5,0)))</f>
        <v/>
      </c>
      <c r="FX9" s="103"/>
      <c r="FY9" s="101" t="str">
        <f>IF(FX9=0,"",IF(FX9=VLOOKUP("PCS-OzTL48",[2]ARBOR!$A:$C,3,0),0.0001,IF(FX9&gt;VLOOKUP("PCS-OzTL48",[2]ARBOR!$A:$C,3,0),"Maior que CAP!",IF((DOLLAR(FX9+(VLOOKUP("PCS-OzTL48",[2]ARBOR!$A:$C,3,0)*-TRUNC(FX9/VLOOKUP("PCS-OzTL48",[2]ARBOR!$A:$C,3,0)-1,4)),6))&lt;&gt;(DOLLAR(VLOOKUP("PCS-OzTL48",[2]ARBOR!$A:$C,3,0),6)),-TRUNC(FX9/VLOOKUP("PCS-OzTL48",[2]ARBOR!$A:$C,3,0)-1,4)+0.0001,-TRUNC(FX9/VLOOKUP("PCS-OzTL48",[2]ARBOR!$A:$C,3,0)-1,4)))))</f>
        <v/>
      </c>
      <c r="FZ9" s="178" t="str">
        <f>IF(ISERROR(IF(FY9="","",VLOOKUP(($AY9&amp;FY9&amp;"Template desconto FLAT Plano Principal Oi TV nível conta"),[2]BENEFICIOS!$A:$G,5,0))),"Criar",IF(FY9="","",VLOOKUP(($AY9&amp;FY9&amp;"Template desconto FLAT Plano Principal Oi TV nível conta"),[2]BENEFICIOS!$A:$G,5,0)))</f>
        <v/>
      </c>
      <c r="GA9" s="103"/>
      <c r="GB9" s="101" t="str">
        <f>IF(GA9=0,"",IF(GA9=VLOOKUP("PCS-OzTL742",[2]ARBOR!$A:$C,3,0),0.0001,IF(GA9&gt;VLOOKUP("PCS-OzTL742",[2]ARBOR!$A:$C,3,0),"Maior que CAP!",IF((DOLLAR(GA9+(VLOOKUP("PCS-OzTL742",[2]ARBOR!$A:$C,3,0)*-TRUNC(GA9/VLOOKUP("PCS-OzTL742",[2]ARBOR!$A:$C,3,0)-1,4)),6))&lt;&gt;(DOLLAR(VLOOKUP("PCS-OzTL742",[2]ARBOR!$A:$C,3,0),6)),-TRUNC(GA9/VLOOKUP("PCS-OzTL742",[2]ARBOR!$A:$C,3,0)-1,4)+0.0001,-TRUNC(GA9/VLOOKUP("PCS-OzTL742",[2]ARBOR!$A:$C,3,0)-1,4)))))</f>
        <v/>
      </c>
      <c r="GC9" s="178" t="str">
        <f>IF(ISERROR(IF(GB9="","",VLOOKUP(($AY9&amp;GB9&amp;"Template desconto FLAT Plano Principal Oi TV nível conta"),[2]BENEFICIOS!$A:$G,5,0))),"Criar",IF(GB9="","",VLOOKUP(($AY9&amp;GB9&amp;"Template desconto FLAT Plano Principal Oi TV nível conta"),[2]BENEFICIOS!$A:$G,5,0)))</f>
        <v/>
      </c>
      <c r="GD9" s="103"/>
      <c r="GE9" s="101" t="str">
        <f>IF(GD9=0,"",IF(GD9=VLOOKUP("PCS-OzTL747",[2]ARBOR!$A:$C,3,0),0.0001,IF(GD9&gt;VLOOKUP("PCS-OzTL747",[2]ARBOR!$A:$C,3,0),"Maior que CAP!",IF((DOLLAR(GD9+(VLOOKUP("PCS-OzTL747",[2]ARBOR!$A:$C,3,0)*-TRUNC(GD9/VLOOKUP("PCS-OzTL747",[2]ARBOR!$A:$C,3,0)-1,4)),6))&lt;&gt;(DOLLAR(VLOOKUP("PCS-OzTL747",[2]ARBOR!$A:$C,3,0),6)),-TRUNC(GD9/VLOOKUP("PCS-OzTL747",[2]ARBOR!$A:$C,3,0)-1,4)+0.0001,-TRUNC(GD9/VLOOKUP("PCS-OzTL747",[2]ARBOR!$A:$C,3,0)-1,4)))))</f>
        <v/>
      </c>
      <c r="GF9" s="178" t="str">
        <f>IF(ISERROR(IF(GE9="","",VLOOKUP(($AY9&amp;GE9&amp;"Template desconto FLAT Plano Principal Oi TV nível conta"),[2]BENEFICIOS!$A:$G,5,0))),"Criar",IF(GE9="","",VLOOKUP(($AY9&amp;GE9&amp;"Template desconto FLAT Plano Principal Oi TV nível conta"),[2]BENEFICIOS!$A:$G,5,0)))</f>
        <v/>
      </c>
      <c r="GG9" s="103"/>
      <c r="GH9" s="101" t="str">
        <f>IF(GG9=0,"",IF(GG9=VLOOKUP("PCS-OzTL746",[2]ARBOR!$A:$C,3,0),0.0001,IF(GG9&gt;VLOOKUP("PCS-OzTL746",[2]ARBOR!$A:$C,3,0),"Maior que CAP!",IF((DOLLAR(GG9+(VLOOKUP("PCS-OzTL746",[2]ARBOR!$A:$C,3,0)*-TRUNC(GG9/VLOOKUP("PCS-OzTL746",[2]ARBOR!$A:$C,3,0)-1,4)),6))&lt;&gt;(DOLLAR(VLOOKUP("PCS-OzTL746",[2]ARBOR!$A:$C,3,0),6)),-TRUNC(GG9/VLOOKUP("PCS-OzTL746",[2]ARBOR!$A:$C,3,0)-1,4)+0.0001,-TRUNC(GG9/VLOOKUP("PCS-OzTL746",[2]ARBOR!$A:$C,3,0)-1,4)))))</f>
        <v/>
      </c>
      <c r="GI9" s="178" t="str">
        <f>IF(ISERROR(IF(GH9="","",VLOOKUP(($AY9&amp;GH9&amp;"Template desconto FLAT Plano Principal Oi TV nível conta"),[2]BENEFICIOS!$A:$G,5,0))),"Criar",IF(GH9="","",VLOOKUP(($AY9&amp;GH9&amp;"Template desconto FLAT Plano Principal Oi TV nível conta"),[2]BENEFICIOS!$A:$G,5,0)))</f>
        <v/>
      </c>
      <c r="GJ9" s="103"/>
      <c r="GK9" s="101" t="str">
        <f>IF(GJ9=0,"",IF(GJ9=VLOOKUP("PCS-OzTL748",[2]ARBOR!$A:$C,3,0),0.0001,IF(GJ9&gt;VLOOKUP("PCS-OzTL748",[2]ARBOR!$A:$C,3,0),"Maior que CAP!",IF((DOLLAR(GJ9+(VLOOKUP("PCS-OzTL748",[2]ARBOR!$A:$C,3,0)*-TRUNC(GJ9/VLOOKUP("PCS-OzTL748",[2]ARBOR!$A:$C,3,0)-1,4)),6))&lt;&gt;(DOLLAR(VLOOKUP("PCS-OzTL748",[2]ARBOR!$A:$C,3,0),6)),-TRUNC(GJ9/VLOOKUP("PCS-OzTL748",[2]ARBOR!$A:$C,3,0)-1,4)+0.0001,-TRUNC(GJ9/VLOOKUP("PCS-OzTL748",[2]ARBOR!$A:$C,3,0)-1,4)))))</f>
        <v/>
      </c>
      <c r="GL9" s="178" t="str">
        <f>IF(ISERROR(IF(GK9="","",VLOOKUP(($AY9&amp;GK9&amp;"Template desconto FLAT Plano Principal Oi TV nível conta"),[2]BENEFICIOS!$A:$G,5,0))),"Criar",IF(GK9="","",VLOOKUP(($AY9&amp;GK9&amp;"Template desconto FLAT Plano Principal Oi TV nível conta"),[2]BENEFICIOS!$A:$G,5,0)))</f>
        <v/>
      </c>
      <c r="GM9" s="103">
        <v>75</v>
      </c>
      <c r="GN9" s="101">
        <f>IF(GM9=0,"",IF(GM9=VLOOKUP("PCS-OzTL34",[2]ARBOR!$A:$C,3,0),0.0001,IF(GM9&gt;VLOOKUP("PCS-OzTL34",[2]ARBOR!$A:$C,3,0),"Maior que CAP!",IF((DOLLAR(GM9+(VLOOKUP("PCS-OzTL34",[2]ARBOR!$A:$C,3,0)*-TRUNC(GM9/VLOOKUP("PCS-OzTL34",[2]ARBOR!$A:$C,3,0)-1,4)),6))&lt;&gt;(DOLLAR(VLOOKUP("PCS-OzTL34",[2]ARBOR!$A:$C,3,0),6)),-TRUNC(GM9/VLOOKUP("PCS-OzTL34",[2]ARBOR!$A:$C,3,0)-1,4)+0.0001,-TRUNC(GM9/VLOOKUP("PCS-OzTL34",[2]ARBOR!$A:$C,3,0)-1,4)))))</f>
        <v>0.31900000000000001</v>
      </c>
      <c r="GO9" s="178" t="s">
        <v>178</v>
      </c>
      <c r="GP9" s="103">
        <v>19.899999999999999</v>
      </c>
      <c r="GQ9" s="101">
        <f>IF(GP9=0,"",IF(GP9=VLOOKUP("PCS-OzTL31",[2]ARBOR!$A:$C,3,0),0.0001,IF(GP9&gt;VLOOKUP("PCS-OzTL31",[2]ARBOR!$A:$C,3,0),"Maior que CAP!",IF((DOLLAR(GP9+(VLOOKUP("PCS-OzTL31",[2]ARBOR!$A:$C,3,0)*-TRUNC(GP9/VLOOKUP("PCS-OzTL31",[2]ARBOR!$A:$C,3,0)-1,4)),6))&lt;&gt;(DOLLAR(VLOOKUP("PCS-OzTL31",[2]ARBOR!$A:$C,3,0),6)),-TRUNC(GP9/VLOOKUP("PCS-OzTL31",[2]ARBOR!$A:$C,3,0)-1,4)+0.0001,-TRUNC(GP9/VLOOKUP("PCS-OzTL31",[2]ARBOR!$A:$C,3,0)-1,4)))))</f>
        <v>9.1800000000000007E-2</v>
      </c>
      <c r="GR9" s="178" t="s">
        <v>179</v>
      </c>
      <c r="GS9" s="103">
        <v>19.899999999999999</v>
      </c>
      <c r="GT9" s="101">
        <f>IF(GS9=0,"",IF(GS9=VLOOKUP("PCS-OzTL32",[2]ARBOR!$A:$C,3,0),0.0001,IF(GS9&gt;VLOOKUP("PCS-OzTL32",[2]ARBOR!$A:$C,3,0),"Maior que CAP!",IF((DOLLAR(GS9+(VLOOKUP("PCS-OzTL32",[2]ARBOR!$A:$C,3,0)*-TRUNC(GS9/VLOOKUP("PCS-OzTL32",[2]ARBOR!$A:$C,3,0)-1,4)),6))&lt;&gt;(DOLLAR(VLOOKUP("PCS-OzTL32",[2]ARBOR!$A:$C,3,0),6)),-TRUNC(GS9/VLOOKUP("PCS-OzTL32",[2]ARBOR!$A:$C,3,0)-1,4)+0.0001,-TRUNC(GS9/VLOOKUP("PCS-OzTL32",[2]ARBOR!$A:$C,3,0)-1,4)))))</f>
        <v>9.1800000000000007E-2</v>
      </c>
      <c r="GU9" s="178" t="s">
        <v>180</v>
      </c>
      <c r="GV9" s="103">
        <v>29.9</v>
      </c>
      <c r="GW9" s="101">
        <f>IF(GV9=0,"",IF(GV9=VLOOKUP("PCS-OzTL33",[2]ARBOR!$A:$C,3,0),0.0001,IF(GV9&gt;VLOOKUP("PCS-OzTL33",[2]ARBOR!$A:$C,3,0),"Maior que CAP!",IF((DOLLAR(GV9+(VLOOKUP("PCS-OzTL33",[2]ARBOR!$A:$C,3,0)*-TRUNC(GV9/VLOOKUP("PCS-OzTL33",[2]ARBOR!$A:$C,3,0)-1,4)),6))&lt;&gt;(DOLLAR(VLOOKUP("PCS-OzTL33",[2]ARBOR!$A:$C,3,0),6)),-TRUNC(GV9/VLOOKUP("PCS-OzTL33",[2]ARBOR!$A:$C,3,0)-1,4)+0.0001,-TRUNC(GV9/VLOOKUP("PCS-OzTL33",[2]ARBOR!$A:$C,3,0)-1,4)))))</f>
        <v>9.1800000000000007E-2</v>
      </c>
      <c r="GX9" s="178" t="s">
        <v>181</v>
      </c>
      <c r="GY9" s="103">
        <v>14.9</v>
      </c>
      <c r="GZ9" s="101">
        <f>IF(GY9=0,"",IF(GY9=VLOOKUP("PCS-OzTL503",[2]ARBOR!$A:$C,3,0),0.0001,IF(GY9&gt;VLOOKUP("PCS-OzTL503",[2]ARBOR!$A:$C,3,0),"Maior que CAP!",IF((DOLLAR(GY9+(VLOOKUP("PCS-OzTL503",[2]ARBOR!$A:$C,3,0)*-TRUNC(GY9/VLOOKUP("PCS-OzTL503",[2]ARBOR!$A:$C,3,0)-1,4)),6))&lt;&gt;(DOLLAR(VLOOKUP("PCS-OzTL503",[2]ARBOR!$A:$C,3,0),6)),-TRUNC(GY9/VLOOKUP("PCS-OzTL503",[2]ARBOR!$A:$C,3,0)-1,4)+0.0001,-TRUNC(GY9/VLOOKUP("PCS-OzTL503",[2]ARBOR!$A:$C,3,0)-1,4)))))</f>
        <v>9.1499999999999998E-2</v>
      </c>
      <c r="HA9" s="178" t="s">
        <v>182</v>
      </c>
      <c r="HB9" s="103">
        <v>10</v>
      </c>
      <c r="HC9" s="101">
        <f>IF(HB9=0,"",IF(HB9=VLOOKUP("PCS-OzTL500",[2]ARBOR!$A:$C,3,0),0.0001,IF(HB9&gt;VLOOKUP("PCS-OzTL500",[2]ARBOR!$A:$C,3,0),"Maior que CAP!",IF((DOLLAR(HB9+(VLOOKUP("PCS-OzTL500",[2]ARBOR!$A:$C,3,0)*-TRUNC(HB9/VLOOKUP("PCS-OzTL500",[2]ARBOR!$A:$C,3,0)-1,4)),6))&lt;&gt;(DOLLAR(VLOOKUP("PCS-OzTL500",[2]ARBOR!$A:$C,3,0),6)),-TRUNC(HB9/VLOOKUP("PCS-OzTL500",[2]ARBOR!$A:$C,3,0)-1,4)+0.0001,-TRUNC(HB9/VLOOKUP("PCS-OzTL500",[2]ARBOR!$A:$C,3,0)-1,4)))))</f>
        <v>9.1800000000000007E-2</v>
      </c>
      <c r="HD9" s="178" t="s">
        <v>183</v>
      </c>
      <c r="HE9" s="103" t="s">
        <v>184</v>
      </c>
      <c r="HF9" s="101"/>
      <c r="HG9" s="178"/>
      <c r="HH9" s="103" t="s">
        <v>185</v>
      </c>
      <c r="HI9" s="101"/>
      <c r="HJ9" s="178"/>
      <c r="HK9" s="103" t="s">
        <v>186</v>
      </c>
      <c r="HL9" s="101"/>
      <c r="HM9" s="178"/>
      <c r="HN9" s="103" t="s">
        <v>187</v>
      </c>
      <c r="HO9" s="101"/>
      <c r="HP9" s="178"/>
      <c r="HQ9" s="103" t="s">
        <v>188</v>
      </c>
      <c r="HR9" s="101"/>
      <c r="HS9" s="178"/>
      <c r="HT9" s="103">
        <v>24.9</v>
      </c>
      <c r="HU9" s="101">
        <f>IF(HT9=0,"",IF(HT9=VLOOKUP("PCS-OzTL99",[2]ARBOR!$A:$C,3,0),0.0001,IF(HT9&gt;VLOOKUP("PCS-OzTL99",[2]ARBOR!$A:$C,3,0),"Maior que CAP!",IF((DOLLAR(HT9+(VLOOKUP("PCS-OzTL99",[2]ARBOR!$A:$C,3,0)*-TRUNC(HT9/VLOOKUP("PCS-OzTL99",[2]ARBOR!$A:$C,3,0)-1,4)),6))&lt;&gt;(DOLLAR(VLOOKUP("PCS-OzTL99",[2]ARBOR!$A:$C,3,0),6)),-TRUNC(HT9/VLOOKUP("PCS-OzTL99",[2]ARBOR!$A:$C,3,0)-1,4)+0.0001,-TRUNC(HT9/VLOOKUP("PCS-OzTL99",[2]ARBOR!$A:$C,3,0)-1,4)))))</f>
        <v>0.16729999999999998</v>
      </c>
      <c r="HV9" s="179" t="s">
        <v>189</v>
      </c>
      <c r="HW9" s="170" t="s">
        <v>173</v>
      </c>
      <c r="HX9" s="178" t="str">
        <f t="shared" si="4"/>
        <v/>
      </c>
      <c r="HY9" s="180" t="str">
        <f>IFERROR((IF(AZ9="","",VLOOKUP(AZ9,[2]ARBOR!A:C,3,0))),"")</f>
        <v/>
      </c>
      <c r="HZ9" s="181"/>
      <c r="IA9" s="158" t="str">
        <f>IF(HZ9="","",ROUND(1-(HZ9/VLOOKUP(AZ9&amp;"ASS",[2]ARBOR!A:C,3,0)),4))</f>
        <v/>
      </c>
      <c r="IB9" s="158"/>
      <c r="IC9" s="182"/>
      <c r="ID9" s="183"/>
      <c r="IE9" s="101" t="str">
        <f>IF(ID9="","",ROUND(IF(ID9=0,"",IF(ID9=HY9,0.0001,1-((ID9+(VLOOKUP(AZ9&amp;"ASS",[2]ARBOR!A:C,3,0)-HZ9))/HY9))),4))</f>
        <v/>
      </c>
      <c r="IF9" s="101" t="str">
        <f>IF(ISERROR(IF(IE9="","",VLOOKUP(($AY9&amp;IE9&amp;"Template de desconto percentual FLAT Móvel - Conta Total - Varejo - Ganho Tributário Cross"),[2]BENEFICIOS!$A:$E,5,0))),"Criar",IF(IE9="","",VLOOKUP(($AY9&amp;IE9&amp;"Template de desconto percentual FLAT Móvel - Conta Total - Varejo - Ganho Tributário Cross"),[2]BENEFICIOS!$A:$E,5,0)))</f>
        <v/>
      </c>
      <c r="IG9" s="167"/>
      <c r="IH9" s="101"/>
      <c r="II9" s="184"/>
      <c r="IJ9" s="185"/>
      <c r="IK9" s="101"/>
      <c r="IL9" s="101"/>
      <c r="IM9" s="186"/>
      <c r="IN9" s="186"/>
      <c r="IO9" s="187"/>
      <c r="IP9" s="188" t="str">
        <f>IF(IO9=0,"",IF(IO9=VLOOKUP("PCS-813566",[2]ARBOR!$A:$C,3,0),0.0001,IF(IO9&gt;VLOOKUP("PCS-813566",[2]ARBOR!$A:$C,3,0),"Maior que CAP!",ROUND(-1*(IO9/VLOOKUP("PCS-813566",[2]ARBOR!$A:$C,3,0)-1),4))))</f>
        <v/>
      </c>
      <c r="IQ9" s="189" t="str">
        <f>IF(ISERROR(IF(IP9="","",VLOOKUP(("Oi Internet Pra Celular 300MB"&amp;IP9&amp;"Template Flat Instância Dados"),[2]BENEFICIOS!$A:$E,5,0))),"Criar",IF(IP9="","",VLOOKUP(("Oi Internet Pra Celular 300MB"&amp;IP9&amp;"Template Flat Instância Dados"),[2]BENEFICIOS!$A:$E,5,0)))</f>
        <v/>
      </c>
      <c r="IR9" s="190"/>
      <c r="IS9" s="191" t="str">
        <f>IF(IR9=0,"",IF(IR9=VLOOKUP("sva_bancas",[2]ARBOR!$A:$C,3,0),0.0001,IF(IR9&gt;VLOOKUP("sva_livros",[2]ARBOR!$A:$C,3,0),"Maior que CAP!",ROUND(-1*(IR9/VLOOKUP("sva_bancas",[2]ARBOR!$A:$C,3,0)-1),4))))</f>
        <v/>
      </c>
      <c r="IT9" s="192" t="str">
        <f>IF(ISERROR(IF(IS9="","",VLOOKUP(("Oi Internet Pra Celular 300MB"&amp;IS9&amp;"Template Desconto % SVA DADOS B2C"),[2]BENEFICIOS!$A:$E,5,0))),"Criar",IF(IS9="","",VLOOKUP(("Oi Internet Pra Celular 300MB"&amp;IS9&amp;"Template Desconto % SVA DADOS B2C"),[2]BENEFICIOS!$A:$E,5,0)))</f>
        <v/>
      </c>
      <c r="IU9" s="187"/>
      <c r="IV9" s="188" t="str">
        <f>IF(IU9=0,"",IF(IU9=VLOOKUP("PCS-813564",[2]ARBOR!$A:$C,3,0),0.0001,IF(IU9&gt;VLOOKUP("PCS-813564",[2]ARBOR!$A:$C,3,0),"Maior que CAP!",ROUND(-1*(IU9/VLOOKUP("PCS-813564",[2]ARBOR!$A:$C,3,0)-1),4))))</f>
        <v/>
      </c>
      <c r="IW9" s="189" t="str">
        <f>IF(ISERROR(IF(IV9="","",VLOOKUP(("Oi Internet Pra Celular 500MB"&amp;IV9&amp;"Template Flat Instância Dados"),[2]BENEFICIOS!$A:$E,5,0))),"Criar",IF(IV9="","",VLOOKUP(("Oi Internet Pra Celular 500MB"&amp;IV9&amp;"Template Flat Instância Dados"),[2]BENEFICIOS!$A:$E,5,0)))</f>
        <v/>
      </c>
      <c r="IX9" s="190"/>
      <c r="IY9" s="191" t="str">
        <f>IF(IX9=0,"",IF(IX9=VLOOKUP("sva_livros",[2]ARBOR!$A:$C,3,0),0.0001,IF(IX9&gt;VLOOKUP("sva_livros",[2]ARBOR!$A:$C,3,0),"Maior que CAP!",ROUND(-1*(IX9/VLOOKUP("sva_livros",[2]ARBOR!$A:$C,3,0)-1),4))))</f>
        <v/>
      </c>
      <c r="IZ9" s="192" t="str">
        <f>IF(ISERROR(IF(IY9="","",VLOOKUP(("Oi Internet Pra Celular 500MB"&amp;IY9&amp;"Template Desconto % SVA DADOS B2C"),[2]BENEFICIOS!$A:$E,5,0))),"Criar",IF(IY9="","",VLOOKUP(("Oi Internet Pra Celular 500MB"&amp;IY9&amp;"Template Desconto % SVA DADOS B2C"),[2]BENEFICIOS!$A:$E,5,0)))</f>
        <v/>
      </c>
      <c r="JA9" s="187"/>
      <c r="JB9" s="188" t="str">
        <f>IF(JA9=0,"",IF(JA9=VLOOKUP("PCS-10357",[2]ARBOR!$A:$C,3,0),0.0001,IF(JA9&gt;VLOOKUP("PCS-10357",[2]ARBOR!$A:$C,3,0),"Maior que CAP!",ROUND(-1*(JA9/VLOOKUP("PCS-10357",[2]ARBOR!$A:$C,3,0)-1),4))))</f>
        <v/>
      </c>
      <c r="JC9" s="189" t="str">
        <f>IF(ISERROR(IF(JB9="","",VLOOKUP(("Oi Internet Pra Celular 1GB"&amp;JB9&amp;"Template Flat Instância Dados"),[2]BENEFICIOS!$A:$E,5,0))),"Criar",IF(JB9="","",VLOOKUP(("Oi Internet Pra Celular 1GB"&amp;JB9&amp;"Template Flat Instância Dados"),[2]BENEFICIOS!$A:$E,5,0)))</f>
        <v/>
      </c>
      <c r="JD9" s="190"/>
      <c r="JE9" s="191" t="str">
        <f>IF(JD9=0,"",IF(JD9=VLOOKUP("sva_livros",[2]ARBOR!$A:$C,3,0),0.0001,IF(JD9&gt;VLOOKUP("sva_livros",[2]ARBOR!$A:$C,3,0),"Maior que CAP!",ROUND(-1*(JD9/VLOOKUP("sva_livros",[2]ARBOR!$A:$C,3,0)-1),4))))</f>
        <v/>
      </c>
      <c r="JF9" s="192" t="str">
        <f>IF(ISERROR(IF(JE9="","",VLOOKUP(("Oi Internet Pra Celular 1GB"&amp;JE9&amp;"Template Desconto % SVA DADOS B2C"),[2]BENEFICIOS!$A:$E,5,0))),"Criar",IF(JE9="","",VLOOKUP(("Oi Internet Pra Celular 1GB"&amp;JE9&amp;"Template Desconto % SVA DADOS B2C"),[2]BENEFICIOS!$A:$E,5,0)))</f>
        <v/>
      </c>
      <c r="JG9" s="187"/>
      <c r="JH9" s="188" t="str">
        <f>IF(JG9=0,"",IF(JG9=VLOOKUP("PCS-813565",[2]ARBOR!$A:$C,3,0),0.0001,IF(JG9&gt;VLOOKUP("PCS-813565",[2]ARBOR!$A:$C,3,0),"Maior que CAP!",ROUND(-1*(JG9/VLOOKUP("PCS-813565",[2]ARBOR!$A:$C,3,0)-1),4))))</f>
        <v/>
      </c>
      <c r="JI9" s="189" t="str">
        <f>IF(ISERROR(IF(JH9="","",VLOOKUP(("Oi Internet Pra Celular 2GB"&amp;JH9&amp;"Template Flat Instância Dados"),[2]BENEFICIOS!$A:$E,5,0))),"Criar",IF(JH9="","",VLOOKUP(("Oi Internet Pra Celular 2GB"&amp;JH9&amp;"Template Flat Instância Dados"),[2]BENEFICIOS!$A:$E,5,0)))</f>
        <v/>
      </c>
      <c r="JJ9" s="190"/>
      <c r="JK9" s="191" t="str">
        <f>IF(JJ9=0,"",IF(JJ9=VLOOKUP("sva_livros",[2]ARBOR!$A:$C,3,0),0.0001,IF(JJ9&gt;VLOOKUP("sva_livros",[2]ARBOR!$A:$C,3,0),"Maior que CAP!",ROUND(-1*(JJ9/VLOOKUP("sva_livros",[2]ARBOR!$A:$C,3,0)-1),4))))</f>
        <v/>
      </c>
      <c r="JL9" s="192" t="str">
        <f>IF(ISERROR(IF(JK9="","",VLOOKUP(("Oi Internet Pra Celular 2GB"&amp;JK9&amp;"Template Desconto % SVA DADOS B2C"),[2]BENEFICIOS!$A:$E,5,0))),"Criar",IF(JK9="","",VLOOKUP(("Oi Internet Pra Celular 2GB"&amp;JK9&amp;"Template Desconto % SVA DADOS B2C"),[2]BENEFICIOS!$A:$E,5,0)))</f>
        <v/>
      </c>
      <c r="JM9" s="187"/>
      <c r="JN9" s="188" t="str">
        <f>IF(JM9=0,"",IF(JM9=VLOOKUP("PCS-7171B",[2]ARBOR!$A:$C,3,0),0.0001,IF(JM9&gt;VLOOKUP("PCS-7171B",[2]ARBOR!$A:$C,3,0),"Maior que CAP!",ROUND(-1*(JM9/VLOOKUP("PCS-7171B",[2]ARBOR!$A:$C,3,0)-1),4))))</f>
        <v/>
      </c>
      <c r="JO9" s="189" t="str">
        <f>IF(ISERROR(IF(JN9="","",VLOOKUP(("Oi Internet Pra Celular 3GB"&amp;JN9&amp;"Template Flat Instância Dados"),[2]BENEFICIOS!$A:$E,5,0))),"Criar",IF(JN9="","",VLOOKUP(("Oi Internet Pra Celular 3GB"&amp;JN9&amp;"Template Flat Instância Dados"),[2]BENEFICIOS!$A:$E,5,0)))</f>
        <v/>
      </c>
      <c r="JP9" s="190"/>
      <c r="JQ9" s="191" t="str">
        <f>IF(JP9=0,"",IF(JP9=VLOOKUP("sva_livros",[2]ARBOR!$A:$C,3,0),0.0001,IF(JP9&gt;VLOOKUP("sva_livros",[2]ARBOR!$A:$C,3,0),"Maior que CAP!",ROUND(-1*(JP9/VLOOKUP("sva_livros",[2]ARBOR!$A:$C,3,0)-1),4))))</f>
        <v/>
      </c>
      <c r="JR9" s="192" t="str">
        <f>IF(ISERROR(IF(JQ9="","",VLOOKUP(("Oi Internet Pra Celular 3GB"&amp;JQ9&amp;"Template Desconto % SVA DADOS B2C"),[2]BENEFICIOS!$A:$E,5,0))),"Criar",IF(JQ9="","",VLOOKUP(("Oi Internet Pra Celular 3GB"&amp;JQ9&amp;"Template Desconto % SVA DADOS B2C"),[2]BENEFICIOS!$A:$E,5,0)))</f>
        <v/>
      </c>
      <c r="JS9" s="187"/>
      <c r="JT9" s="188" t="str">
        <f>IF(JS9=0,"",IF(JS9=VLOOKUP("PCS-51793o08",[2]ARBOR!$A:$C,3,0),0.0001,IF(JS9&gt;VLOOKUP("PCS-51793o08",[2]ARBOR!$A:$C,3,0),"Maior que CAP!",ROUND(-1*(JS9/VLOOKUP("PCS-51793o08",[2]ARBOR!$A:$C,3,0)-1),4))))</f>
        <v/>
      </c>
      <c r="JU9" s="189" t="str">
        <f>IF(ISERROR(IF(JT9="","",VLOOKUP(("Oi Internet Pra Celular 5GB"&amp;JT9&amp;"Template Flat Instância Dados"),[2]BENEFICIOS!$A:$E,5,0))),"Criar",IF(JT9="","",VLOOKUP(("Oi Internet Pra Celular 5GB"&amp;JT9&amp;"Template Flat Instância Dados"),[2]BENEFICIOS!$A:$E,5,0)))</f>
        <v/>
      </c>
      <c r="JV9" s="190"/>
      <c r="JW9" s="191" t="str">
        <f>IF(JV9=0,"",IF(JV9=VLOOKUP("sva_curtas",[2]ARBOR!$A:$C,3,0),0.0001,IF(JV9&gt;VLOOKUP("sva_curtas",[2]ARBOR!$A:$C,3,0),"Maior que CAP!",ROUND(-1*(JV9/VLOOKUP("sva_curtas",[2]ARBOR!$A:$C,3,0)-1),4))))</f>
        <v/>
      </c>
      <c r="JX9" s="192" t="str">
        <f>IF(ISERROR(IF(JW9="","",VLOOKUP(("Oi Internet Pra Celular 5GB"&amp;JW9&amp;"Template Desconto % SVA DADOS B2C"),[2]BENEFICIOS!$A:$E,5,0))),"Criar",IF(JW9="","",VLOOKUP(("Oi Internet Pra Celular 5GB"&amp;JW9&amp;"Template Desconto % SVA DADOS B2C"),[2]BENEFICIOS!$A:$E,5,0)))</f>
        <v/>
      </c>
      <c r="JY9" s="187"/>
      <c r="JZ9" s="188" t="str">
        <f>IF(JY9=0,"",IF(JY9=VLOOKUP("PCS-7171A",[2]ARBOR!$A:$C,3,0),0.0001,IF(JY9&gt;VLOOKUP("PCS-7171A",[2]ARBOR!$A:$C,3,0),"Maior que CAP!",ROUND(-1*(JY9/VLOOKUP("PCS-7171A",[2]ARBOR!$A:$C,3,0)-1),4))))</f>
        <v/>
      </c>
      <c r="KA9" s="193" t="str">
        <f>IF(ISERROR(IF(JZ9="","",VLOOKUP(("Oi Internet Pra Celular 10GB"&amp;JZ9&amp;"Template Flat Instância Dados"),[2]BENEFICIOS!$A:$E,5,0))),"Criar",IF(JZ9="","",VLOOKUP(("Oi Internet Pra Celular 10GB"&amp;JZ9&amp;"Template Flat Instância Dados"),[2]BENEFICIOS!$A:$E,5,0)))</f>
        <v/>
      </c>
      <c r="KB9" s="190"/>
      <c r="KC9" s="191" t="str">
        <f>IF(KB9=0,"",IF(KB9=VLOOKUP("sva_curtas",[2]ARBOR!$A:$C,3,0),0.0001,IF(KB9&gt;VLOOKUP("sva_curtas",[2]ARBOR!$A:$C,3,0),"Maior que CAP!",ROUND(-1*(KB9/VLOOKUP("sva_curtas",[2]ARBOR!$A:$C,3,0)-1),4))))</f>
        <v/>
      </c>
      <c r="KD9" s="192" t="str">
        <f>IF(ISERROR(IF(KC9="","",VLOOKUP(("Oi Internet Pra Celular 10GB"&amp;KC9&amp;"Template Desconto % SVA DADOS B2C"),[2]BENEFICIOS!$A:$E,5,0))),"Criar",IF(KC9="","",VLOOKUP(("Oi Internet Pra Celular 10GB"&amp;KC9&amp;"Template Desconto % SVA DADOS B2C"),[2]BENEFICIOS!$A:$E,5,0)))</f>
        <v/>
      </c>
      <c r="KE9" s="194"/>
      <c r="KF9" s="195"/>
      <c r="KG9" s="196" t="s">
        <v>167</v>
      </c>
      <c r="KH9" s="197" t="s">
        <v>190</v>
      </c>
      <c r="KI9" s="198">
        <v>599</v>
      </c>
      <c r="KJ9" s="197">
        <v>12</v>
      </c>
      <c r="KK9" s="199" t="str">
        <f t="shared" si="5"/>
        <v>Oi benefício fidelização Multiprodutos</v>
      </c>
      <c r="KL9" s="200" t="str">
        <f t="shared" si="6"/>
        <v>PCS-Fk83324</v>
      </c>
      <c r="KM9" s="200" t="str">
        <f t="shared" si="7"/>
        <v>PCS-SBL553142</v>
      </c>
      <c r="KN9" s="201" t="s">
        <v>191</v>
      </c>
      <c r="KO9" s="202" t="s">
        <v>192</v>
      </c>
      <c r="KP9" s="202" t="s">
        <v>193</v>
      </c>
      <c r="KQ9" s="201" t="s">
        <v>194</v>
      </c>
      <c r="KR9" s="199" t="s">
        <v>195</v>
      </c>
      <c r="KS9" s="200" t="s">
        <v>196</v>
      </c>
      <c r="KT9" s="203" t="s">
        <v>197</v>
      </c>
      <c r="KU9" s="129">
        <v>179.91</v>
      </c>
      <c r="KV9" s="129" t="s">
        <v>198</v>
      </c>
      <c r="KW9" s="129" t="s">
        <v>198</v>
      </c>
      <c r="KX9" s="129" t="s">
        <v>198</v>
      </c>
      <c r="KY9" s="129" t="s">
        <v>198</v>
      </c>
      <c r="KZ9" s="129" t="s">
        <v>198</v>
      </c>
      <c r="LA9" s="129" t="s">
        <v>198</v>
      </c>
      <c r="LB9" s="129" t="s">
        <v>198</v>
      </c>
      <c r="LC9" s="129" t="s">
        <v>198</v>
      </c>
      <c r="LD9" s="129" t="s">
        <v>198</v>
      </c>
      <c r="LE9" s="129" t="s">
        <v>198</v>
      </c>
      <c r="LF9" s="129" t="s">
        <v>198</v>
      </c>
      <c r="LG9" s="129" t="s">
        <v>198</v>
      </c>
      <c r="LH9" s="129" t="s">
        <v>198</v>
      </c>
      <c r="LI9" s="129" t="s">
        <v>198</v>
      </c>
      <c r="LJ9" s="129" t="s">
        <v>198</v>
      </c>
      <c r="LK9" s="204" t="s">
        <v>198</v>
      </c>
      <c r="LL9" s="205"/>
      <c r="LM9" s="206"/>
      <c r="LN9" s="206"/>
      <c r="LO9" s="206"/>
      <c r="LP9" s="206"/>
      <c r="LQ9" s="206"/>
      <c r="LR9" s="206"/>
      <c r="LS9" s="206"/>
      <c r="LT9" s="206"/>
      <c r="LU9" s="207"/>
      <c r="LV9" t="s">
        <v>212</v>
      </c>
      <c r="LW9" t="s">
        <v>200</v>
      </c>
    </row>
    <row r="10" spans="1:335" x14ac:dyDescent="0.25">
      <c r="A10" s="134" t="s">
        <v>164</v>
      </c>
      <c r="B10" s="135" t="s">
        <v>165</v>
      </c>
      <c r="C10" s="135" t="s">
        <v>166</v>
      </c>
      <c r="D10" s="136" t="s">
        <v>167</v>
      </c>
      <c r="E10" s="137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9"/>
      <c r="Q10" s="139"/>
      <c r="R10" s="139"/>
      <c r="S10" s="140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208"/>
      <c r="AF10" s="138"/>
      <c r="AG10" s="138"/>
      <c r="AH10" s="142"/>
      <c r="AI10" s="209" t="s">
        <v>10</v>
      </c>
      <c r="AJ10" s="59" t="s">
        <v>168</v>
      </c>
      <c r="AK10" s="60" t="s">
        <v>209</v>
      </c>
      <c r="AL10" s="143">
        <v>43039</v>
      </c>
      <c r="AM10" s="144">
        <v>43159</v>
      </c>
      <c r="AN10" s="63" t="s">
        <v>170</v>
      </c>
      <c r="AO10" s="64" t="s">
        <v>170</v>
      </c>
      <c r="AP10" s="145"/>
      <c r="AQ10" s="145" t="s">
        <v>171</v>
      </c>
      <c r="AR10" s="145">
        <v>20</v>
      </c>
      <c r="AS10" s="145">
        <v>10000</v>
      </c>
      <c r="AT10" s="146" t="s">
        <v>172</v>
      </c>
      <c r="AU10" s="147" t="s">
        <v>167</v>
      </c>
      <c r="AV10" s="148" t="s">
        <v>173</v>
      </c>
      <c r="AW10" s="149" t="s">
        <v>173</v>
      </c>
      <c r="AX10" s="150" t="s">
        <v>10</v>
      </c>
      <c r="AY10" s="151" t="s">
        <v>201</v>
      </c>
      <c r="AZ10" s="152" t="str">
        <f>IF(ISERROR(VLOOKUP(AY10,[2]PLANOS!B:C,2,0)),"",VLOOKUP(AY10,[2]PLANOS!B:C,2,0))</f>
        <v>PCS-3PMepi</v>
      </c>
      <c r="BA10" s="153" t="s">
        <v>173</v>
      </c>
      <c r="BB10" s="154" t="str">
        <f t="shared" si="1"/>
        <v/>
      </c>
      <c r="BC10" s="155"/>
      <c r="BD10" s="156"/>
      <c r="BE10" s="157">
        <v>50.11</v>
      </c>
      <c r="BF10" s="101">
        <f>IF(BE10=0,"",IF(BE10=VLOOKUP("FIXO",[2]ARBOR!$A:$C,3,0),0.0001,IF(BE10&gt;VLOOKUP("FIXO",[2]ARBOR!$A:$C,3,0),"Maior que CAP!",IF((DOLLAR(BE10+(VLOOKUP("FIXO",[2]ARBOR!$A:$C,3,0)*-TRUNC(BE10/VLOOKUP("FIXO",[2]ARBOR!$A:$C,3,0)-1,4)),6))&lt;&gt;(DOLLAR(VLOOKUP("FIXO",[2]ARBOR!$A:$C,3,0),6)),-TRUNC(BE10/VLOOKUP("FIXO",[2]ARBOR!$A:$C,3,0)-1,4)+0.0001,-TRUNC(BE10/VLOOKUP("FIXO",[2]ARBOR!$A:$C,3,0)-1,4)))))</f>
        <v>0.33929999999999999</v>
      </c>
      <c r="BG10" s="158"/>
      <c r="BH10" s="101" t="str">
        <f>IF(BG10=0,"",IF(BG10=VLOOKUP("FIXO",[2]ARBOR!$A:$C,3,0),0.0001,IF(BG10&gt;VLOOKUP("FIXO",[2]ARBOR!$A:$C,3,0),"Maior que CAP!",IF((DOLLAR(BG10+(VLOOKUP("FIXO",[2]ARBOR!$A:$C,3,0)*-TRUNC(BG10/VLOOKUP("FIXO",[2]ARBOR!$A:$C,3,0)-1,4)),6))&lt;&gt;(DOLLAR(VLOOKUP("FIXO",[2]ARBOR!$A:$C,3,0),6)),-TRUNC(BG10/VLOOKUP("FIXO",[2]ARBOR!$A:$C,3,0)-1,4)+0.0001,-TRUNC(BG10/VLOOKUP("FIXO",[2]ARBOR!$A:$C,3,0)-1,4)))))</f>
        <v/>
      </c>
      <c r="BI10" s="101" t="str">
        <f>IF(ISERROR(IF(BF10="","",VLOOKUP(($AY10&amp;BF10&amp;"Template de desconto FLAT bundle - Fixo - Varejo - Ganho Tributário Cross"),[2]BENEFICIOS!$A:$E,5,0))),"Criar",IF(BF10="","",VLOOKUP(($AY10&amp;BF10&amp;"Template de desconto FLAT bundle - Fixo - Varejo - Ganho Tributário Cross"),[2]BENEFICIOS!$A:$E,5,0)))</f>
        <v>MKT-1-9825718835</v>
      </c>
      <c r="BJ10" s="159"/>
      <c r="BK10" s="101" t="str">
        <f t="shared" si="2"/>
        <v/>
      </c>
      <c r="BL10" s="160"/>
      <c r="BM10" s="101" t="str">
        <f>IF(BL10=0,"",IF(BL10=VLOOKUP("FIXO",[2]ARBOR!$A:$C,3,0),0.0001,IF(BL10&gt;VLOOKUP("FIXO",[2]ARBOR!$A:$C,3,0),"Maior que CAP!",IF(BF10&lt;&gt;"",-ROUND(BL10/VLOOKUP("FIXO",[2]ARBOR!$A:$C,3,0)-1,4)-BF10,-ROUND(BL10/VLOOKUP("FIXO",[2]ARBOR!$A:$C,3,0)-1,4)))))</f>
        <v/>
      </c>
      <c r="BN10" s="161"/>
      <c r="BO10" s="101" t="str">
        <f>IF(ISERROR(IF(BK10="","",VLOOKUP(($AY10&amp;BK10&amp;"Template de desconto FLAT bundle - Fixo - Varejo - Ganho Tributário Cross"),[2]BENEFICIOS!$A:$E,5,0))),"Criar",IF(BK10="","",VLOOKUP(($AY10&amp;BK10&amp;"Template de desconto FLAT bundle - Fixo - Varejo - Ganho Tributário Cross"),[2]BENEFICIOS!$A:$E,5,0)))</f>
        <v/>
      </c>
      <c r="BP10" s="162" t="s">
        <v>175</v>
      </c>
      <c r="BQ10" s="163" t="s">
        <v>176</v>
      </c>
      <c r="BR10" s="164" t="s">
        <v>173</v>
      </c>
      <c r="BS10" s="165" t="str">
        <f t="shared" si="0"/>
        <v/>
      </c>
      <c r="BT10" s="155"/>
      <c r="BU10" s="166"/>
      <c r="BV10" s="167" t="s">
        <v>210</v>
      </c>
      <c r="BW10" s="168">
        <v>44.9</v>
      </c>
      <c r="BX10" s="101">
        <f>IF(BW10=0,"",IF(BW10=VLOOKUP("PCS-30874g",[2]ARBOR!$A:$C,3,0),0.0001,IF(BW10&gt;VLOOKUP("PCS-30874g",[2]ARBOR!$A:$C,3,0),"Maior que CAP!",IF((DOLLAR(BW10+(VLOOKUP("PCS-30874g",[2]ARBOR!$A:$C,3,0)*-TRUNC(BW10/VLOOKUP("PCS-30874g",[2]ARBOR!$A:$C,3,0)-1,4)),6))&lt;&gt;(DOLLAR(VLOOKUP("PCS-30874g",[2]ARBOR!$A:$C,3,0),6)),-TRUNC(BW10/VLOOKUP("PCS-30874g",[2]ARBOR!$A:$C,3,0)-1,4)+0.0001,-TRUNC(BW10/VLOOKUP("PCS-30874g",[2]ARBOR!$A:$C,3,0)-1,4)))))</f>
        <v>0.53679999999999994</v>
      </c>
      <c r="BY10" s="163" t="str">
        <f>IF(ISERROR(IF(BX10="","",VLOOKUP(($AY10&amp;BX10&amp;"Template de desconto FLAT bundle - Velox XDSL - Varejo"),[2]BENEFICIOS!$A:$E,5,0))),"Criar",IF(BX10="","",VLOOKUP(($AY10&amp;BX10&amp;"Template de desconto FLAT bundle - Velox XDSL - Varejo"),[2]BENEFICIOS!$A:$E,5,0)))</f>
        <v>MKT-1-9828849818</v>
      </c>
      <c r="BZ10" s="167" t="s">
        <v>210</v>
      </c>
      <c r="CA10" s="168">
        <v>44.9</v>
      </c>
      <c r="CB10" s="101">
        <f>IF(CA10=0,"",IF(CA10=VLOOKUP("PCS-30577g",[2]ARBOR!$A:$C,3,0),0.0001,IF(CA10&gt;VLOOKUP("PCS-30577g",[2]ARBOR!$A:$C,3,0),"Maior que CAP!",IF((DOLLAR(CA10+(VLOOKUP("PCS-30577g",[2]ARBOR!$A:$C,3,0)*-TRUNC(CA10/VLOOKUP("PCS-30577g",[2]ARBOR!$A:$C,3,0)-1,4)),6))&lt;&gt;(DOLLAR(VLOOKUP("PCS-30577g",[2]ARBOR!$A:$C,3,0),6)),-TRUNC(CA10/VLOOKUP("PCS-30577g",[2]ARBOR!$A:$C,3,0)-1,4)+0.0001,-TRUNC(CA10/VLOOKUP("PCS-30577g",[2]ARBOR!$A:$C,3,0)-1,4)))))</f>
        <v>0.53679999999999994</v>
      </c>
      <c r="CC10" s="163" t="str">
        <f>IF(ISERROR(IF(CB10="","",VLOOKUP(($AY10&amp;CB10&amp;"Template de desconto FLAT bundle - Velox XDSL - Varejo"),[2]BENEFICIOS!$A:$E,5,0))),"Criar",IF(CB10="","",VLOOKUP(($AY10&amp;CB10&amp;"Template de desconto FLAT bundle - Velox XDSL - Varejo"),[2]BENEFICIOS!$A:$E,5,0)))</f>
        <v>MKT-1-9828849818</v>
      </c>
      <c r="CD10" s="167" t="s">
        <v>210</v>
      </c>
      <c r="CE10" s="168">
        <v>44.9</v>
      </c>
      <c r="CF10" s="101">
        <f>IF(CE10=0,"",IF(CE10=VLOOKUP("PCS-30604g",[2]ARBOR!$A:$C,3,0),0.0001,IF(CE10&gt;VLOOKUP("PCS-30604g",[2]ARBOR!$A:$C,3,0),"Maior que CAP!",IF((DOLLAR(CE10+(VLOOKUP("PCS-30604g",[2]ARBOR!$A:$C,3,0)*-TRUNC(CE10/VLOOKUP("PCS-30604g",[2]ARBOR!$A:$C,3,0)-1,4)),6))&lt;&gt;(DOLLAR(VLOOKUP("PCS-30604g",[2]ARBOR!$A:$C,3,0),6)),-TRUNC(CE10/VLOOKUP("PCS-30604g",[2]ARBOR!$A:$C,3,0)-1,4)+0.0001,-TRUNC(CE10/VLOOKUP("PCS-30604g",[2]ARBOR!$A:$C,3,0)-1,4)))))</f>
        <v>0.53679999999999994</v>
      </c>
      <c r="CG10" s="163" t="str">
        <f>IF(ISERROR(IF(CF10="","",VLOOKUP(($AY10&amp;CF10&amp;"Template de desconto FLAT bundle - Velox XDSL - Varejo"),[2]BENEFICIOS!$A:$E,5,0))),"Criar",IF(CF10="","",VLOOKUP(($AY10&amp;CF10&amp;"Template de desconto FLAT bundle - Velox XDSL - Varejo"),[2]BENEFICIOS!$A:$E,5,0)))</f>
        <v>MKT-1-9828849818</v>
      </c>
      <c r="CH10" s="167" t="s">
        <v>210</v>
      </c>
      <c r="CI10" s="168">
        <v>44.9</v>
      </c>
      <c r="CJ10" s="101">
        <f>IF(CI10=0,"",IF(CI10=VLOOKUP("PCS-30631g",[2]ARBOR!$A:$C,3,0),0.0001,IF(CI10&gt;VLOOKUP("PCS-30631g",[2]ARBOR!$A:$C,3,0),"Maior que CAP!",IF((DOLLAR(CI10+(VLOOKUP("PCS-30631g",[2]ARBOR!$A:$C,3,0)*-TRUNC(CI10/VLOOKUP("PCS-30631g",[2]ARBOR!$A:$C,3,0)-1,4)),6))&lt;&gt;(DOLLAR(VLOOKUP("PCS-30631g",[2]ARBOR!$A:$C,3,0),6)),-TRUNC(CI10/VLOOKUP("PCS-30631g",[2]ARBOR!$A:$C,3,0)-1,4)+0.0001,-TRUNC(CI10/VLOOKUP("PCS-30631g",[2]ARBOR!$A:$C,3,0)-1,4)))))</f>
        <v>0.54310000000000003</v>
      </c>
      <c r="CK10" s="163" t="str">
        <f>IF(ISERROR(IF(CJ10="","",VLOOKUP(($AY10&amp;CJ10&amp;"Template de desconto FLAT bundle - Velox XDSL - Varejo"),[2]BENEFICIOS!$A:$E,5,0))),"Criar",IF(CJ10="","",VLOOKUP(($AY10&amp;CJ10&amp;"Template de desconto FLAT bundle - Velox XDSL - Varejo"),[2]BENEFICIOS!$A:$E,5,0)))</f>
        <v>MKT-1-9828191916</v>
      </c>
      <c r="CL10" s="167" t="s">
        <v>104</v>
      </c>
      <c r="CM10" s="168">
        <v>49.9</v>
      </c>
      <c r="CN10" s="101">
        <f>IF(CM10=0,"",IF(CM10=VLOOKUP("PCS-30658g",[2]ARBOR!$A:$C,3,0),0.0001,IF(CM10&gt;VLOOKUP("PCS-30658g",[2]ARBOR!$A:$C,3,0),"Maior que CAP!",IF((DOLLAR(CM10+(VLOOKUP("PCS-30658g",[2]ARBOR!$A:$C,3,0)*-TRUNC(CM10/VLOOKUP("PCS-30658g",[2]ARBOR!$A:$C,3,0)-1,4)),6))&lt;&gt;(DOLLAR(VLOOKUP("PCS-30658g",[2]ARBOR!$A:$C,3,0),6)),-TRUNC(CM10/VLOOKUP("PCS-30658g",[2]ARBOR!$A:$C,3,0)-1,4)+0.0001,-TRUNC(CM10/VLOOKUP("PCS-30658g",[2]ARBOR!$A:$C,3,0)-1,4)))))</f>
        <v>0.55569999999999997</v>
      </c>
      <c r="CO10" s="163" t="str">
        <f>IF(ISERROR(IF(CN10="","",VLOOKUP(($AY10&amp;CN10&amp;"Template de desconto FLAT bundle - Velox XDSL - Varejo"),[2]BENEFICIOS!$A:$E,5,0))),"Criar",IF(CN10="","",VLOOKUP(($AY10&amp;CN10&amp;"Template de desconto FLAT bundle - Velox XDSL - Varejo"),[2]BENEFICIOS!$A:$E,5,0)))</f>
        <v>MKT-1-9828235005</v>
      </c>
      <c r="CP10" s="167" t="s">
        <v>104</v>
      </c>
      <c r="CQ10" s="168">
        <v>49.9</v>
      </c>
      <c r="CR10" s="101">
        <f>IF(CQ10=0,"",IF(CQ10=VLOOKUP("PCS-30685g",[2]ARBOR!$A:$C,3,0),0.0001,IF(CQ10&gt;VLOOKUP("PCS-30685g",[2]ARBOR!$A:$C,3,0),"Maior que CAP!",IF((DOLLAR(CQ10+(VLOOKUP("PCS-30685g",[2]ARBOR!$A:$C,3,0)*-TRUNC(CQ10/VLOOKUP("PCS-30685g",[2]ARBOR!$A:$C,3,0)-1,4)),6))&lt;&gt;(DOLLAR(VLOOKUP("PCS-30685g",[2]ARBOR!$A:$C,3,0),6)),-TRUNC(CQ10/VLOOKUP("PCS-30685g",[2]ARBOR!$A:$C,3,0)-1,4)+0.0001,-TRUNC(CQ10/VLOOKUP("PCS-30685g",[2]ARBOR!$A:$C,3,0)-1,4)))))</f>
        <v>0.60509999999999997</v>
      </c>
      <c r="CS10" s="163" t="str">
        <f>IF(ISERROR(IF(CR10="","",VLOOKUP(($AY10&amp;CR10&amp;"Template de desconto FLAT bundle - Velox XDSL - Varejo"),[2]BENEFICIOS!$A:$E,5,0))),"Criar",IF(CR10="","",VLOOKUP(($AY10&amp;CR10&amp;"Template de desconto FLAT bundle - Velox XDSL - Varejo"),[2]BENEFICIOS!$A:$E,5,0)))</f>
        <v>MKT-1-9828260224</v>
      </c>
      <c r="CT10" s="167" t="s">
        <v>104</v>
      </c>
      <c r="CU10" s="168">
        <v>49.9</v>
      </c>
      <c r="CV10" s="101">
        <f>IF(CU10=0,"",IF(CU10=VLOOKUP("PCS-30712g",[2]ARBOR!$A:$C,3,0),0.0001,IF(CU10&gt;VLOOKUP("PCS-30712g",[2]ARBOR!$A:$C,3,0),"Maior que CAP!",IF((DOLLAR(CU10+(VLOOKUP("PCS-30712g",[2]ARBOR!$A:$C,3,0)*-TRUNC(CU10/VLOOKUP("PCS-30712g",[2]ARBOR!$A:$C,3,0)-1,4)),6))&lt;&gt;(DOLLAR(VLOOKUP("PCS-30712g",[2]ARBOR!$A:$C,3,0),6)),-TRUNC(CU10/VLOOKUP("PCS-30712g",[2]ARBOR!$A:$C,3,0)-1,4)+0.0001,-TRUNC(CU10/VLOOKUP("PCS-30712g",[2]ARBOR!$A:$C,3,0)-1,4)))))</f>
        <v>0.64459999999999995</v>
      </c>
      <c r="CW10" s="163" t="str">
        <f>IF(ISERROR(IF(CV10="","",VLOOKUP(($AY10&amp;CV10&amp;"Template de desconto FLAT bundle - Velox XDSL - Varejo"),[2]BENEFICIOS!$A:$E,5,0))),"Criar",IF(CV10="","",VLOOKUP(($AY10&amp;CV10&amp;"Template de desconto FLAT bundle - Velox XDSL - Varejo"),[2]BENEFICIOS!$A:$E,5,0)))</f>
        <v>MKT-1-9828260833</v>
      </c>
      <c r="CX10" s="167" t="s">
        <v>104</v>
      </c>
      <c r="CY10" s="168">
        <v>59.9</v>
      </c>
      <c r="CZ10" s="101">
        <f>IF(CY10=0,"",IF(CY10=VLOOKUP("PCS-30739g",[2]ARBOR!$A:$C,3,0),0.0001,IF(CY10&gt;VLOOKUP("PCS-30739g",[2]ARBOR!$A:$C,3,0),"Maior que CAP!",IF((DOLLAR(CY10+(VLOOKUP("PCS-30739g",[2]ARBOR!$A:$C,3,0)*-TRUNC(CY10/VLOOKUP("PCS-30739g",[2]ARBOR!$A:$C,3,0)-1,4)),6))&lt;&gt;(DOLLAR(VLOOKUP("PCS-30739g",[2]ARBOR!$A:$C,3,0),6)),-TRUNC(CY10/VLOOKUP("PCS-30739g",[2]ARBOR!$A:$C,3,0)-1,4)+0.0001,-TRUNC(CY10/VLOOKUP("PCS-30739g",[2]ARBOR!$A:$C,3,0)-1,4)))))</f>
        <v>0.71560000000000001</v>
      </c>
      <c r="DA10" s="169" t="str">
        <f>IF(ISERROR(IF(CZ10="","",VLOOKUP(($AY10&amp;CZ10&amp;"Template de desconto FLAT bundle - Velox XDSL - Varejo"),[2]BENEFICIOS!$A:$E,5,0))),"Criar",IF(CZ10="","",VLOOKUP(($AY10&amp;CZ10&amp;"Template de desconto FLAT bundle - Velox XDSL - Varejo"),[2]BENEFICIOS!$A:$E,5,0)))</f>
        <v>MKT-1-9828272112</v>
      </c>
      <c r="DB10" s="170"/>
      <c r="DC10" s="171"/>
      <c r="DD10" s="101" t="str">
        <f>IF(DB10=0,"",IF(DB10=VLOOKUP("PCS-30739g",[2]ARBOR!$A:$C,3,0),0.0001,IF(DB10&gt;VLOOKUP("PCS-30739g",[2]ARBOR!$A:$C,3,0),"Maior que CAP!",IF((DOLLAR(DB10+(VLOOKUP("PCS-30739g",[2]ARBOR!$A:$C,3,0)*-TRUNC(DB10/VLOOKUP("PCS-30739g",[2]ARBOR!$A:$C,3,0)-1,4)),6))&lt;&gt;(DOLLAR(VLOOKUP("PCS-30739g",[2]ARBOR!$A:$C,3,0),6)),(-TRUNC(DB10/VLOOKUP("PCS-30739g",[2]ARBOR!$A:$C,3,0)-1,4)+0.0001)-CZ10,-TRUNC(DB10/VLOOKUP("PCS-30739g",[2]ARBOR!$A:$C,3,0)-1,4)-CZ10))))</f>
        <v/>
      </c>
      <c r="DE10" s="163" t="str">
        <f>IF(ISERROR(IF(DD10="","",VLOOKUP(($AY10&amp;DD10&amp;"Template de desconto percentual Bundle - Velox XDSL - Varejo"),[2]BENEFICIOS!$A:$E,5,0))),"Criar",IF(DD10="","",VLOOKUP(($AY10&amp;DD10&amp;"Template de desconto percentual Bundle - Velox XDSL - Varejo"),[2]BENEFICIOS!$A:$E,5,0)))</f>
        <v/>
      </c>
      <c r="DF10" s="167" t="s">
        <v>104</v>
      </c>
      <c r="DG10" s="168">
        <v>59.9</v>
      </c>
      <c r="DH10" s="101">
        <f>IF(DG10=0,"",IF(DG10=VLOOKUP("PCS-30766g",[2]ARBOR!$A:$C,3,0),0.0001,IF(DG10&gt;VLOOKUP("PCS-30766g",[2]ARBOR!$A:$C,3,0),"Maior que CAP!",IF((DOLLAR(DG10+(VLOOKUP("PCS-30766g",[2]ARBOR!$A:$C,3,0)*-TRUNC(DG10/VLOOKUP("PCS-30766g",[2]ARBOR!$A:$C,3,0)-1,4)),6))&lt;&gt;(DOLLAR(VLOOKUP("PCS-30766g",[2]ARBOR!$A:$C,3,0),6)),-TRUNC(DG10/VLOOKUP("PCS-30766g",[2]ARBOR!$A:$C,3,0)-1,4)+0.0001,-TRUNC(DG10/VLOOKUP("PCS-30766g",[2]ARBOR!$A:$C,3,0)-1,4)))))</f>
        <v>0.78669999999999995</v>
      </c>
      <c r="DI10" s="169" t="str">
        <f>IF(ISERROR(IF(DH10="","",VLOOKUP(($AY10&amp;DH10&amp;"Template de desconto FLAT bundle - Velox XDSL - Varejo"),[2]BENEFICIOS!$A:$E,5,0))),"Criar",IF(DH10="","",VLOOKUP(($AY10&amp;DH10&amp;"Template de desconto FLAT bundle - Velox XDSL - Varejo"),[2]BENEFICIOS!$A:$E,5,0)))</f>
        <v>MKT-1-9828278651</v>
      </c>
      <c r="DJ10" s="170"/>
      <c r="DK10" s="171"/>
      <c r="DL10" s="101" t="str">
        <f>IF(DJ10=0,"",IF(DJ10=VLOOKUP("PCS-30766g",[2]ARBOR!$A:$C,3,0),0.0001,IF(DJ10&gt;VLOOKUP("PCS-30766g",[2]ARBOR!$A:$C,3,0),"Maior que CAP!",IF((DOLLAR(DJ10+(VLOOKUP("PCS-30766g",[2]ARBOR!$A:$C,3,0)*-TRUNC(DJ10/VLOOKUP("PCS-30766g",[2]ARBOR!$A:$C,3,0)-1,4)),6))&lt;&gt;(DOLLAR(VLOOKUP("PCS-30766g",[2]ARBOR!$A:$C,3,0),6)),(-TRUNC(DJ10/VLOOKUP("PCS-30766g",[2]ARBOR!$A:$C,3,0)-1,4)+0.0001)-DH10,-TRUNC(DJ10/VLOOKUP("PCS-30766g",[2]ARBOR!$A:$C,3,0)-1,4)-DH10))))</f>
        <v/>
      </c>
      <c r="DM10" s="163" t="str">
        <f>IF(ISERROR(IF(DL10="","",VLOOKUP(($AY10&amp;DL10&amp;"Template de desconto percentual Bundle - Velox XDSL - Varejo"),[2]BENEFICIOS!$A:$E,5,0))),"Criar",IF(DL10="","",VLOOKUP(($AY10&amp;DL10&amp;"Template de desconto percentual Bundle - Velox XDSL - Varejo"),[2]BENEFICIOS!$A:$E,5,0)))</f>
        <v/>
      </c>
      <c r="DN10" s="167" t="s">
        <v>210</v>
      </c>
      <c r="DO10" s="168">
        <v>69.900000000000006</v>
      </c>
      <c r="DP10" s="101">
        <f>IF(DO10=0,"",IF(DO10=VLOOKUP("PCS-30793g",[2]ARBOR!$A:$C,3,0),0.0001,IF(DO10&gt;VLOOKUP("PCS-30793g",[2]ARBOR!$A:$C,3,0),"Maior que CAP!",IF((DOLLAR(DO10+(VLOOKUP("PCS-30793g",[2]ARBOR!$A:$C,3,0)*-TRUNC(DO10/VLOOKUP("PCS-30793g",[2]ARBOR!$A:$C,3,0)-1,4)),6))&lt;&gt;(DOLLAR(VLOOKUP("PCS-30793g",[2]ARBOR!$A:$C,3,0),6)),-TRUNC(DO10/VLOOKUP("PCS-30793g",[2]ARBOR!$A:$C,3,0)-1,4)+0.0001,-TRUNC(DO10/VLOOKUP("PCS-30793g",[2]ARBOR!$A:$C,3,0)-1,4)))))</f>
        <v>0.75109999999999999</v>
      </c>
      <c r="DQ10" s="169" t="str">
        <f>IF(ISERROR(IF(DP10="","",VLOOKUP(($AY10&amp;DP10&amp;"Template de desconto FLAT bundle - Velox XDSL - Varejo"),[2]BENEFICIOS!$A:$E,5,0))),"Criar",IF(DP10="","",VLOOKUP(($AY10&amp;DP10&amp;"Template de desconto FLAT bundle - Velox XDSL - Varejo"),[2]BENEFICIOS!$A:$E,5,0)))</f>
        <v>MKT-1-9828296896</v>
      </c>
      <c r="DR10" s="170"/>
      <c r="DS10" s="171"/>
      <c r="DT10" s="101" t="str">
        <f>IF(DR10=0,"",IF(DR10=VLOOKUP("PCS-30793g",[2]ARBOR!$A:$C,3,0),0.0001,IF(DR10&gt;VLOOKUP("PCS-30793g",[2]ARBOR!$A:$C,3,0),"Maior que CAP!",IF((DOLLAR(DR10+(VLOOKUP("PCS-30793g",[2]ARBOR!$A:$C,3,0)*-TRUNC(DR10/VLOOKUP("PCS-30793g",[2]ARBOR!$A:$C,3,0)-1,4)),6))&lt;&gt;(DOLLAR(VLOOKUP("PCS-30793g",[2]ARBOR!$A:$C,3,0),6)),(-TRUNC(DR10/VLOOKUP("PCS-30793g",[2]ARBOR!$A:$C,3,0)-1,4)+0.0001)-DP10,-TRUNC(DR10/VLOOKUP("PCS-30793g",[2]ARBOR!$A:$C,3,0)-1,4)-DP10))))</f>
        <v/>
      </c>
      <c r="DU10" s="163" t="str">
        <f>IF(ISERROR(IF(DT10="","",VLOOKUP(($AY10&amp;DT10&amp;"Template de desconto percentual Bundle - Velox XDSL - Varejo"),[2]BENEFICIOS!$A:$E,5,0))),"Criar",IF(DT10="","",VLOOKUP(($AY10&amp;DT10&amp;"Template de desconto percentual Bundle - Velox XDSL - Varejo"),[2]BENEFICIOS!$A:$E,5,0)))</f>
        <v/>
      </c>
      <c r="DV10" s="167" t="s">
        <v>104</v>
      </c>
      <c r="DW10" s="168">
        <v>69.900000000000006</v>
      </c>
      <c r="DX10" s="101">
        <f>IF(DW10=0,"",IF(DW10=VLOOKUP("PCS-30820g",[2]ARBOR!$A:$C,3,0),0.0001,IF(DW10&gt;VLOOKUP("PCS-30820g",[2]ARBOR!$A:$C,3,0),"Maior que CAP!",IF((DOLLAR(DW10+(VLOOKUP("PCS-30820g",[2]ARBOR!$A:$C,3,0)*-TRUNC(DW10/VLOOKUP("PCS-30820g",[2]ARBOR!$A:$C,3,0)-1,4)),6))&lt;&gt;(DOLLAR(VLOOKUP("PCS-30820g",[2]ARBOR!$A:$C,3,0),6)),-TRUNC(DW10/VLOOKUP("PCS-30820g",[2]ARBOR!$A:$C,3,0)-1,4)+0.0001,-TRUNC(DW10/VLOOKUP("PCS-30820g",[2]ARBOR!$A:$C,3,0)-1,4)))))</f>
        <v>0.75109999999999999</v>
      </c>
      <c r="DY10" s="169" t="str">
        <f>IF(ISERROR(IF(DX10="","",VLOOKUP(($AY10&amp;DX10&amp;"Template de desconto FLAT bundle - Velox XDSL - Varejo"),[2]BENEFICIOS!$A:$E,5,0))),"Criar",IF(DX10="","",VLOOKUP(($AY10&amp;DX10&amp;"Template de desconto FLAT bundle - Velox XDSL - Varejo"),[2]BENEFICIOS!$A:$E,5,0)))</f>
        <v>MKT-1-9828296896</v>
      </c>
      <c r="DZ10" s="170"/>
      <c r="EA10" s="171"/>
      <c r="EB10" s="101" t="str">
        <f>IF(DZ10=0,"",IF(DZ10=VLOOKUP("PCS-30820g",[2]ARBOR!$A:$C,3,0),0.0001,IF(DZ10&gt;VLOOKUP("PCS-30820g",[2]ARBOR!$A:$C,3,0),"Maior que CAP!",IF((DOLLAR(DZ10+(VLOOKUP("PCS-30820g",[2]ARBOR!$A:$C,3,0)*-TRUNC(DZ10/VLOOKUP("PCS-30820g",[2]ARBOR!$A:$C,3,0)-1,4)),6))&lt;&gt;(DOLLAR(VLOOKUP("PCS-30820g",[2]ARBOR!$A:$C,3,0),6)),(-TRUNC(DZ10/VLOOKUP("PCS-30820g",[2]ARBOR!$A:$C,3,0)-1,4)+0.0001)-DX10,-TRUNC(DZ10/VLOOKUP("PCS-30820g",[2]ARBOR!$A:$C,3,0)-1,4)-DX10))))</f>
        <v/>
      </c>
      <c r="EC10" s="163" t="str">
        <f>IF(ISERROR(IF(EB10="","",VLOOKUP(($AY10&amp;EB10&amp;"Template de desconto percentual Bundle - Velox XDSL - Varejo"),[2]BENEFICIOS!$A:$E,5,0))),"Criar",IF(EB10="","",VLOOKUP(($AY10&amp;EB10&amp;"Template de desconto percentual Bundle - Velox XDSL - Varejo"),[2]BENEFICIOS!$A:$E,5,0)))</f>
        <v/>
      </c>
      <c r="ED10" s="172"/>
      <c r="EE10" s="101" t="str">
        <f>IF(ED10=0,"",IF(ED10=VLOOKUP("PCS-21448p2",[2]ARBOR!$A:$C,3,0),0.0001,IF(ED10&gt;VLOOKUP("PCS-21448p2",[2]ARBOR!$A:$C,3,0),"Maior que CAP!",IF((DOLLAR(ED10+(VLOOKUP("PCS-21448p2",[2]ARBOR!$A:$C,3,0)*-TRUNC(ED10/VLOOKUP("PCS-21448p2",[2]ARBOR!$A:$C,3,0)-1,4)),6))&lt;&gt;(DOLLAR(VLOOKUP("PCS-21448p2",[2]ARBOR!$A:$C,3,0),6)),-TRUNC(ED10/VLOOKUP("PCS-21448p2",[2]ARBOR!$A:$C,3,0)-1,4)+0.0001,-TRUNC(ED10/VLOOKUP("PCS-21448p2",[2]ARBOR!$A:$C,3,0)-1,4)))))</f>
        <v/>
      </c>
      <c r="EF10" s="101" t="str">
        <f>IF(ISERROR(IF(EE10="","",VLOOKUP(("Oi Conta Total Plug 10GB Downgrade"&amp;EE10&amp;"Template de desconto percentual BL Móvel - Internet Total - Varejo"),[2]BENEFICIOS!$A:$E,5,0))),"Criar",IF(EE10="","",VLOOKUP(("Oi Conta Total Plug 10GB Downgrade"&amp;EE10&amp;"Template de desconto percentual BL Móvel - Internet Total - Varejo"),[2]BENEFICIOS!$A:$E,5,0)))</f>
        <v/>
      </c>
      <c r="EG10" s="173">
        <v>19.899999999999999</v>
      </c>
      <c r="EH10" s="174">
        <f>IF(EG10=0,"",IF(EG10=VLOOKUP("SVA",[2]ARBOR!$A:$C,3,0),0.0001,IF(EG10&gt;VLOOKUP("SVA",[2]ARBOR!$A:$C,3,0),"Maior que CAP!",IF((DOLLAR(EG10+(VLOOKUP("SVA",[2]ARBOR!$A:$C,3,0)*-TRUNC(EG10/VLOOKUP("SVA",[2]ARBOR!$A:$C,3,0)-1,4)),6))&lt;&gt;(DOLLAR(VLOOKUP("SVA",[2]ARBOR!$A:$C,3,0),6)),-TRUNC(EG10/VLOOKUP("SVA",[2]ARBOR!$A:$C,3,0)-1,4)+0.0001,-TRUNC(EG10/VLOOKUP("SVA",[2]ARBOR!$A:$C,3,0)-1,4)))))</f>
        <v>7.1400000000000005E-2</v>
      </c>
      <c r="EI10" s="174" t="s">
        <v>211</v>
      </c>
      <c r="EJ10" s="175"/>
      <c r="EK10" s="176"/>
      <c r="EL10" s="177" t="str">
        <f t="shared" si="3"/>
        <v/>
      </c>
      <c r="EM10" s="174" t="str">
        <f>IF(EL10="S/Desc","S/Desc",IF(ISERROR(IF(EL10="","",VLOOKUP(($BX10&amp;EL10&amp;"Template Desc. % sobre Serviço SVA B2C"),[2]BENEFICIOS!$A:$G,5,0))),"Criar",IF(EL10="","",VLOOKUP(($BX10&amp;EL10&amp;"Template Desc. % sobre Serviço SVA B2C"),[2]BENEFICIOS!$A:$G,5,0))))</f>
        <v/>
      </c>
      <c r="EN10" s="103"/>
      <c r="EO10" s="101" t="str">
        <f>IF(EN10=0,"",IF(EN10=VLOOKUP("PCS-OzTL40",[2]ARBOR!$A:$C,3,0),0.0001,IF(EN10&gt;VLOOKUP("PCS-OzTL40",[2]ARBOR!$A:$C,3,0),"Maior que CAP!",IF((DOLLAR(EN10+(VLOOKUP("PCS-OzTL40",[2]ARBOR!$A:$C,3,0)*-TRUNC(EN10/VLOOKUP("PCS-OzTL40",[2]ARBOR!$A:$C,3,0)-1,4)),6))&lt;&gt;(DOLLAR(VLOOKUP("PCS-OzTL40",[2]ARBOR!$A:$C,3,0),6)),-TRUNC(EN10/VLOOKUP("PCS-OzTL40",[2]ARBOR!$A:$C,3,0)-1,4)+0.0001,-TRUNC(EN10/VLOOKUP("PCS-OzTL40",[2]ARBOR!$A:$C,3,0)-1,4)))))</f>
        <v/>
      </c>
      <c r="EP10" s="163" t="str">
        <f>IF(ISERROR(IF(EO10="","",VLOOKUP(($AY10&amp;EO10&amp;"Template desconto FLAT Plano Principal Oi TV nível conta"),[2]BENEFICIOS!$A:$G,5,0))),"Criar",IF(EO10="","",VLOOKUP(($AY10&amp;EO10&amp;"Template desconto FLAT Plano Principal Oi TV nível conta"),[2]BENEFICIOS!$A:$G,5,0)))</f>
        <v/>
      </c>
      <c r="EQ10" s="103">
        <v>99.9</v>
      </c>
      <c r="ER10" s="101">
        <f>IF(EQ10=0,"",IF(EQ10=VLOOKUP("PCS-OzTL41",[2]ARBOR!$A:$C,3,0),0.0001,IF(EQ10&gt;VLOOKUP("PCS-OzTL41",[2]ARBOR!$A:$C,3,0),"Maior que CAP!",IF((DOLLAR(EQ10+(VLOOKUP("PCS-OzTL41",[2]ARBOR!$A:$C,3,0)*-TRUNC(EQ10/VLOOKUP("PCS-OzTL41",[2]ARBOR!$A:$C,3,0)-1,4)),6))&lt;&gt;(DOLLAR(VLOOKUP("PCS-OzTL41",[2]ARBOR!$A:$C,3,0),6)),-TRUNC(EQ10/VLOOKUP("PCS-OzTL41",[2]ARBOR!$A:$C,3,0)-1,4)+0.0001,-TRUNC(EQ10/VLOOKUP("PCS-OzTL41",[2]ARBOR!$A:$C,3,0)-1,4)))))</f>
        <v>0.17459999999999998</v>
      </c>
      <c r="ES10" s="178" t="str">
        <f>IF(ISERROR(IF(ER10="","",VLOOKUP(($AY10&amp;ER10&amp;"Template desconto FLAT Plano Principal Oi TV nível conta"),[2]BENEFICIOS!$A:$G,5,0))),"Criar",IF(ER10="","",VLOOKUP(($AY10&amp;ER10&amp;"Template desconto FLAT Plano Principal Oi TV nível conta"),[2]BENEFICIOS!$A:$G,5,0)))</f>
        <v>MKT-1-9827346410</v>
      </c>
      <c r="ET10" s="103"/>
      <c r="EU10" s="101" t="str">
        <f>IF(ET10=0,"",IF(ET10=VLOOKUP("PCS-OzTL44",[2]ARBOR!$A:$C,3,0),0.0001,IF(ET10&gt;VLOOKUP("PCS-OzTL44",[2]ARBOR!$A:$C,3,0),"Maior que CAP!",IF((DOLLAR(ET10+(VLOOKUP("PCS-OzTL44",[2]ARBOR!$A:$C,3,0)*-TRUNC(ET10/VLOOKUP("PCS-OzTL44",[2]ARBOR!$A:$C,3,0)-1,4)),6))&lt;&gt;(DOLLAR(VLOOKUP("PCS-OzTL44",[2]ARBOR!$A:$C,3,0),6)),-TRUNC(ET10/VLOOKUP("PCS-OzTL44",[2]ARBOR!$A:$C,3,0)-1,4)+0.0001,-TRUNC(ET10/VLOOKUP("PCS-OzTL44",[2]ARBOR!$A:$C,3,0)-1,4)))))</f>
        <v/>
      </c>
      <c r="EV10" s="178" t="str">
        <f>IF(ISERROR(IF(EU10="","",VLOOKUP(($AY10&amp;EU10&amp;"Template desconto FLAT Plano Principal Oi TV nível conta"),[2]BENEFICIOS!$A:$G,5,0))),"Criar",IF(EU10="","",VLOOKUP(($AY10&amp;EU10&amp;"Template desconto FLAT Plano Principal Oi TV nível conta"),[2]BENEFICIOS!$A:$G,5,0)))</f>
        <v/>
      </c>
      <c r="EW10" s="103"/>
      <c r="EX10" s="101" t="str">
        <f>IF(EW10=0,"",IF(EW10=VLOOKUP("PCS-OzTL43",[2]ARBOR!$A:$C,3,0),0.0001,IF(EW10&gt;VLOOKUP("PCS-OzTL43",[2]ARBOR!$A:$C,3,0),"Maior que CAP!",IF((DOLLAR(EW10+(VLOOKUP("PCS-OzTL43",[2]ARBOR!$A:$C,3,0)*-TRUNC(EW10/VLOOKUP("PCS-OzTL43",[2]ARBOR!$A:$C,3,0)-1,4)),6))&lt;&gt;(DOLLAR(VLOOKUP("PCS-OzTL43",[2]ARBOR!$A:$C,3,0),6)),-TRUNC(EW10/VLOOKUP("PCS-OzTL43",[2]ARBOR!$A:$C,3,0)-1,4)+0.0001,-TRUNC(EW10/VLOOKUP("PCS-OzTL43",[2]ARBOR!$A:$C,3,0)-1,4)))))</f>
        <v/>
      </c>
      <c r="EY10" s="178" t="str">
        <f>IF(ISERROR(IF(EX10="","",VLOOKUP(($AY10&amp;EX10&amp;"Template desconto FLAT Plano Principal Oi TV nível conta"),[2]BENEFICIOS!$A:$G,5,0))),"Criar",IF(EX10="","",VLOOKUP(($AY10&amp;EX10&amp;"Template desconto FLAT Plano Principal Oi TV nível conta"),[2]BENEFICIOS!$A:$G,5,0)))</f>
        <v/>
      </c>
      <c r="EZ10" s="103"/>
      <c r="FA10" s="101" t="str">
        <f>IF(EZ10=0,"",IF(EZ10=VLOOKUP("PCS-OzTL45",[2]ARBOR!$A:$C,3,0),0.0001,IF(EZ10&gt;VLOOKUP("PCS-OzTL45",[2]ARBOR!$A:$C,3,0),"Maior que CAP!",IF((DOLLAR(EZ10+(VLOOKUP("PCS-OzTL45",[2]ARBOR!$A:$C,3,0)*-TRUNC(EZ10/VLOOKUP("PCS-OzTL45",[2]ARBOR!$A:$C,3,0)-1,4)),6))&lt;&gt;(DOLLAR(VLOOKUP("PCS-OzTL45",[2]ARBOR!$A:$C,3,0),6)),-TRUNC(EZ10/VLOOKUP("PCS-OzTL45",[2]ARBOR!$A:$C,3,0)-1,4)+0.0001,-TRUNC(EZ10/VLOOKUP("PCS-OzTL45",[2]ARBOR!$A:$C,3,0)-1,4)))))</f>
        <v/>
      </c>
      <c r="FB10" s="178" t="str">
        <f>IF(ISERROR(IF(FA10="","",VLOOKUP(($AY10&amp;FA10&amp;"Template desconto FLAT Plano Principal Oi TV nível conta"),[2]BENEFICIOS!$A:$G,5,0))),"Criar",IF(FA10="","",VLOOKUP(($AY10&amp;FA10&amp;"Template desconto FLAT Plano Principal Oi TV nível conta"),[2]BENEFICIOS!$A:$G,5,0)))</f>
        <v/>
      </c>
      <c r="FC10" s="103"/>
      <c r="FD10" s="101" t="str">
        <f>IF(FC10=0,"",IF(FC10=VLOOKUP("PCS-OzTL741",[2]ARBOR!$A:$C,3,0),0.0001,IF(FC10&gt;VLOOKUP("PCS-OzTL741",[2]ARBOR!$A:$C,3,0),"Maior que CAP!",IF((DOLLAR(FC10+(VLOOKUP("PCS-OzTL741",[2]ARBOR!$A:$C,3,0)*-TRUNC(FC10/VLOOKUP("PCS-OzTL741",[2]ARBOR!$A:$C,3,0)-1,4)),6))&lt;&gt;(DOLLAR(VLOOKUP("PCS-OzTL741",[2]ARBOR!$A:$C,3,0),6)),-TRUNC(FC10/VLOOKUP("PCS-OzTL741",[2]ARBOR!$A:$C,3,0)-1,4)+0.0001,-TRUNC(FC10/VLOOKUP("PCS-OzTL741",[2]ARBOR!$A:$C,3,0)-1,4)))))</f>
        <v/>
      </c>
      <c r="FE10" s="178" t="str">
        <f>IF(ISERROR(IF(FD10="","",VLOOKUP(($AY10&amp;FD10&amp;"Template desconto FLAT Plano Principal Oi TV nível conta"),[2]BENEFICIOS!$A:$G,5,0))),"Criar",IF(FD10="","",VLOOKUP(($AY10&amp;FD10&amp;"Template desconto FLAT Plano Principal Oi TV nível conta"),[2]BENEFICIOS!$A:$G,5,0)))</f>
        <v/>
      </c>
      <c r="FF10" s="103"/>
      <c r="FG10" s="101" t="str">
        <f>IF(FF10=0,"",IF(FF10=VLOOKUP("PCS-OzTL744",[2]ARBOR!$A:$C,3,0),0.0001,IF(FF10&gt;VLOOKUP("PCS-OzTL744",[2]ARBOR!$A:$C,3,0),"Maior que CAP!",IF((DOLLAR(FF10+(VLOOKUP("PCS-OzTL744",[2]ARBOR!$A:$C,3,0)*-TRUNC(FF10/VLOOKUP("PCS-OzTL744",[2]ARBOR!$A:$C,3,0)-1,4)),6))&lt;&gt;(DOLLAR(VLOOKUP("PCS-OzTL744",[2]ARBOR!$A:$C,3,0),6)),-TRUNC(FF10/VLOOKUP("PCS-OzTL744",[2]ARBOR!$A:$C,3,0)-1,4)+0.0001,-TRUNC(FF10/VLOOKUP("PCS-OzTL744",[2]ARBOR!$A:$C,3,0)-1,4)))))</f>
        <v/>
      </c>
      <c r="FH10" s="178" t="str">
        <f>IF(ISERROR(IF(FG10="","",VLOOKUP(($AY10&amp;FG10&amp;"Template desconto FLAT Plano Principal Oi TV nível conta"),[2]BENEFICIOS!$A:$G,5,0))),"Criar",IF(FG10="","",VLOOKUP(($AY10&amp;FG10&amp;"Template desconto FLAT Plano Principal Oi TV nível conta"),[2]BENEFICIOS!$A:$G,5,0)))</f>
        <v/>
      </c>
      <c r="FI10" s="103"/>
      <c r="FJ10" s="101" t="str">
        <f>IF(FI10=0,"",IF(FI10=VLOOKUP("PCS-OzTL743",[2]ARBOR!$A:$C,3,0),0.0001,IF(FI10&gt;VLOOKUP("PCS-OzTL743",[2]ARBOR!$A:$C,3,0),"Maior que CAP!",IF((DOLLAR(FI10+(VLOOKUP("PCS-OzTL743",[2]ARBOR!$A:$C,3,0)*-TRUNC(FI10/VLOOKUP("PCS-OzTL743",[2]ARBOR!$A:$C,3,0)-1,4)),6))&lt;&gt;(DOLLAR(VLOOKUP("PCS-OzTL743",[2]ARBOR!$A:$C,3,0),6)),-TRUNC(FI10/VLOOKUP("PCS-OzTL743",[2]ARBOR!$A:$C,3,0)-1,4)+0.0001,-TRUNC(FI10/VLOOKUP("PCS-OzTL743",[2]ARBOR!$A:$C,3,0)-1,4)))))</f>
        <v/>
      </c>
      <c r="FK10" s="178" t="str">
        <f>IF(ISERROR(IF(FJ10="","",VLOOKUP(($AY10&amp;FJ10&amp;"Template desconto FLAT Plano Principal Oi TV nível conta"),[2]BENEFICIOS!$A:$G,5,0))),"Criar",IF(FJ10="","",VLOOKUP(($AY10&amp;FJ10&amp;"Template desconto FLAT Plano Principal Oi TV nível conta"),[2]BENEFICIOS!$A:$G,5,0)))</f>
        <v/>
      </c>
      <c r="FL10" s="103"/>
      <c r="FM10" s="101" t="str">
        <f>IF(FL10=0,"",IF(FL10=VLOOKUP("PCS-OzTL745",[2]ARBOR!$A:$C,3,0),0.0001,IF(FL10&gt;VLOOKUP("PCS-OzTL745",[2]ARBOR!$A:$C,3,0),"Maior que CAP!",IF((DOLLAR(FL10+(VLOOKUP("PCS-OzTL745",[2]ARBOR!$A:$C,3,0)*-TRUNC(FL10/VLOOKUP("PCS-OzTL745",[2]ARBOR!$A:$C,3,0)-1,4)),6))&lt;&gt;(DOLLAR(VLOOKUP("PCS-OzTL745",[2]ARBOR!$A:$C,3,0),6)),-TRUNC(FL10/VLOOKUP("PCS-OzTL745",[2]ARBOR!$A:$C,3,0)-1,4)+0.0001,-TRUNC(FL10/VLOOKUP("PCS-OzTL745",[2]ARBOR!$A:$C,3,0)-1,4)))))</f>
        <v/>
      </c>
      <c r="FN10" s="178" t="str">
        <f>IF(ISERROR(IF(FM10="","",VLOOKUP(($AY10&amp;FM10&amp;"Template desconto FLAT Plano Principal Oi TV nível conta"),[2]BENEFICIOS!$A:$G,5,0))),"Criar",IF(FM10="","",VLOOKUP(($AY10&amp;FM10&amp;"Template desconto FLAT Plano Principal Oi TV nível conta"),[2]BENEFICIOS!$A:$G,5,0)))</f>
        <v/>
      </c>
      <c r="FO10" s="103"/>
      <c r="FP10" s="101" t="str">
        <f>IF(FO10=0,"",IF(FO10=VLOOKUP("PCS-OzTL42",[2]ARBOR!$A:$C,3,0),0.0001,IF(FO10&gt;VLOOKUP("PCS-OzTL42",[2]ARBOR!$A:$C,3,0),"Maior que CAP!",IF((DOLLAR(FO10+(VLOOKUP("PCS-OzTL42",[2]ARBOR!$A:$C,3,0)*-TRUNC(FO10/VLOOKUP("PCS-OzTL42",[2]ARBOR!$A:$C,3,0)-1,4)),6))&lt;&gt;(DOLLAR(VLOOKUP("PCS-OzTL42",[2]ARBOR!$A:$C,3,0),6)),-TRUNC(FO10/VLOOKUP("PCS-OzTL42",[2]ARBOR!$A:$C,3,0)-1,4)+0.0001,-TRUNC(FO10/VLOOKUP("PCS-OzTL42",[2]ARBOR!$A:$C,3,0)-1,4)))))</f>
        <v/>
      </c>
      <c r="FQ10" s="178" t="str">
        <f>IF(ISERROR(IF(FP10="","",VLOOKUP(($AY10&amp;FP10&amp;"Template desconto FLAT Plano Principal Oi TV nível conta"),[2]BENEFICIOS!$A:$G,5,0))),"Criar",IF(FP10="","",VLOOKUP(($AY10&amp;FP10&amp;"Template desconto FLAT Plano Principal Oi TV nível conta"),[2]BENEFICIOS!$A:$G,5,0)))</f>
        <v/>
      </c>
      <c r="FR10" s="103"/>
      <c r="FS10" s="101" t="str">
        <f>IF(FR10=0,"",IF(FR10=VLOOKUP("PCS-OzTL47",[2]ARBOR!$A:$C,3,0),0.0001,IF(FR10&gt;VLOOKUP("PCS-OzTL47",[2]ARBOR!$A:$C,3,0),"Maior que CAP!",IF((DOLLAR(FR10+(VLOOKUP("PCS-OzTL47",[2]ARBOR!$A:$C,3,0)*-TRUNC(FR10/VLOOKUP("PCS-OzTL47",[2]ARBOR!$A:$C,3,0)-1,4)),6))&lt;&gt;(DOLLAR(VLOOKUP("PCS-OzTL47",[2]ARBOR!$A:$C,3,0),6)),-TRUNC(FR10/VLOOKUP("PCS-OzTL47",[2]ARBOR!$A:$C,3,0)-1,4)+0.0001,-TRUNC(FR10/VLOOKUP("PCS-OzTL47",[2]ARBOR!$A:$C,3,0)-1,4)))))</f>
        <v/>
      </c>
      <c r="FT10" s="178" t="str">
        <f>IF(ISERROR(IF(FS10="","",VLOOKUP(($AY10&amp;FS10&amp;"Template desconto FLAT Plano Principal Oi TV nível conta"),[2]BENEFICIOS!$A:$G,5,0))),"Criar",IF(FS10="","",VLOOKUP(($AY10&amp;FS10&amp;"Template desconto FLAT Plano Principal Oi TV nível conta"),[2]BENEFICIOS!$A:$G,5,0)))</f>
        <v/>
      </c>
      <c r="FU10" s="103"/>
      <c r="FV10" s="101" t="str">
        <f>IF(FU10=0,"",IF(FU10=VLOOKUP("PCS-OzTL46",[2]ARBOR!$A:$C,3,0),0.0001,IF(FU10&gt;VLOOKUP("PCS-OzTL46",[2]ARBOR!$A:$C,3,0),"Maior que CAP!",IF((DOLLAR(FU10+(VLOOKUP("PCS-OzTL46",[2]ARBOR!$A:$C,3,0)*-TRUNC(FU10/VLOOKUP("PCS-OzTL46",[2]ARBOR!$A:$C,3,0)-1,4)),6))&lt;&gt;(DOLLAR(VLOOKUP("PCS-OzTL46",[2]ARBOR!$A:$C,3,0),6)),-TRUNC(FU10/VLOOKUP("PCS-OzTL46",[2]ARBOR!$A:$C,3,0)-1,4)+0.0001,-TRUNC(FU10/VLOOKUP("PCS-OzTL46",[2]ARBOR!$A:$C,3,0)-1,4)))))</f>
        <v/>
      </c>
      <c r="FW10" s="178" t="str">
        <f>IF(ISERROR(IF(FV10="","",VLOOKUP(($AY10&amp;FV10&amp;"Template desconto FLAT Plano Principal Oi TV nível conta"),[2]BENEFICIOS!$A:$G,5,0))),"Criar",IF(FV10="","",VLOOKUP(($AY10&amp;FV10&amp;"Template desconto FLAT Plano Principal Oi TV nível conta"),[2]BENEFICIOS!$A:$G,5,0)))</f>
        <v/>
      </c>
      <c r="FX10" s="103"/>
      <c r="FY10" s="101" t="str">
        <f>IF(FX10=0,"",IF(FX10=VLOOKUP("PCS-OzTL48",[2]ARBOR!$A:$C,3,0),0.0001,IF(FX10&gt;VLOOKUP("PCS-OzTL48",[2]ARBOR!$A:$C,3,0),"Maior que CAP!",IF((DOLLAR(FX10+(VLOOKUP("PCS-OzTL48",[2]ARBOR!$A:$C,3,0)*-TRUNC(FX10/VLOOKUP("PCS-OzTL48",[2]ARBOR!$A:$C,3,0)-1,4)),6))&lt;&gt;(DOLLAR(VLOOKUP("PCS-OzTL48",[2]ARBOR!$A:$C,3,0),6)),-TRUNC(FX10/VLOOKUP("PCS-OzTL48",[2]ARBOR!$A:$C,3,0)-1,4)+0.0001,-TRUNC(FX10/VLOOKUP("PCS-OzTL48",[2]ARBOR!$A:$C,3,0)-1,4)))))</f>
        <v/>
      </c>
      <c r="FZ10" s="178" t="str">
        <f>IF(ISERROR(IF(FY10="","",VLOOKUP(($AY10&amp;FY10&amp;"Template desconto FLAT Plano Principal Oi TV nível conta"),[2]BENEFICIOS!$A:$G,5,0))),"Criar",IF(FY10="","",VLOOKUP(($AY10&amp;FY10&amp;"Template desconto FLAT Plano Principal Oi TV nível conta"),[2]BENEFICIOS!$A:$G,5,0)))</f>
        <v/>
      </c>
      <c r="GA10" s="103"/>
      <c r="GB10" s="101" t="str">
        <f>IF(GA10=0,"",IF(GA10=VLOOKUP("PCS-OzTL742",[2]ARBOR!$A:$C,3,0),0.0001,IF(GA10&gt;VLOOKUP("PCS-OzTL742",[2]ARBOR!$A:$C,3,0),"Maior que CAP!",IF((DOLLAR(GA10+(VLOOKUP("PCS-OzTL742",[2]ARBOR!$A:$C,3,0)*-TRUNC(GA10/VLOOKUP("PCS-OzTL742",[2]ARBOR!$A:$C,3,0)-1,4)),6))&lt;&gt;(DOLLAR(VLOOKUP("PCS-OzTL742",[2]ARBOR!$A:$C,3,0),6)),-TRUNC(GA10/VLOOKUP("PCS-OzTL742",[2]ARBOR!$A:$C,3,0)-1,4)+0.0001,-TRUNC(GA10/VLOOKUP("PCS-OzTL742",[2]ARBOR!$A:$C,3,0)-1,4)))))</f>
        <v/>
      </c>
      <c r="GC10" s="178" t="str">
        <f>IF(ISERROR(IF(GB10="","",VLOOKUP(($AY10&amp;GB10&amp;"Template desconto FLAT Plano Principal Oi TV nível conta"),[2]BENEFICIOS!$A:$G,5,0))),"Criar",IF(GB10="","",VLOOKUP(($AY10&amp;GB10&amp;"Template desconto FLAT Plano Principal Oi TV nível conta"),[2]BENEFICIOS!$A:$G,5,0)))</f>
        <v/>
      </c>
      <c r="GD10" s="103"/>
      <c r="GE10" s="101" t="str">
        <f>IF(GD10=0,"",IF(GD10=VLOOKUP("PCS-OzTL747",[2]ARBOR!$A:$C,3,0),0.0001,IF(GD10&gt;VLOOKUP("PCS-OzTL747",[2]ARBOR!$A:$C,3,0),"Maior que CAP!",IF((DOLLAR(GD10+(VLOOKUP("PCS-OzTL747",[2]ARBOR!$A:$C,3,0)*-TRUNC(GD10/VLOOKUP("PCS-OzTL747",[2]ARBOR!$A:$C,3,0)-1,4)),6))&lt;&gt;(DOLLAR(VLOOKUP("PCS-OzTL747",[2]ARBOR!$A:$C,3,0),6)),-TRUNC(GD10/VLOOKUP("PCS-OzTL747",[2]ARBOR!$A:$C,3,0)-1,4)+0.0001,-TRUNC(GD10/VLOOKUP("PCS-OzTL747",[2]ARBOR!$A:$C,3,0)-1,4)))))</f>
        <v/>
      </c>
      <c r="GF10" s="178" t="str">
        <f>IF(ISERROR(IF(GE10="","",VLOOKUP(($AY10&amp;GE10&amp;"Template desconto FLAT Plano Principal Oi TV nível conta"),[2]BENEFICIOS!$A:$G,5,0))),"Criar",IF(GE10="","",VLOOKUP(($AY10&amp;GE10&amp;"Template desconto FLAT Plano Principal Oi TV nível conta"),[2]BENEFICIOS!$A:$G,5,0)))</f>
        <v/>
      </c>
      <c r="GG10" s="103"/>
      <c r="GH10" s="101" t="str">
        <f>IF(GG10=0,"",IF(GG10=VLOOKUP("PCS-OzTL746",[2]ARBOR!$A:$C,3,0),0.0001,IF(GG10&gt;VLOOKUP("PCS-OzTL746",[2]ARBOR!$A:$C,3,0),"Maior que CAP!",IF((DOLLAR(GG10+(VLOOKUP("PCS-OzTL746",[2]ARBOR!$A:$C,3,0)*-TRUNC(GG10/VLOOKUP("PCS-OzTL746",[2]ARBOR!$A:$C,3,0)-1,4)),6))&lt;&gt;(DOLLAR(VLOOKUP("PCS-OzTL746",[2]ARBOR!$A:$C,3,0),6)),-TRUNC(GG10/VLOOKUP("PCS-OzTL746",[2]ARBOR!$A:$C,3,0)-1,4)+0.0001,-TRUNC(GG10/VLOOKUP("PCS-OzTL746",[2]ARBOR!$A:$C,3,0)-1,4)))))</f>
        <v/>
      </c>
      <c r="GI10" s="178" t="str">
        <f>IF(ISERROR(IF(GH10="","",VLOOKUP(($AY10&amp;GH10&amp;"Template desconto FLAT Plano Principal Oi TV nível conta"),[2]BENEFICIOS!$A:$G,5,0))),"Criar",IF(GH10="","",VLOOKUP(($AY10&amp;GH10&amp;"Template desconto FLAT Plano Principal Oi TV nível conta"),[2]BENEFICIOS!$A:$G,5,0)))</f>
        <v/>
      </c>
      <c r="GJ10" s="103"/>
      <c r="GK10" s="101" t="str">
        <f>IF(GJ10=0,"",IF(GJ10=VLOOKUP("PCS-OzTL748",[2]ARBOR!$A:$C,3,0),0.0001,IF(GJ10&gt;VLOOKUP("PCS-OzTL748",[2]ARBOR!$A:$C,3,0),"Maior que CAP!",IF((DOLLAR(GJ10+(VLOOKUP("PCS-OzTL748",[2]ARBOR!$A:$C,3,0)*-TRUNC(GJ10/VLOOKUP("PCS-OzTL748",[2]ARBOR!$A:$C,3,0)-1,4)),6))&lt;&gt;(DOLLAR(VLOOKUP("PCS-OzTL748",[2]ARBOR!$A:$C,3,0),6)),-TRUNC(GJ10/VLOOKUP("PCS-OzTL748",[2]ARBOR!$A:$C,3,0)-1,4)+0.0001,-TRUNC(GJ10/VLOOKUP("PCS-OzTL748",[2]ARBOR!$A:$C,3,0)-1,4)))))</f>
        <v/>
      </c>
      <c r="GL10" s="178" t="str">
        <f>IF(ISERROR(IF(GK10="","",VLOOKUP(($AY10&amp;GK10&amp;"Template desconto FLAT Plano Principal Oi TV nível conta"),[2]BENEFICIOS!$A:$G,5,0))),"Criar",IF(GK10="","",VLOOKUP(($AY10&amp;GK10&amp;"Template desconto FLAT Plano Principal Oi TV nível conta"),[2]BENEFICIOS!$A:$G,5,0)))</f>
        <v/>
      </c>
      <c r="GM10" s="103">
        <v>75</v>
      </c>
      <c r="GN10" s="101">
        <f>IF(GM10=0,"",IF(GM10=VLOOKUP("PCS-OzTL34",[2]ARBOR!$A:$C,3,0),0.0001,IF(GM10&gt;VLOOKUP("PCS-OzTL34",[2]ARBOR!$A:$C,3,0),"Maior que CAP!",IF((DOLLAR(GM10+(VLOOKUP("PCS-OzTL34",[2]ARBOR!$A:$C,3,0)*-TRUNC(GM10/VLOOKUP("PCS-OzTL34",[2]ARBOR!$A:$C,3,0)-1,4)),6))&lt;&gt;(DOLLAR(VLOOKUP("PCS-OzTL34",[2]ARBOR!$A:$C,3,0),6)),-TRUNC(GM10/VLOOKUP("PCS-OzTL34",[2]ARBOR!$A:$C,3,0)-1,4)+0.0001,-TRUNC(GM10/VLOOKUP("PCS-OzTL34",[2]ARBOR!$A:$C,3,0)-1,4)))))</f>
        <v>0.31900000000000001</v>
      </c>
      <c r="GO10" s="178" t="s">
        <v>178</v>
      </c>
      <c r="GP10" s="103">
        <v>19.899999999999999</v>
      </c>
      <c r="GQ10" s="101">
        <f>IF(GP10=0,"",IF(GP10=VLOOKUP("PCS-OzTL31",[2]ARBOR!$A:$C,3,0),0.0001,IF(GP10&gt;VLOOKUP("PCS-OzTL31",[2]ARBOR!$A:$C,3,0),"Maior que CAP!",IF((DOLLAR(GP10+(VLOOKUP("PCS-OzTL31",[2]ARBOR!$A:$C,3,0)*-TRUNC(GP10/VLOOKUP("PCS-OzTL31",[2]ARBOR!$A:$C,3,0)-1,4)),6))&lt;&gt;(DOLLAR(VLOOKUP("PCS-OzTL31",[2]ARBOR!$A:$C,3,0),6)),-TRUNC(GP10/VLOOKUP("PCS-OzTL31",[2]ARBOR!$A:$C,3,0)-1,4)+0.0001,-TRUNC(GP10/VLOOKUP("PCS-OzTL31",[2]ARBOR!$A:$C,3,0)-1,4)))))</f>
        <v>9.1800000000000007E-2</v>
      </c>
      <c r="GR10" s="178" t="s">
        <v>179</v>
      </c>
      <c r="GS10" s="103">
        <v>19.899999999999999</v>
      </c>
      <c r="GT10" s="101">
        <f>IF(GS10=0,"",IF(GS10=VLOOKUP("PCS-OzTL32",[2]ARBOR!$A:$C,3,0),0.0001,IF(GS10&gt;VLOOKUP("PCS-OzTL32",[2]ARBOR!$A:$C,3,0),"Maior que CAP!",IF((DOLLAR(GS10+(VLOOKUP("PCS-OzTL32",[2]ARBOR!$A:$C,3,0)*-TRUNC(GS10/VLOOKUP("PCS-OzTL32",[2]ARBOR!$A:$C,3,0)-1,4)),6))&lt;&gt;(DOLLAR(VLOOKUP("PCS-OzTL32",[2]ARBOR!$A:$C,3,0),6)),-TRUNC(GS10/VLOOKUP("PCS-OzTL32",[2]ARBOR!$A:$C,3,0)-1,4)+0.0001,-TRUNC(GS10/VLOOKUP("PCS-OzTL32",[2]ARBOR!$A:$C,3,0)-1,4)))))</f>
        <v>9.1800000000000007E-2</v>
      </c>
      <c r="GU10" s="178" t="s">
        <v>180</v>
      </c>
      <c r="GV10" s="103">
        <v>29.9</v>
      </c>
      <c r="GW10" s="101">
        <f>IF(GV10=0,"",IF(GV10=VLOOKUP("PCS-OzTL33",[2]ARBOR!$A:$C,3,0),0.0001,IF(GV10&gt;VLOOKUP("PCS-OzTL33",[2]ARBOR!$A:$C,3,0),"Maior que CAP!",IF((DOLLAR(GV10+(VLOOKUP("PCS-OzTL33",[2]ARBOR!$A:$C,3,0)*-TRUNC(GV10/VLOOKUP("PCS-OzTL33",[2]ARBOR!$A:$C,3,0)-1,4)),6))&lt;&gt;(DOLLAR(VLOOKUP("PCS-OzTL33",[2]ARBOR!$A:$C,3,0),6)),-TRUNC(GV10/VLOOKUP("PCS-OzTL33",[2]ARBOR!$A:$C,3,0)-1,4)+0.0001,-TRUNC(GV10/VLOOKUP("PCS-OzTL33",[2]ARBOR!$A:$C,3,0)-1,4)))))</f>
        <v>9.1800000000000007E-2</v>
      </c>
      <c r="GX10" s="178" t="s">
        <v>181</v>
      </c>
      <c r="GY10" s="103">
        <v>14.9</v>
      </c>
      <c r="GZ10" s="101">
        <f>IF(GY10=0,"",IF(GY10=VLOOKUP("PCS-OzTL503",[2]ARBOR!$A:$C,3,0),0.0001,IF(GY10&gt;VLOOKUP("PCS-OzTL503",[2]ARBOR!$A:$C,3,0),"Maior que CAP!",IF((DOLLAR(GY10+(VLOOKUP("PCS-OzTL503",[2]ARBOR!$A:$C,3,0)*-TRUNC(GY10/VLOOKUP("PCS-OzTL503",[2]ARBOR!$A:$C,3,0)-1,4)),6))&lt;&gt;(DOLLAR(VLOOKUP("PCS-OzTL503",[2]ARBOR!$A:$C,3,0),6)),-TRUNC(GY10/VLOOKUP("PCS-OzTL503",[2]ARBOR!$A:$C,3,0)-1,4)+0.0001,-TRUNC(GY10/VLOOKUP("PCS-OzTL503",[2]ARBOR!$A:$C,3,0)-1,4)))))</f>
        <v>9.1499999999999998E-2</v>
      </c>
      <c r="HA10" s="178" t="s">
        <v>182</v>
      </c>
      <c r="HB10" s="103">
        <v>10</v>
      </c>
      <c r="HC10" s="101">
        <f>IF(HB10=0,"",IF(HB10=VLOOKUP("PCS-OzTL500",[2]ARBOR!$A:$C,3,0),0.0001,IF(HB10&gt;VLOOKUP("PCS-OzTL500",[2]ARBOR!$A:$C,3,0),"Maior que CAP!",IF((DOLLAR(HB10+(VLOOKUP("PCS-OzTL500",[2]ARBOR!$A:$C,3,0)*-TRUNC(HB10/VLOOKUP("PCS-OzTL500",[2]ARBOR!$A:$C,3,0)-1,4)),6))&lt;&gt;(DOLLAR(VLOOKUP("PCS-OzTL500",[2]ARBOR!$A:$C,3,0),6)),-TRUNC(HB10/VLOOKUP("PCS-OzTL500",[2]ARBOR!$A:$C,3,0)-1,4)+0.0001,-TRUNC(HB10/VLOOKUP("PCS-OzTL500",[2]ARBOR!$A:$C,3,0)-1,4)))))</f>
        <v>9.1800000000000007E-2</v>
      </c>
      <c r="HD10" s="178" t="s">
        <v>183</v>
      </c>
      <c r="HE10" s="103" t="s">
        <v>184</v>
      </c>
      <c r="HF10" s="101"/>
      <c r="HG10" s="178"/>
      <c r="HH10" s="103" t="s">
        <v>185</v>
      </c>
      <c r="HI10" s="101"/>
      <c r="HJ10" s="178"/>
      <c r="HK10" s="103" t="s">
        <v>186</v>
      </c>
      <c r="HL10" s="101"/>
      <c r="HM10" s="178"/>
      <c r="HN10" s="103" t="s">
        <v>187</v>
      </c>
      <c r="HO10" s="101"/>
      <c r="HP10" s="178"/>
      <c r="HQ10" s="103" t="s">
        <v>188</v>
      </c>
      <c r="HR10" s="101"/>
      <c r="HS10" s="178"/>
      <c r="HT10" s="103">
        <v>24.9</v>
      </c>
      <c r="HU10" s="101">
        <f>IF(HT10=0,"",IF(HT10=VLOOKUP("PCS-OzTL99",[2]ARBOR!$A:$C,3,0),0.0001,IF(HT10&gt;VLOOKUP("PCS-OzTL99",[2]ARBOR!$A:$C,3,0),"Maior que CAP!",IF((DOLLAR(HT10+(VLOOKUP("PCS-OzTL99",[2]ARBOR!$A:$C,3,0)*-TRUNC(HT10/VLOOKUP("PCS-OzTL99",[2]ARBOR!$A:$C,3,0)-1,4)),6))&lt;&gt;(DOLLAR(VLOOKUP("PCS-OzTL99",[2]ARBOR!$A:$C,3,0),6)),-TRUNC(HT10/VLOOKUP("PCS-OzTL99",[2]ARBOR!$A:$C,3,0)-1,4)+0.0001,-TRUNC(HT10/VLOOKUP("PCS-OzTL99",[2]ARBOR!$A:$C,3,0)-1,4)))))</f>
        <v>0.16729999999999998</v>
      </c>
      <c r="HV10" s="179" t="s">
        <v>189</v>
      </c>
      <c r="HW10" s="170" t="s">
        <v>167</v>
      </c>
      <c r="HX10" s="178" t="str">
        <f t="shared" si="4"/>
        <v>PCS-34704</v>
      </c>
      <c r="HY10" s="180" t="str">
        <f>IFERROR((IF(AZ10="","",VLOOKUP(AZ10,[2]ARBOR!A:C,3,0))),"")</f>
        <v/>
      </c>
      <c r="HZ10" s="181"/>
      <c r="IA10" s="158" t="str">
        <f>IF(HZ10="","",ROUND(1-(HZ10/VLOOKUP(AZ10&amp;"ASS",[2]ARBOR!A:C,3,0)),4))</f>
        <v/>
      </c>
      <c r="IB10" s="158"/>
      <c r="IC10" s="182"/>
      <c r="ID10" s="183"/>
      <c r="IE10" s="101" t="str">
        <f>IF(ID10="","",ROUND(IF(ID10=0,"",IF(ID10=HY10,0.0001,1-((ID10+(VLOOKUP(AZ10&amp;"ASS",[2]ARBOR!A:C,3,0)-HZ10))/HY10))),4))</f>
        <v/>
      </c>
      <c r="IF10" s="101" t="str">
        <f>IF(ISERROR(IF(IE10="","",VLOOKUP(($AY10&amp;IE10&amp;"Template de desconto percentual FLAT Móvel - Conta Total - Varejo - Ganho Tributário Cross"),[2]BENEFICIOS!$A:$E,5,0))),"Criar",IF(IE10="","",VLOOKUP(($AY10&amp;IE10&amp;"Template de desconto percentual FLAT Móvel - Conta Total - Varejo - Ganho Tributário Cross"),[2]BENEFICIOS!$A:$E,5,0)))</f>
        <v/>
      </c>
      <c r="IG10" s="167"/>
      <c r="IH10" s="101"/>
      <c r="II10" s="184"/>
      <c r="IJ10" s="185"/>
      <c r="IK10" s="101"/>
      <c r="IL10" s="101"/>
      <c r="IM10" s="186"/>
      <c r="IN10" s="186"/>
      <c r="IO10" s="187"/>
      <c r="IP10" s="188" t="str">
        <f>IF(IO10=0,"",IF(IO10=VLOOKUP("PCS-813566",[2]ARBOR!$A:$C,3,0),0.0001,IF(IO10&gt;VLOOKUP("PCS-813566",[2]ARBOR!$A:$C,3,0),"Maior que CAP!",ROUND(-1*(IO10/VLOOKUP("PCS-813566",[2]ARBOR!$A:$C,3,0)-1),4))))</f>
        <v/>
      </c>
      <c r="IQ10" s="189" t="str">
        <f>IF(ISERROR(IF(IP10="","",VLOOKUP(("Oi Internet Pra Celular 300MB"&amp;IP10&amp;"Template Flat Instância Dados"),[2]BENEFICIOS!$A:$E,5,0))),"Criar",IF(IP10="","",VLOOKUP(("Oi Internet Pra Celular 300MB"&amp;IP10&amp;"Template Flat Instância Dados"),[2]BENEFICIOS!$A:$E,5,0)))</f>
        <v/>
      </c>
      <c r="IR10" s="190"/>
      <c r="IS10" s="191" t="str">
        <f>IF(IR10=0,"",IF(IR10=VLOOKUP("sva_bancas",[2]ARBOR!$A:$C,3,0),0.0001,IF(IR10&gt;VLOOKUP("sva_livros",[2]ARBOR!$A:$C,3,0),"Maior que CAP!",ROUND(-1*(IR10/VLOOKUP("sva_bancas",[2]ARBOR!$A:$C,3,0)-1),4))))</f>
        <v/>
      </c>
      <c r="IT10" s="192" t="str">
        <f>IF(ISERROR(IF(IS10="","",VLOOKUP(("Oi Internet Pra Celular 300MB"&amp;IS10&amp;"Template Desconto % SVA DADOS B2C"),[2]BENEFICIOS!$A:$E,5,0))),"Criar",IF(IS10="","",VLOOKUP(("Oi Internet Pra Celular 300MB"&amp;IS10&amp;"Template Desconto % SVA DADOS B2C"),[2]BENEFICIOS!$A:$E,5,0)))</f>
        <v/>
      </c>
      <c r="IU10" s="187"/>
      <c r="IV10" s="188" t="str">
        <f>IF(IU10=0,"",IF(IU10=VLOOKUP("PCS-813564",[2]ARBOR!$A:$C,3,0),0.0001,IF(IU10&gt;VLOOKUP("PCS-813564",[2]ARBOR!$A:$C,3,0),"Maior que CAP!",ROUND(-1*(IU10/VLOOKUP("PCS-813564",[2]ARBOR!$A:$C,3,0)-1),4))))</f>
        <v/>
      </c>
      <c r="IW10" s="189" t="str">
        <f>IF(ISERROR(IF(IV10="","",VLOOKUP(("Oi Internet Pra Celular 500MB"&amp;IV10&amp;"Template Flat Instância Dados"),[2]BENEFICIOS!$A:$E,5,0))),"Criar",IF(IV10="","",VLOOKUP(("Oi Internet Pra Celular 500MB"&amp;IV10&amp;"Template Flat Instância Dados"),[2]BENEFICIOS!$A:$E,5,0)))</f>
        <v/>
      </c>
      <c r="IX10" s="190"/>
      <c r="IY10" s="191" t="str">
        <f>IF(IX10=0,"",IF(IX10=VLOOKUP("sva_livros",[2]ARBOR!$A:$C,3,0),0.0001,IF(IX10&gt;VLOOKUP("sva_livros",[2]ARBOR!$A:$C,3,0),"Maior que CAP!",ROUND(-1*(IX10/VLOOKUP("sva_livros",[2]ARBOR!$A:$C,3,0)-1),4))))</f>
        <v/>
      </c>
      <c r="IZ10" s="192" t="str">
        <f>IF(ISERROR(IF(IY10="","",VLOOKUP(("Oi Internet Pra Celular 500MB"&amp;IY10&amp;"Template Desconto % SVA DADOS B2C"),[2]BENEFICIOS!$A:$E,5,0))),"Criar",IF(IY10="","",VLOOKUP(("Oi Internet Pra Celular 500MB"&amp;IY10&amp;"Template Desconto % SVA DADOS B2C"),[2]BENEFICIOS!$A:$E,5,0)))</f>
        <v/>
      </c>
      <c r="JA10" s="187"/>
      <c r="JB10" s="188" t="str">
        <f>IF(JA10=0,"",IF(JA10=VLOOKUP("PCS-10357",[2]ARBOR!$A:$C,3,0),0.0001,IF(JA10&gt;VLOOKUP("PCS-10357",[2]ARBOR!$A:$C,3,0),"Maior que CAP!",ROUND(-1*(JA10/VLOOKUP("PCS-10357",[2]ARBOR!$A:$C,3,0)-1),4))))</f>
        <v/>
      </c>
      <c r="JC10" s="189" t="str">
        <f>IF(ISERROR(IF(JB10="","",VLOOKUP(("Oi Internet Pra Celular 1GB"&amp;JB10&amp;"Template Flat Instância Dados"),[2]BENEFICIOS!$A:$E,5,0))),"Criar",IF(JB10="","",VLOOKUP(("Oi Internet Pra Celular 1GB"&amp;JB10&amp;"Template Flat Instância Dados"),[2]BENEFICIOS!$A:$E,5,0)))</f>
        <v/>
      </c>
      <c r="JD10" s="190"/>
      <c r="JE10" s="191" t="str">
        <f>IF(JD10=0,"",IF(JD10=VLOOKUP("sva_livros",[2]ARBOR!$A:$C,3,0),0.0001,IF(JD10&gt;VLOOKUP("sva_livros",[2]ARBOR!$A:$C,3,0),"Maior que CAP!",ROUND(-1*(JD10/VLOOKUP("sva_livros",[2]ARBOR!$A:$C,3,0)-1),4))))</f>
        <v/>
      </c>
      <c r="JF10" s="192" t="str">
        <f>IF(ISERROR(IF(JE10="","",VLOOKUP(("Oi Internet Pra Celular 1GB"&amp;JE10&amp;"Template Desconto % SVA DADOS B2C"),[2]BENEFICIOS!$A:$E,5,0))),"Criar",IF(JE10="","",VLOOKUP(("Oi Internet Pra Celular 1GB"&amp;JE10&amp;"Template Desconto % SVA DADOS B2C"),[2]BENEFICIOS!$A:$E,5,0)))</f>
        <v/>
      </c>
      <c r="JG10" s="187"/>
      <c r="JH10" s="188" t="str">
        <f>IF(JG10=0,"",IF(JG10=VLOOKUP("PCS-813565",[2]ARBOR!$A:$C,3,0),0.0001,IF(JG10&gt;VLOOKUP("PCS-813565",[2]ARBOR!$A:$C,3,0),"Maior que CAP!",ROUND(-1*(JG10/VLOOKUP("PCS-813565",[2]ARBOR!$A:$C,3,0)-1),4))))</f>
        <v/>
      </c>
      <c r="JI10" s="189" t="str">
        <f>IF(ISERROR(IF(JH10="","",VLOOKUP(("Oi Internet Pra Celular 2GB"&amp;JH10&amp;"Template Flat Instância Dados"),[2]BENEFICIOS!$A:$E,5,0))),"Criar",IF(JH10="","",VLOOKUP(("Oi Internet Pra Celular 2GB"&amp;JH10&amp;"Template Flat Instância Dados"),[2]BENEFICIOS!$A:$E,5,0)))</f>
        <v/>
      </c>
      <c r="JJ10" s="190"/>
      <c r="JK10" s="191" t="str">
        <f>IF(JJ10=0,"",IF(JJ10=VLOOKUP("sva_livros",[2]ARBOR!$A:$C,3,0),0.0001,IF(JJ10&gt;VLOOKUP("sva_livros",[2]ARBOR!$A:$C,3,0),"Maior que CAP!",ROUND(-1*(JJ10/VLOOKUP("sva_livros",[2]ARBOR!$A:$C,3,0)-1),4))))</f>
        <v/>
      </c>
      <c r="JL10" s="192" t="str">
        <f>IF(ISERROR(IF(JK10="","",VLOOKUP(("Oi Internet Pra Celular 2GB"&amp;JK10&amp;"Template Desconto % SVA DADOS B2C"),[2]BENEFICIOS!$A:$E,5,0))),"Criar",IF(JK10="","",VLOOKUP(("Oi Internet Pra Celular 2GB"&amp;JK10&amp;"Template Desconto % SVA DADOS B2C"),[2]BENEFICIOS!$A:$E,5,0)))</f>
        <v/>
      </c>
      <c r="JM10" s="187"/>
      <c r="JN10" s="188" t="str">
        <f>IF(JM10=0,"",IF(JM10=VLOOKUP("PCS-7171B",[2]ARBOR!$A:$C,3,0),0.0001,IF(JM10&gt;VLOOKUP("PCS-7171B",[2]ARBOR!$A:$C,3,0),"Maior que CAP!",ROUND(-1*(JM10/VLOOKUP("PCS-7171B",[2]ARBOR!$A:$C,3,0)-1),4))))</f>
        <v/>
      </c>
      <c r="JO10" s="189" t="str">
        <f>IF(ISERROR(IF(JN10="","",VLOOKUP(("Oi Internet Pra Celular 3GB"&amp;JN10&amp;"Template Flat Instância Dados"),[2]BENEFICIOS!$A:$E,5,0))),"Criar",IF(JN10="","",VLOOKUP(("Oi Internet Pra Celular 3GB"&amp;JN10&amp;"Template Flat Instância Dados"),[2]BENEFICIOS!$A:$E,5,0)))</f>
        <v/>
      </c>
      <c r="JP10" s="190"/>
      <c r="JQ10" s="191" t="str">
        <f>IF(JP10=0,"",IF(JP10=VLOOKUP("sva_livros",[2]ARBOR!$A:$C,3,0),0.0001,IF(JP10&gt;VLOOKUP("sva_livros",[2]ARBOR!$A:$C,3,0),"Maior que CAP!",ROUND(-1*(JP10/VLOOKUP("sva_livros",[2]ARBOR!$A:$C,3,0)-1),4))))</f>
        <v/>
      </c>
      <c r="JR10" s="192" t="str">
        <f>IF(ISERROR(IF(JQ10="","",VLOOKUP(("Oi Internet Pra Celular 3GB"&amp;JQ10&amp;"Template Desconto % SVA DADOS B2C"),[2]BENEFICIOS!$A:$E,5,0))),"Criar",IF(JQ10="","",VLOOKUP(("Oi Internet Pra Celular 3GB"&amp;JQ10&amp;"Template Desconto % SVA DADOS B2C"),[2]BENEFICIOS!$A:$E,5,0)))</f>
        <v/>
      </c>
      <c r="JS10" s="187"/>
      <c r="JT10" s="188" t="str">
        <f>IF(JS10=0,"",IF(JS10=VLOOKUP("PCS-51793o08",[2]ARBOR!$A:$C,3,0),0.0001,IF(JS10&gt;VLOOKUP("PCS-51793o08",[2]ARBOR!$A:$C,3,0),"Maior que CAP!",ROUND(-1*(JS10/VLOOKUP("PCS-51793o08",[2]ARBOR!$A:$C,3,0)-1),4))))</f>
        <v/>
      </c>
      <c r="JU10" s="189" t="str">
        <f>IF(ISERROR(IF(JT10="","",VLOOKUP(("Oi Internet Pra Celular 5GB"&amp;JT10&amp;"Template Flat Instância Dados"),[2]BENEFICIOS!$A:$E,5,0))),"Criar",IF(JT10="","",VLOOKUP(("Oi Internet Pra Celular 5GB"&amp;JT10&amp;"Template Flat Instância Dados"),[2]BENEFICIOS!$A:$E,5,0)))</f>
        <v/>
      </c>
      <c r="JV10" s="190"/>
      <c r="JW10" s="191" t="str">
        <f>IF(JV10=0,"",IF(JV10=VLOOKUP("sva_curtas",[2]ARBOR!$A:$C,3,0),0.0001,IF(JV10&gt;VLOOKUP("sva_curtas",[2]ARBOR!$A:$C,3,0),"Maior que CAP!",ROUND(-1*(JV10/VLOOKUP("sva_curtas",[2]ARBOR!$A:$C,3,0)-1),4))))</f>
        <v/>
      </c>
      <c r="JX10" s="192" t="str">
        <f>IF(ISERROR(IF(JW10="","",VLOOKUP(("Oi Internet Pra Celular 5GB"&amp;JW10&amp;"Template Desconto % SVA DADOS B2C"),[2]BENEFICIOS!$A:$E,5,0))),"Criar",IF(JW10="","",VLOOKUP(("Oi Internet Pra Celular 5GB"&amp;JW10&amp;"Template Desconto % SVA DADOS B2C"),[2]BENEFICIOS!$A:$E,5,0)))</f>
        <v/>
      </c>
      <c r="JY10" s="187"/>
      <c r="JZ10" s="188" t="str">
        <f>IF(JY10=0,"",IF(JY10=VLOOKUP("PCS-7171A",[2]ARBOR!$A:$C,3,0),0.0001,IF(JY10&gt;VLOOKUP("PCS-7171A",[2]ARBOR!$A:$C,3,0),"Maior que CAP!",ROUND(-1*(JY10/VLOOKUP("PCS-7171A",[2]ARBOR!$A:$C,3,0)-1),4))))</f>
        <v/>
      </c>
      <c r="KA10" s="193" t="str">
        <f>IF(ISERROR(IF(JZ10="","",VLOOKUP(("Oi Internet Pra Celular 10GB"&amp;JZ10&amp;"Template Flat Instância Dados"),[2]BENEFICIOS!$A:$E,5,0))),"Criar",IF(JZ10="","",VLOOKUP(("Oi Internet Pra Celular 10GB"&amp;JZ10&amp;"Template Flat Instância Dados"),[2]BENEFICIOS!$A:$E,5,0)))</f>
        <v/>
      </c>
      <c r="KB10" s="190"/>
      <c r="KC10" s="191" t="str">
        <f>IF(KB10=0,"",IF(KB10=VLOOKUP("sva_curtas",[2]ARBOR!$A:$C,3,0),0.0001,IF(KB10&gt;VLOOKUP("sva_curtas",[2]ARBOR!$A:$C,3,0),"Maior que CAP!",ROUND(-1*(KB10/VLOOKUP("sva_curtas",[2]ARBOR!$A:$C,3,0)-1),4))))</f>
        <v/>
      </c>
      <c r="KD10" s="192" t="str">
        <f>IF(ISERROR(IF(KC10="","",VLOOKUP(("Oi Internet Pra Celular 10GB"&amp;KC10&amp;"Template Desconto % SVA DADOS B2C"),[2]BENEFICIOS!$A:$E,5,0))),"Criar",IF(KC10="","",VLOOKUP(("Oi Internet Pra Celular 10GB"&amp;KC10&amp;"Template Desconto % SVA DADOS B2C"),[2]BENEFICIOS!$A:$E,5,0)))</f>
        <v/>
      </c>
      <c r="KE10" s="194"/>
      <c r="KF10" s="195"/>
      <c r="KG10" s="196" t="s">
        <v>167</v>
      </c>
      <c r="KH10" s="197" t="s">
        <v>190</v>
      </c>
      <c r="KI10" s="198">
        <v>699</v>
      </c>
      <c r="KJ10" s="197">
        <v>12</v>
      </c>
      <c r="KK10" s="199" t="str">
        <f t="shared" si="5"/>
        <v>Oi benefício fidelização Multiprodutos</v>
      </c>
      <c r="KL10" s="200" t="str">
        <f t="shared" si="6"/>
        <v>PCS-Fk83324</v>
      </c>
      <c r="KM10" s="200" t="str">
        <f t="shared" si="7"/>
        <v>PCS-SBL553142</v>
      </c>
      <c r="KN10" s="201" t="s">
        <v>191</v>
      </c>
      <c r="KO10" s="202" t="s">
        <v>192</v>
      </c>
      <c r="KP10" s="202" t="s">
        <v>193</v>
      </c>
      <c r="KQ10" s="201" t="s">
        <v>194</v>
      </c>
      <c r="KR10" s="199" t="s">
        <v>195</v>
      </c>
      <c r="KS10" s="200" t="s">
        <v>196</v>
      </c>
      <c r="KT10" s="203" t="s">
        <v>197</v>
      </c>
      <c r="KU10" s="129" t="s">
        <v>198</v>
      </c>
      <c r="KV10" s="129">
        <v>199.91</v>
      </c>
      <c r="KW10" s="129" t="s">
        <v>198</v>
      </c>
      <c r="KX10" s="129" t="s">
        <v>198</v>
      </c>
      <c r="KY10" s="129" t="s">
        <v>198</v>
      </c>
      <c r="KZ10" s="129" t="s">
        <v>198</v>
      </c>
      <c r="LA10" s="129" t="s">
        <v>198</v>
      </c>
      <c r="LB10" s="129" t="s">
        <v>198</v>
      </c>
      <c r="LC10" s="129" t="s">
        <v>198</v>
      </c>
      <c r="LD10" s="129" t="s">
        <v>198</v>
      </c>
      <c r="LE10" s="129" t="s">
        <v>198</v>
      </c>
      <c r="LF10" s="129" t="s">
        <v>198</v>
      </c>
      <c r="LG10" s="129" t="s">
        <v>198</v>
      </c>
      <c r="LH10" s="129" t="s">
        <v>198</v>
      </c>
      <c r="LI10" s="129" t="s">
        <v>198</v>
      </c>
      <c r="LJ10" s="129" t="s">
        <v>198</v>
      </c>
      <c r="LK10" s="204" t="s">
        <v>198</v>
      </c>
      <c r="LL10" s="212"/>
      <c r="LM10" s="213"/>
      <c r="LN10" s="213"/>
      <c r="LO10" s="213"/>
      <c r="LP10" s="213"/>
      <c r="LQ10" s="213"/>
      <c r="LR10" s="213"/>
      <c r="LS10" s="213"/>
      <c r="LT10" s="213"/>
      <c r="LU10" s="214"/>
      <c r="LV10" t="s">
        <v>213</v>
      </c>
      <c r="LW10" t="s">
        <v>200</v>
      </c>
    </row>
    <row r="11" spans="1:335" x14ac:dyDescent="0.25">
      <c r="A11" s="134" t="s">
        <v>164</v>
      </c>
      <c r="B11" s="135" t="s">
        <v>165</v>
      </c>
      <c r="C11" s="135" t="s">
        <v>166</v>
      </c>
      <c r="D11" s="136" t="s">
        <v>167</v>
      </c>
      <c r="E11" s="137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9"/>
      <c r="Q11" s="139"/>
      <c r="R11" s="139"/>
      <c r="S11" s="140"/>
      <c r="T11" s="138"/>
      <c r="U11" s="138"/>
      <c r="V11" s="138"/>
      <c r="W11" s="138"/>
      <c r="X11" s="138"/>
      <c r="Y11" s="138"/>
      <c r="Z11" s="138"/>
      <c r="AA11" s="138"/>
      <c r="AB11" s="138"/>
      <c r="AC11" s="138"/>
      <c r="AD11" s="138"/>
      <c r="AE11" s="141"/>
      <c r="AF11" s="138"/>
      <c r="AG11" s="138"/>
      <c r="AH11" s="142"/>
      <c r="AI11" s="209" t="s">
        <v>11</v>
      </c>
      <c r="AJ11" s="59" t="s">
        <v>168</v>
      </c>
      <c r="AK11" s="60" t="s">
        <v>209</v>
      </c>
      <c r="AL11" s="143">
        <v>43039</v>
      </c>
      <c r="AM11" s="144">
        <v>43159</v>
      </c>
      <c r="AN11" s="63" t="s">
        <v>170</v>
      </c>
      <c r="AO11" s="64" t="s">
        <v>170</v>
      </c>
      <c r="AP11" s="145"/>
      <c r="AQ11" s="145" t="s">
        <v>171</v>
      </c>
      <c r="AR11" s="145">
        <v>20</v>
      </c>
      <c r="AS11" s="145">
        <v>10000</v>
      </c>
      <c r="AT11" s="146" t="s">
        <v>172</v>
      </c>
      <c r="AU11" s="147" t="s">
        <v>167</v>
      </c>
      <c r="AV11" s="148" t="s">
        <v>173</v>
      </c>
      <c r="AW11" s="149" t="s">
        <v>173</v>
      </c>
      <c r="AX11" s="150" t="s">
        <v>11</v>
      </c>
      <c r="AY11" s="151" t="s">
        <v>203</v>
      </c>
      <c r="AZ11" s="152" t="str">
        <f>IF(ISERROR(VLOOKUP(AY11,[2]PLANOS!B:C,2,0)),"",VLOOKUP(AY11,[2]PLANOS!B:C,2,0))</f>
        <v>PCS-3PHipi</v>
      </c>
      <c r="BA11" s="153" t="s">
        <v>173</v>
      </c>
      <c r="BB11" s="154" t="str">
        <f t="shared" si="1"/>
        <v/>
      </c>
      <c r="BC11" s="155"/>
      <c r="BD11" s="156"/>
      <c r="BE11" s="157">
        <v>50.11</v>
      </c>
      <c r="BF11" s="101">
        <f>IF(BE11=0,"",IF(BE11=VLOOKUP("FIXO",[2]ARBOR!$A:$C,3,0),0.0001,IF(BE11&gt;VLOOKUP("FIXO",[2]ARBOR!$A:$C,3,0),"Maior que CAP!",IF((DOLLAR(BE11+(VLOOKUP("FIXO",[2]ARBOR!$A:$C,3,0)*-TRUNC(BE11/VLOOKUP("FIXO",[2]ARBOR!$A:$C,3,0)-1,4)),6))&lt;&gt;(DOLLAR(VLOOKUP("FIXO",[2]ARBOR!$A:$C,3,0),6)),-TRUNC(BE11/VLOOKUP("FIXO",[2]ARBOR!$A:$C,3,0)-1,4)+0.0001,-TRUNC(BE11/VLOOKUP("FIXO",[2]ARBOR!$A:$C,3,0)-1,4)))))</f>
        <v>0.33929999999999999</v>
      </c>
      <c r="BG11" s="158"/>
      <c r="BH11" s="101" t="str">
        <f>IF(BG11=0,"",IF(BG11=VLOOKUP("FIXO",[2]ARBOR!$A:$C,3,0),0.0001,IF(BG11&gt;VLOOKUP("FIXO",[2]ARBOR!$A:$C,3,0),"Maior que CAP!",IF((DOLLAR(BG11+(VLOOKUP("FIXO",[2]ARBOR!$A:$C,3,0)*-TRUNC(BG11/VLOOKUP("FIXO",[2]ARBOR!$A:$C,3,0)-1,4)),6))&lt;&gt;(DOLLAR(VLOOKUP("FIXO",[2]ARBOR!$A:$C,3,0),6)),-TRUNC(BG11/VLOOKUP("FIXO",[2]ARBOR!$A:$C,3,0)-1,4)+0.0001,-TRUNC(BG11/VLOOKUP("FIXO",[2]ARBOR!$A:$C,3,0)-1,4)))))</f>
        <v/>
      </c>
      <c r="BI11" s="101" t="str">
        <f>IF(ISERROR(IF(BF11="","",VLOOKUP(($AY11&amp;BF11&amp;"Template de desconto FLAT bundle - Fixo - Varejo - Ganho Tributário Cross"),[2]BENEFICIOS!$A:$E,5,0))),"Criar",IF(BF11="","",VLOOKUP(($AY11&amp;BF11&amp;"Template de desconto FLAT bundle - Fixo - Varejo - Ganho Tributário Cross"),[2]BENEFICIOS!$A:$E,5,0)))</f>
        <v>MKT-1-9825728196</v>
      </c>
      <c r="BJ11" s="159"/>
      <c r="BK11" s="101" t="str">
        <f t="shared" si="2"/>
        <v/>
      </c>
      <c r="BL11" s="160"/>
      <c r="BM11" s="101" t="str">
        <f>IF(BL11=0,"",IF(BL11=VLOOKUP("FIXO",[2]ARBOR!$A:$C,3,0),0.0001,IF(BL11&gt;VLOOKUP("FIXO",[2]ARBOR!$A:$C,3,0),"Maior que CAP!",IF(BF11&lt;&gt;"",-ROUND(BL11/VLOOKUP("FIXO",[2]ARBOR!$A:$C,3,0)-1,4)-BF11,-ROUND(BL11/VLOOKUP("FIXO",[2]ARBOR!$A:$C,3,0)-1,4)))))</f>
        <v/>
      </c>
      <c r="BN11" s="161"/>
      <c r="BO11" s="101" t="str">
        <f>IF(ISERROR(IF(BK11="","",VLOOKUP(($AY11&amp;BK11&amp;"Template de desconto FLAT bundle - Fixo - Varejo - Ganho Tributário Cross"),[2]BENEFICIOS!$A:$E,5,0))),"Criar",IF(BK11="","",VLOOKUP(($AY11&amp;BK11&amp;"Template de desconto FLAT bundle - Fixo - Varejo - Ganho Tributário Cross"),[2]BENEFICIOS!$A:$E,5,0)))</f>
        <v/>
      </c>
      <c r="BP11" s="162" t="s">
        <v>175</v>
      </c>
      <c r="BQ11" s="163" t="s">
        <v>176</v>
      </c>
      <c r="BR11" s="164" t="s">
        <v>173</v>
      </c>
      <c r="BS11" s="165" t="str">
        <f t="shared" si="0"/>
        <v/>
      </c>
      <c r="BT11" s="155"/>
      <c r="BU11" s="166"/>
      <c r="BV11" s="167" t="s">
        <v>210</v>
      </c>
      <c r="BW11" s="168">
        <v>44.9</v>
      </c>
      <c r="BX11" s="101">
        <f>IF(BW11=0,"",IF(BW11=VLOOKUP("PCS-30874g",[2]ARBOR!$A:$C,3,0),0.0001,IF(BW11&gt;VLOOKUP("PCS-30874g",[2]ARBOR!$A:$C,3,0),"Maior que CAP!",IF((DOLLAR(BW11+(VLOOKUP("PCS-30874g",[2]ARBOR!$A:$C,3,0)*-TRUNC(BW11/VLOOKUP("PCS-30874g",[2]ARBOR!$A:$C,3,0)-1,4)),6))&lt;&gt;(DOLLAR(VLOOKUP("PCS-30874g",[2]ARBOR!$A:$C,3,0),6)),-TRUNC(BW11/VLOOKUP("PCS-30874g",[2]ARBOR!$A:$C,3,0)-1,4)+0.0001,-TRUNC(BW11/VLOOKUP("PCS-30874g",[2]ARBOR!$A:$C,3,0)-1,4)))))</f>
        <v>0.53679999999999994</v>
      </c>
      <c r="BY11" s="163" t="str">
        <f>IF(ISERROR(IF(BX11="","",VLOOKUP(($AY11&amp;BX11&amp;"Template de desconto FLAT bundle - Velox XDSL - Varejo"),[2]BENEFICIOS!$A:$E,5,0))),"Criar",IF(BX11="","",VLOOKUP(($AY11&amp;BX11&amp;"Template de desconto FLAT bundle - Velox XDSL - Varejo"),[2]BENEFICIOS!$A:$E,5,0)))</f>
        <v>MKT-1-9829477373</v>
      </c>
      <c r="BZ11" s="167" t="s">
        <v>210</v>
      </c>
      <c r="CA11" s="168">
        <v>44.9</v>
      </c>
      <c r="CB11" s="101">
        <f>IF(CA11=0,"",IF(CA11=VLOOKUP("PCS-30577g",[2]ARBOR!$A:$C,3,0),0.0001,IF(CA11&gt;VLOOKUP("PCS-30577g",[2]ARBOR!$A:$C,3,0),"Maior que CAP!",IF((DOLLAR(CA11+(VLOOKUP("PCS-30577g",[2]ARBOR!$A:$C,3,0)*-TRUNC(CA11/VLOOKUP("PCS-30577g",[2]ARBOR!$A:$C,3,0)-1,4)),6))&lt;&gt;(DOLLAR(VLOOKUP("PCS-30577g",[2]ARBOR!$A:$C,3,0),6)),-TRUNC(CA11/VLOOKUP("PCS-30577g",[2]ARBOR!$A:$C,3,0)-1,4)+0.0001,-TRUNC(CA11/VLOOKUP("PCS-30577g",[2]ARBOR!$A:$C,3,0)-1,4)))))</f>
        <v>0.53679999999999994</v>
      </c>
      <c r="CC11" s="163" t="str">
        <f>IF(ISERROR(IF(CB11="","",VLOOKUP(($AY11&amp;CB11&amp;"Template de desconto FLAT bundle - Velox XDSL - Varejo"),[2]BENEFICIOS!$A:$E,5,0))),"Criar",IF(CB11="","",VLOOKUP(($AY11&amp;CB11&amp;"Template de desconto FLAT bundle - Velox XDSL - Varejo"),[2]BENEFICIOS!$A:$E,5,0)))</f>
        <v>MKT-1-9829477373</v>
      </c>
      <c r="CD11" s="167" t="s">
        <v>210</v>
      </c>
      <c r="CE11" s="168">
        <v>44.9</v>
      </c>
      <c r="CF11" s="101">
        <f>IF(CE11=0,"",IF(CE11=VLOOKUP("PCS-30604g",[2]ARBOR!$A:$C,3,0),0.0001,IF(CE11&gt;VLOOKUP("PCS-30604g",[2]ARBOR!$A:$C,3,0),"Maior que CAP!",IF((DOLLAR(CE11+(VLOOKUP("PCS-30604g",[2]ARBOR!$A:$C,3,0)*-TRUNC(CE11/VLOOKUP("PCS-30604g",[2]ARBOR!$A:$C,3,0)-1,4)),6))&lt;&gt;(DOLLAR(VLOOKUP("PCS-30604g",[2]ARBOR!$A:$C,3,0),6)),-TRUNC(CE11/VLOOKUP("PCS-30604g",[2]ARBOR!$A:$C,3,0)-1,4)+0.0001,-TRUNC(CE11/VLOOKUP("PCS-30604g",[2]ARBOR!$A:$C,3,0)-1,4)))))</f>
        <v>0.53679999999999994</v>
      </c>
      <c r="CG11" s="163" t="str">
        <f>IF(ISERROR(IF(CF11="","",VLOOKUP(($AY11&amp;CF11&amp;"Template de desconto FLAT bundle - Velox XDSL - Varejo"),[2]BENEFICIOS!$A:$E,5,0))),"Criar",IF(CF11="","",VLOOKUP(($AY11&amp;CF11&amp;"Template de desconto FLAT bundle - Velox XDSL - Varejo"),[2]BENEFICIOS!$A:$E,5,0)))</f>
        <v>MKT-1-9829477373</v>
      </c>
      <c r="CH11" s="167" t="s">
        <v>210</v>
      </c>
      <c r="CI11" s="168">
        <v>44.9</v>
      </c>
      <c r="CJ11" s="101">
        <f>IF(CI11=0,"",IF(CI11=VLOOKUP("PCS-30631g",[2]ARBOR!$A:$C,3,0),0.0001,IF(CI11&gt;VLOOKUP("PCS-30631g",[2]ARBOR!$A:$C,3,0),"Maior que CAP!",IF((DOLLAR(CI11+(VLOOKUP("PCS-30631g",[2]ARBOR!$A:$C,3,0)*-TRUNC(CI11/VLOOKUP("PCS-30631g",[2]ARBOR!$A:$C,3,0)-1,4)),6))&lt;&gt;(DOLLAR(VLOOKUP("PCS-30631g",[2]ARBOR!$A:$C,3,0),6)),-TRUNC(CI11/VLOOKUP("PCS-30631g",[2]ARBOR!$A:$C,3,0)-1,4)+0.0001,-TRUNC(CI11/VLOOKUP("PCS-30631g",[2]ARBOR!$A:$C,3,0)-1,4)))))</f>
        <v>0.54310000000000003</v>
      </c>
      <c r="CK11" s="163" t="str">
        <f>IF(ISERROR(IF(CJ11="","",VLOOKUP(($AY11&amp;CJ11&amp;"Template de desconto FLAT bundle - Velox XDSL - Varejo"),[2]BENEFICIOS!$A:$E,5,0))),"Criar",IF(CJ11="","",VLOOKUP(($AY11&amp;CJ11&amp;"Template de desconto FLAT bundle - Velox XDSL - Varejo"),[2]BENEFICIOS!$A:$E,5,0)))</f>
        <v>MKT-1-9828219079</v>
      </c>
      <c r="CL11" s="167" t="s">
        <v>104</v>
      </c>
      <c r="CM11" s="168">
        <v>49.9</v>
      </c>
      <c r="CN11" s="101">
        <f>IF(CM11=0,"",IF(CM11=VLOOKUP("PCS-30658g",[2]ARBOR!$A:$C,3,0),0.0001,IF(CM11&gt;VLOOKUP("PCS-30658g",[2]ARBOR!$A:$C,3,0),"Maior que CAP!",IF((DOLLAR(CM11+(VLOOKUP("PCS-30658g",[2]ARBOR!$A:$C,3,0)*-TRUNC(CM11/VLOOKUP("PCS-30658g",[2]ARBOR!$A:$C,3,0)-1,4)),6))&lt;&gt;(DOLLAR(VLOOKUP("PCS-30658g",[2]ARBOR!$A:$C,3,0),6)),-TRUNC(CM11/VLOOKUP("PCS-30658g",[2]ARBOR!$A:$C,3,0)-1,4)+0.0001,-TRUNC(CM11/VLOOKUP("PCS-30658g",[2]ARBOR!$A:$C,3,0)-1,4)))))</f>
        <v>0.55569999999999997</v>
      </c>
      <c r="CO11" s="163" t="str">
        <f>IF(ISERROR(IF(CN11="","",VLOOKUP(($AY11&amp;CN11&amp;"Template de desconto FLAT bundle - Velox XDSL - Varejo"),[2]BENEFICIOS!$A:$E,5,0))),"Criar",IF(CN11="","",VLOOKUP(($AY11&amp;CN11&amp;"Template de desconto FLAT bundle - Velox XDSL - Varejo"),[2]BENEFICIOS!$A:$E,5,0)))</f>
        <v>MKT-1-9828243608</v>
      </c>
      <c r="CP11" s="167" t="s">
        <v>104</v>
      </c>
      <c r="CQ11" s="168">
        <v>49.9</v>
      </c>
      <c r="CR11" s="101">
        <f>IF(CQ11=0,"",IF(CQ11=VLOOKUP("PCS-30685g",[2]ARBOR!$A:$C,3,0),0.0001,IF(CQ11&gt;VLOOKUP("PCS-30685g",[2]ARBOR!$A:$C,3,0),"Maior que CAP!",IF((DOLLAR(CQ11+(VLOOKUP("PCS-30685g",[2]ARBOR!$A:$C,3,0)*-TRUNC(CQ11/VLOOKUP("PCS-30685g",[2]ARBOR!$A:$C,3,0)-1,4)),6))&lt;&gt;(DOLLAR(VLOOKUP("PCS-30685g",[2]ARBOR!$A:$C,3,0),6)),-TRUNC(CQ11/VLOOKUP("PCS-30685g",[2]ARBOR!$A:$C,3,0)-1,4)+0.0001,-TRUNC(CQ11/VLOOKUP("PCS-30685g",[2]ARBOR!$A:$C,3,0)-1,4)))))</f>
        <v>0.60509999999999997</v>
      </c>
      <c r="CS11" s="163" t="str">
        <f>IF(ISERROR(IF(CR11="","",VLOOKUP(($AY11&amp;CR11&amp;"Template de desconto FLAT bundle - Velox XDSL - Varejo"),[2]BENEFICIOS!$A:$E,5,0))),"Criar",IF(CR11="","",VLOOKUP(($AY11&amp;CR11&amp;"Template de desconto FLAT bundle - Velox XDSL - Varejo"),[2]BENEFICIOS!$A:$E,5,0)))</f>
        <v>MKT-1-9828260647</v>
      </c>
      <c r="CT11" s="167" t="s">
        <v>104</v>
      </c>
      <c r="CU11" s="168">
        <v>49.9</v>
      </c>
      <c r="CV11" s="101">
        <f>IF(CU11=0,"",IF(CU11=VLOOKUP("PCS-30712g",[2]ARBOR!$A:$C,3,0),0.0001,IF(CU11&gt;VLOOKUP("PCS-30712g",[2]ARBOR!$A:$C,3,0),"Maior que CAP!",IF((DOLLAR(CU11+(VLOOKUP("PCS-30712g",[2]ARBOR!$A:$C,3,0)*-TRUNC(CU11/VLOOKUP("PCS-30712g",[2]ARBOR!$A:$C,3,0)-1,4)),6))&lt;&gt;(DOLLAR(VLOOKUP("PCS-30712g",[2]ARBOR!$A:$C,3,0),6)),-TRUNC(CU11/VLOOKUP("PCS-30712g",[2]ARBOR!$A:$C,3,0)-1,4)+0.0001,-TRUNC(CU11/VLOOKUP("PCS-30712g",[2]ARBOR!$A:$C,3,0)-1,4)))))</f>
        <v>0.64459999999999995</v>
      </c>
      <c r="CW11" s="163" t="str">
        <f>IF(ISERROR(IF(CV11="","",VLOOKUP(($AY11&amp;CV11&amp;"Template de desconto FLAT bundle - Velox XDSL - Varejo"),[2]BENEFICIOS!$A:$E,5,0))),"Criar",IF(CV11="","",VLOOKUP(($AY11&amp;CV11&amp;"Template de desconto FLAT bundle - Velox XDSL - Varejo"),[2]BENEFICIOS!$A:$E,5,0)))</f>
        <v>MKT-1-9828260926</v>
      </c>
      <c r="CX11" s="167" t="s">
        <v>104</v>
      </c>
      <c r="CY11" s="168">
        <v>59.9</v>
      </c>
      <c r="CZ11" s="101">
        <f>IF(CY11=0,"",IF(CY11=VLOOKUP("PCS-30739g",[2]ARBOR!$A:$C,3,0),0.0001,IF(CY11&gt;VLOOKUP("PCS-30739g",[2]ARBOR!$A:$C,3,0),"Maior que CAP!",IF((DOLLAR(CY11+(VLOOKUP("PCS-30739g",[2]ARBOR!$A:$C,3,0)*-TRUNC(CY11/VLOOKUP("PCS-30739g",[2]ARBOR!$A:$C,3,0)-1,4)),6))&lt;&gt;(DOLLAR(VLOOKUP("PCS-30739g",[2]ARBOR!$A:$C,3,0),6)),-TRUNC(CY11/VLOOKUP("PCS-30739g",[2]ARBOR!$A:$C,3,0)-1,4)+0.0001,-TRUNC(CY11/VLOOKUP("PCS-30739g",[2]ARBOR!$A:$C,3,0)-1,4)))))</f>
        <v>0.71560000000000001</v>
      </c>
      <c r="DA11" s="169" t="str">
        <f>IF(ISERROR(IF(CZ11="","",VLOOKUP(($AY11&amp;CZ11&amp;"Template de desconto FLAT bundle - Velox XDSL - Varejo"),[2]BENEFICIOS!$A:$E,5,0))),"Criar",IF(CZ11="","",VLOOKUP(($AY11&amp;CZ11&amp;"Template de desconto FLAT bundle - Velox XDSL - Varejo"),[2]BENEFICIOS!$A:$E,5,0)))</f>
        <v>MKT-1-9828272465</v>
      </c>
      <c r="DB11" s="170"/>
      <c r="DC11" s="171"/>
      <c r="DD11" s="101" t="str">
        <f>IF(DB11=0,"",IF(DB11=VLOOKUP("PCS-30739g",[2]ARBOR!$A:$C,3,0),0.0001,IF(DB11&gt;VLOOKUP("PCS-30739g",[2]ARBOR!$A:$C,3,0),"Maior que CAP!",IF((DOLLAR(DB11+(VLOOKUP("PCS-30739g",[2]ARBOR!$A:$C,3,0)*-TRUNC(DB11/VLOOKUP("PCS-30739g",[2]ARBOR!$A:$C,3,0)-1,4)),6))&lt;&gt;(DOLLAR(VLOOKUP("PCS-30739g",[2]ARBOR!$A:$C,3,0),6)),(-TRUNC(DB11/VLOOKUP("PCS-30739g",[2]ARBOR!$A:$C,3,0)-1,4)+0.0001)-CZ11,-TRUNC(DB11/VLOOKUP("PCS-30739g",[2]ARBOR!$A:$C,3,0)-1,4)-CZ11))))</f>
        <v/>
      </c>
      <c r="DE11" s="163" t="str">
        <f>IF(ISERROR(IF(DD11="","",VLOOKUP(($AY11&amp;DD11&amp;"Template de desconto percentual Bundle - Velox XDSL - Varejo"),[2]BENEFICIOS!$A:$E,5,0))),"Criar",IF(DD11="","",VLOOKUP(($AY11&amp;DD11&amp;"Template de desconto percentual Bundle - Velox XDSL - Varejo"),[2]BENEFICIOS!$A:$E,5,0)))</f>
        <v/>
      </c>
      <c r="DF11" s="167" t="s">
        <v>104</v>
      </c>
      <c r="DG11" s="168">
        <v>59.9</v>
      </c>
      <c r="DH11" s="101">
        <f>IF(DG11=0,"",IF(DG11=VLOOKUP("PCS-30766g",[2]ARBOR!$A:$C,3,0),0.0001,IF(DG11&gt;VLOOKUP("PCS-30766g",[2]ARBOR!$A:$C,3,0),"Maior que CAP!",IF((DOLLAR(DG11+(VLOOKUP("PCS-30766g",[2]ARBOR!$A:$C,3,0)*-TRUNC(DG11/VLOOKUP("PCS-30766g",[2]ARBOR!$A:$C,3,0)-1,4)),6))&lt;&gt;(DOLLAR(VLOOKUP("PCS-30766g",[2]ARBOR!$A:$C,3,0),6)),-TRUNC(DG11/VLOOKUP("PCS-30766g",[2]ARBOR!$A:$C,3,0)-1,4)+0.0001,-TRUNC(DG11/VLOOKUP("PCS-30766g",[2]ARBOR!$A:$C,3,0)-1,4)))))</f>
        <v>0.78669999999999995</v>
      </c>
      <c r="DI11" s="169" t="str">
        <f>IF(ISERROR(IF(DH11="","",VLOOKUP(($AY11&amp;DH11&amp;"Template de desconto FLAT bundle - Velox XDSL - Varejo"),[2]BENEFICIOS!$A:$E,5,0))),"Criar",IF(DH11="","",VLOOKUP(($AY11&amp;DH11&amp;"Template de desconto FLAT bundle - Velox XDSL - Varejo"),[2]BENEFICIOS!$A:$E,5,0)))</f>
        <v>MKT-1-9828285890</v>
      </c>
      <c r="DJ11" s="170"/>
      <c r="DK11" s="171"/>
      <c r="DL11" s="101" t="str">
        <f>IF(DJ11=0,"",IF(DJ11=VLOOKUP("PCS-30766g",[2]ARBOR!$A:$C,3,0),0.0001,IF(DJ11&gt;VLOOKUP("PCS-30766g",[2]ARBOR!$A:$C,3,0),"Maior que CAP!",IF((DOLLAR(DJ11+(VLOOKUP("PCS-30766g",[2]ARBOR!$A:$C,3,0)*-TRUNC(DJ11/VLOOKUP("PCS-30766g",[2]ARBOR!$A:$C,3,0)-1,4)),6))&lt;&gt;(DOLLAR(VLOOKUP("PCS-30766g",[2]ARBOR!$A:$C,3,0),6)),(-TRUNC(DJ11/VLOOKUP("PCS-30766g",[2]ARBOR!$A:$C,3,0)-1,4)+0.0001)-DH11,-TRUNC(DJ11/VLOOKUP("PCS-30766g",[2]ARBOR!$A:$C,3,0)-1,4)-DH11))))</f>
        <v/>
      </c>
      <c r="DM11" s="163" t="str">
        <f>IF(ISERROR(IF(DL11="","",VLOOKUP(($AY11&amp;DL11&amp;"Template de desconto percentual Bundle - Velox XDSL - Varejo"),[2]BENEFICIOS!$A:$E,5,0))),"Criar",IF(DL11="","",VLOOKUP(($AY11&amp;DL11&amp;"Template de desconto percentual Bundle - Velox XDSL - Varejo"),[2]BENEFICIOS!$A:$E,5,0)))</f>
        <v/>
      </c>
      <c r="DN11" s="167" t="s">
        <v>210</v>
      </c>
      <c r="DO11" s="168">
        <v>69.900000000000006</v>
      </c>
      <c r="DP11" s="101">
        <f>IF(DO11=0,"",IF(DO11=VLOOKUP("PCS-30793g",[2]ARBOR!$A:$C,3,0),0.0001,IF(DO11&gt;VLOOKUP("PCS-30793g",[2]ARBOR!$A:$C,3,0),"Maior que CAP!",IF((DOLLAR(DO11+(VLOOKUP("PCS-30793g",[2]ARBOR!$A:$C,3,0)*-TRUNC(DO11/VLOOKUP("PCS-30793g",[2]ARBOR!$A:$C,3,0)-1,4)),6))&lt;&gt;(DOLLAR(VLOOKUP("PCS-30793g",[2]ARBOR!$A:$C,3,0),6)),-TRUNC(DO11/VLOOKUP("PCS-30793g",[2]ARBOR!$A:$C,3,0)-1,4)+0.0001,-TRUNC(DO11/VLOOKUP("PCS-30793g",[2]ARBOR!$A:$C,3,0)-1,4)))))</f>
        <v>0.75109999999999999</v>
      </c>
      <c r="DQ11" s="169" t="str">
        <f>IF(ISERROR(IF(DP11="","",VLOOKUP(($AY11&amp;DP11&amp;"Template de desconto FLAT bundle - Velox XDSL - Varejo"),[2]BENEFICIOS!$A:$E,5,0))),"Criar",IF(DP11="","",VLOOKUP(($AY11&amp;DP11&amp;"Template de desconto FLAT bundle - Velox XDSL - Varejo"),[2]BENEFICIOS!$A:$E,5,0)))</f>
        <v>MKT-1-9828314259</v>
      </c>
      <c r="DR11" s="170"/>
      <c r="DS11" s="171"/>
      <c r="DT11" s="101" t="str">
        <f>IF(DR11=0,"",IF(DR11=VLOOKUP("PCS-30793g",[2]ARBOR!$A:$C,3,0),0.0001,IF(DR11&gt;VLOOKUP("PCS-30793g",[2]ARBOR!$A:$C,3,0),"Maior que CAP!",IF((DOLLAR(DR11+(VLOOKUP("PCS-30793g",[2]ARBOR!$A:$C,3,0)*-TRUNC(DR11/VLOOKUP("PCS-30793g",[2]ARBOR!$A:$C,3,0)-1,4)),6))&lt;&gt;(DOLLAR(VLOOKUP("PCS-30793g",[2]ARBOR!$A:$C,3,0),6)),(-TRUNC(DR11/VLOOKUP("PCS-30793g",[2]ARBOR!$A:$C,3,0)-1,4)+0.0001)-DP11,-TRUNC(DR11/VLOOKUP("PCS-30793g",[2]ARBOR!$A:$C,3,0)-1,4)-DP11))))</f>
        <v/>
      </c>
      <c r="DU11" s="163" t="str">
        <f>IF(ISERROR(IF(DT11="","",VLOOKUP(($AY11&amp;DT11&amp;"Template de desconto percentual Bundle - Velox XDSL - Varejo"),[2]BENEFICIOS!$A:$E,5,0))),"Criar",IF(DT11="","",VLOOKUP(($AY11&amp;DT11&amp;"Template de desconto percentual Bundle - Velox XDSL - Varejo"),[2]BENEFICIOS!$A:$E,5,0)))</f>
        <v/>
      </c>
      <c r="DV11" s="167" t="s">
        <v>104</v>
      </c>
      <c r="DW11" s="168">
        <v>69.900000000000006</v>
      </c>
      <c r="DX11" s="101">
        <f>IF(DW11=0,"",IF(DW11=VLOOKUP("PCS-30820g",[2]ARBOR!$A:$C,3,0),0.0001,IF(DW11&gt;VLOOKUP("PCS-30820g",[2]ARBOR!$A:$C,3,0),"Maior que CAP!",IF((DOLLAR(DW11+(VLOOKUP("PCS-30820g",[2]ARBOR!$A:$C,3,0)*-TRUNC(DW11/VLOOKUP("PCS-30820g",[2]ARBOR!$A:$C,3,0)-1,4)),6))&lt;&gt;(DOLLAR(VLOOKUP("PCS-30820g",[2]ARBOR!$A:$C,3,0),6)),-TRUNC(DW11/VLOOKUP("PCS-30820g",[2]ARBOR!$A:$C,3,0)-1,4)+0.0001,-TRUNC(DW11/VLOOKUP("PCS-30820g",[2]ARBOR!$A:$C,3,0)-1,4)))))</f>
        <v>0.75109999999999999</v>
      </c>
      <c r="DY11" s="169" t="str">
        <f>IF(ISERROR(IF(DX11="","",VLOOKUP(($AY11&amp;DX11&amp;"Template de desconto FLAT bundle - Velox XDSL - Varejo"),[2]BENEFICIOS!$A:$E,5,0))),"Criar",IF(DX11="","",VLOOKUP(($AY11&amp;DX11&amp;"Template de desconto FLAT bundle - Velox XDSL - Varejo"),[2]BENEFICIOS!$A:$E,5,0)))</f>
        <v>MKT-1-9828314259</v>
      </c>
      <c r="DZ11" s="170"/>
      <c r="EA11" s="171"/>
      <c r="EB11" s="101" t="str">
        <f>IF(DZ11=0,"",IF(DZ11=VLOOKUP("PCS-30820g",[2]ARBOR!$A:$C,3,0),0.0001,IF(DZ11&gt;VLOOKUP("PCS-30820g",[2]ARBOR!$A:$C,3,0),"Maior que CAP!",IF((DOLLAR(DZ11+(VLOOKUP("PCS-30820g",[2]ARBOR!$A:$C,3,0)*-TRUNC(DZ11/VLOOKUP("PCS-30820g",[2]ARBOR!$A:$C,3,0)-1,4)),6))&lt;&gt;(DOLLAR(VLOOKUP("PCS-30820g",[2]ARBOR!$A:$C,3,0),6)),(-TRUNC(DZ11/VLOOKUP("PCS-30820g",[2]ARBOR!$A:$C,3,0)-1,4)+0.0001)-DX11,-TRUNC(DZ11/VLOOKUP("PCS-30820g",[2]ARBOR!$A:$C,3,0)-1,4)-DX11))))</f>
        <v/>
      </c>
      <c r="EC11" s="163" t="str">
        <f>IF(ISERROR(IF(EB11="","",VLOOKUP(($AY11&amp;EB11&amp;"Template de desconto percentual Bundle - Velox XDSL - Varejo"),[2]BENEFICIOS!$A:$E,5,0))),"Criar",IF(EB11="","",VLOOKUP(($AY11&amp;EB11&amp;"Template de desconto percentual Bundle - Velox XDSL - Varejo"),[2]BENEFICIOS!$A:$E,5,0)))</f>
        <v/>
      </c>
      <c r="ED11" s="172"/>
      <c r="EE11" s="101" t="str">
        <f>IF(ED11=0,"",IF(ED11=VLOOKUP("PCS-21448p2",[2]ARBOR!$A:$C,3,0),0.0001,IF(ED11&gt;VLOOKUP("PCS-21448p2",[2]ARBOR!$A:$C,3,0),"Maior que CAP!",IF((DOLLAR(ED11+(VLOOKUP("PCS-21448p2",[2]ARBOR!$A:$C,3,0)*-TRUNC(ED11/VLOOKUP("PCS-21448p2",[2]ARBOR!$A:$C,3,0)-1,4)),6))&lt;&gt;(DOLLAR(VLOOKUP("PCS-21448p2",[2]ARBOR!$A:$C,3,0),6)),-TRUNC(ED11/VLOOKUP("PCS-21448p2",[2]ARBOR!$A:$C,3,0)-1,4)+0.0001,-TRUNC(ED11/VLOOKUP("PCS-21448p2",[2]ARBOR!$A:$C,3,0)-1,4)))))</f>
        <v/>
      </c>
      <c r="EF11" s="101" t="str">
        <f>IF(ISERROR(IF(EE11="","",VLOOKUP(("Oi Conta Total Plug 10GB Downgrade"&amp;EE11&amp;"Template de desconto percentual BL Móvel - Internet Total - Varejo"),[2]BENEFICIOS!$A:$E,5,0))),"Criar",IF(EE11="","",VLOOKUP(("Oi Conta Total Plug 10GB Downgrade"&amp;EE11&amp;"Template de desconto percentual BL Móvel - Internet Total - Varejo"),[2]BENEFICIOS!$A:$E,5,0)))</f>
        <v/>
      </c>
      <c r="EG11" s="173">
        <v>19.899999999999999</v>
      </c>
      <c r="EH11" s="174">
        <f>IF(EG11=0,"",IF(EG11=VLOOKUP("SVA",[2]ARBOR!$A:$C,3,0),0.0001,IF(EG11&gt;VLOOKUP("SVA",[2]ARBOR!$A:$C,3,0),"Maior que CAP!",IF((DOLLAR(EG11+(VLOOKUP("SVA",[2]ARBOR!$A:$C,3,0)*-TRUNC(EG11/VLOOKUP("SVA",[2]ARBOR!$A:$C,3,0)-1,4)),6))&lt;&gt;(DOLLAR(VLOOKUP("SVA",[2]ARBOR!$A:$C,3,0),6)),-TRUNC(EG11/VLOOKUP("SVA",[2]ARBOR!$A:$C,3,0)-1,4)+0.0001,-TRUNC(EG11/VLOOKUP("SVA",[2]ARBOR!$A:$C,3,0)-1,4)))))</f>
        <v>7.1400000000000005E-2</v>
      </c>
      <c r="EI11" s="174" t="s">
        <v>211</v>
      </c>
      <c r="EJ11" s="175"/>
      <c r="EK11" s="176"/>
      <c r="EL11" s="177" t="str">
        <f t="shared" si="3"/>
        <v/>
      </c>
      <c r="EM11" s="174" t="str">
        <f>IF(EL11="S/Desc","S/Desc",IF(ISERROR(IF(EL11="","",VLOOKUP(($BX11&amp;EL11&amp;"Template Desc. % sobre Serviço SVA B2C"),[2]BENEFICIOS!$A:$G,5,0))),"Criar",IF(EL11="","",VLOOKUP(($BX11&amp;EL11&amp;"Template Desc. % sobre Serviço SVA B2C"),[2]BENEFICIOS!$A:$G,5,0))))</f>
        <v/>
      </c>
      <c r="EN11" s="103"/>
      <c r="EO11" s="101" t="str">
        <f>IF(EN11=0,"",IF(EN11=VLOOKUP("PCS-OzTL40",[2]ARBOR!$A:$C,3,0),0.0001,IF(EN11&gt;VLOOKUP("PCS-OzTL40",[2]ARBOR!$A:$C,3,0),"Maior que CAP!",IF((DOLLAR(EN11+(VLOOKUP("PCS-OzTL40",[2]ARBOR!$A:$C,3,0)*-TRUNC(EN11/VLOOKUP("PCS-OzTL40",[2]ARBOR!$A:$C,3,0)-1,4)),6))&lt;&gt;(DOLLAR(VLOOKUP("PCS-OzTL40",[2]ARBOR!$A:$C,3,0),6)),-TRUNC(EN11/VLOOKUP("PCS-OzTL40",[2]ARBOR!$A:$C,3,0)-1,4)+0.0001,-TRUNC(EN11/VLOOKUP("PCS-OzTL40",[2]ARBOR!$A:$C,3,0)-1,4)))))</f>
        <v/>
      </c>
      <c r="EP11" s="163" t="str">
        <f>IF(ISERROR(IF(EO11="","",VLOOKUP(($AY11&amp;EO11&amp;"Template desconto FLAT Plano Principal Oi TV nível conta"),[2]BENEFICIOS!$A:$G,5,0))),"Criar",IF(EO11="","",VLOOKUP(($AY11&amp;EO11&amp;"Template desconto FLAT Plano Principal Oi TV nível conta"),[2]BENEFICIOS!$A:$G,5,0)))</f>
        <v/>
      </c>
      <c r="EQ11" s="103"/>
      <c r="ER11" s="101" t="str">
        <f>IF(EQ11=0,"",IF(EQ11=VLOOKUP("PCS-OzTL41",[2]ARBOR!$A:$C,3,0),0.0001,IF(EQ11&gt;VLOOKUP("PCS-OzTL41",[2]ARBOR!$A:$C,3,0),"Maior que CAP!",IF((DOLLAR(EQ11+(VLOOKUP("PCS-OzTL41",[2]ARBOR!$A:$C,3,0)*-TRUNC(EQ11/VLOOKUP("PCS-OzTL41",[2]ARBOR!$A:$C,3,0)-1,4)),6))&lt;&gt;(DOLLAR(VLOOKUP("PCS-OzTL41",[2]ARBOR!$A:$C,3,0),6)),-TRUNC(EQ11/VLOOKUP("PCS-OzTL41",[2]ARBOR!$A:$C,3,0)-1,4)+0.0001,-TRUNC(EQ11/VLOOKUP("PCS-OzTL41",[2]ARBOR!$A:$C,3,0)-1,4)))))</f>
        <v/>
      </c>
      <c r="ES11" s="178" t="str">
        <f>IF(ISERROR(IF(ER11="","",VLOOKUP(($AY11&amp;ER11&amp;"Template desconto FLAT Plano Principal Oi TV nível conta"),[2]BENEFICIOS!$A:$G,5,0))),"Criar",IF(ER11="","",VLOOKUP(($AY11&amp;ER11&amp;"Template desconto FLAT Plano Principal Oi TV nível conta"),[2]BENEFICIOS!$A:$G,5,0)))</f>
        <v/>
      </c>
      <c r="ET11" s="103">
        <v>134.9</v>
      </c>
      <c r="EU11" s="101">
        <f>IF(ET11=0,"",IF(ET11=VLOOKUP("PCS-OzTL44",[2]ARBOR!$A:$C,3,0),0.0001,IF(ET11&gt;VLOOKUP("PCS-OzTL44",[2]ARBOR!$A:$C,3,0),"Maior que CAP!",IF((DOLLAR(ET11+(VLOOKUP("PCS-OzTL44",[2]ARBOR!$A:$C,3,0)*-TRUNC(ET11/VLOOKUP("PCS-OzTL44",[2]ARBOR!$A:$C,3,0)-1,4)),6))&lt;&gt;(DOLLAR(VLOOKUP("PCS-OzTL44",[2]ARBOR!$A:$C,3,0),6)),-TRUNC(ET11/VLOOKUP("PCS-OzTL44",[2]ARBOR!$A:$C,3,0)-1,4)+0.0001,-TRUNC(ET11/VLOOKUP("PCS-OzTL44",[2]ARBOR!$A:$C,3,0)-1,4)))))</f>
        <v>0.29969999999999997</v>
      </c>
      <c r="EV11" s="178" t="str">
        <f>IF(ISERROR(IF(EU11="","",VLOOKUP(($AY11&amp;EU11&amp;"Template desconto FLAT Plano Principal Oi TV nível conta"),[2]BENEFICIOS!$A:$G,5,0))),"Criar",IF(EU11="","",VLOOKUP(($AY11&amp;EU11&amp;"Template desconto FLAT Plano Principal Oi TV nível conta"),[2]BENEFICIOS!$A:$G,5,0)))</f>
        <v>MKT-1-9827358355</v>
      </c>
      <c r="EW11" s="103">
        <v>144.9</v>
      </c>
      <c r="EX11" s="101">
        <f>IF(EW11=0,"",IF(EW11=VLOOKUP("PCS-OzTL43",[2]ARBOR!$A:$C,3,0),0.0001,IF(EW11&gt;VLOOKUP("PCS-OzTL43",[2]ARBOR!$A:$C,3,0),"Maior que CAP!",IF((DOLLAR(EW11+(VLOOKUP("PCS-OzTL43",[2]ARBOR!$A:$C,3,0)*-TRUNC(EW11/VLOOKUP("PCS-OzTL43",[2]ARBOR!$A:$C,3,0)-1,4)),6))&lt;&gt;(DOLLAR(VLOOKUP("PCS-OzTL43",[2]ARBOR!$A:$C,3,0),6)),-TRUNC(EW11/VLOOKUP("PCS-OzTL43",[2]ARBOR!$A:$C,3,0)-1,4)+0.0001,-TRUNC(EW11/VLOOKUP("PCS-OzTL43",[2]ARBOR!$A:$C,3,0)-1,4)))))</f>
        <v>0.28849999999999998</v>
      </c>
      <c r="EY11" s="178" t="str">
        <f>IF(ISERROR(IF(EX11="","",VLOOKUP(($AY11&amp;EX11&amp;"Template desconto FLAT Plano Principal Oi TV nível conta"),[2]BENEFICIOS!$A:$G,5,0))),"Criar",IF(EX11="","",VLOOKUP(($AY11&amp;EX11&amp;"Template desconto FLAT Plano Principal Oi TV nível conta"),[2]BENEFICIOS!$A:$G,5,0)))</f>
        <v>MKT-1-9827358670</v>
      </c>
      <c r="EZ11" s="103">
        <v>179.9</v>
      </c>
      <c r="FA11" s="101">
        <f>IF(EZ11=0,"",IF(EZ11=VLOOKUP("PCS-OzTL45",[2]ARBOR!$A:$C,3,0),0.0001,IF(EZ11&gt;VLOOKUP("PCS-OzTL45",[2]ARBOR!$A:$C,3,0),"Maior que CAP!",IF((DOLLAR(EZ11+(VLOOKUP("PCS-OzTL45",[2]ARBOR!$A:$C,3,0)*-TRUNC(EZ11/VLOOKUP("PCS-OzTL45",[2]ARBOR!$A:$C,3,0)-1,4)),6))&lt;&gt;(DOLLAR(VLOOKUP("PCS-OzTL45",[2]ARBOR!$A:$C,3,0),6)),-TRUNC(EZ11/VLOOKUP("PCS-OzTL45",[2]ARBOR!$A:$C,3,0)-1,4)+0.0001,-TRUNC(EZ11/VLOOKUP("PCS-OzTL45",[2]ARBOR!$A:$C,3,0)-1,4)))))</f>
        <v>0.13979999999999998</v>
      </c>
      <c r="FB11" s="178" t="str">
        <f>IF(ISERROR(IF(FA11="","",VLOOKUP(($AY11&amp;FA11&amp;"Template desconto FLAT Plano Principal Oi TV nível conta"),[2]BENEFICIOS!$A:$G,5,0))),"Criar",IF(FA11="","",VLOOKUP(($AY11&amp;FA11&amp;"Template desconto FLAT Plano Principal Oi TV nível conta"),[2]BENEFICIOS!$A:$G,5,0)))</f>
        <v>MKT-1-9827358935</v>
      </c>
      <c r="FC11" s="103"/>
      <c r="FD11" s="101" t="str">
        <f>IF(FC11=0,"",IF(FC11=VLOOKUP("PCS-OzTL741",[2]ARBOR!$A:$C,3,0),0.0001,IF(FC11&gt;VLOOKUP("PCS-OzTL741",[2]ARBOR!$A:$C,3,0),"Maior que CAP!",IF((DOLLAR(FC11+(VLOOKUP("PCS-OzTL741",[2]ARBOR!$A:$C,3,0)*-TRUNC(FC11/VLOOKUP("PCS-OzTL741",[2]ARBOR!$A:$C,3,0)-1,4)),6))&lt;&gt;(DOLLAR(VLOOKUP("PCS-OzTL741",[2]ARBOR!$A:$C,3,0),6)),-TRUNC(FC11/VLOOKUP("PCS-OzTL741",[2]ARBOR!$A:$C,3,0)-1,4)+0.0001,-TRUNC(FC11/VLOOKUP("PCS-OzTL741",[2]ARBOR!$A:$C,3,0)-1,4)))))</f>
        <v/>
      </c>
      <c r="FE11" s="178" t="str">
        <f>IF(ISERROR(IF(FD11="","",VLOOKUP(($AY11&amp;FD11&amp;"Template desconto FLAT Plano Principal Oi TV nível conta"),[2]BENEFICIOS!$A:$G,5,0))),"Criar",IF(FD11="","",VLOOKUP(($AY11&amp;FD11&amp;"Template desconto FLAT Plano Principal Oi TV nível conta"),[2]BENEFICIOS!$A:$G,5,0)))</f>
        <v/>
      </c>
      <c r="FF11" s="103">
        <v>154.9</v>
      </c>
      <c r="FG11" s="101">
        <f>IF(FF11=0,"",IF(FF11=VLOOKUP("PCS-OzTL744",[2]ARBOR!$A:$C,3,0),0.0001,IF(FF11&gt;VLOOKUP("PCS-OzTL744",[2]ARBOR!$A:$C,3,0),"Maior que CAP!",IF((DOLLAR(FF11+(VLOOKUP("PCS-OzTL744",[2]ARBOR!$A:$C,3,0)*-TRUNC(FF11/VLOOKUP("PCS-OzTL744",[2]ARBOR!$A:$C,3,0)-1,4)),6))&lt;&gt;(DOLLAR(VLOOKUP("PCS-OzTL744",[2]ARBOR!$A:$C,3,0),6)),-TRUNC(FF11/VLOOKUP("PCS-OzTL744",[2]ARBOR!$A:$C,3,0)-1,4)+0.0001,-TRUNC(FF11/VLOOKUP("PCS-OzTL744",[2]ARBOR!$A:$C,3,0)-1,4)))))</f>
        <v>0.25939999999999996</v>
      </c>
      <c r="FH11" s="178" t="str">
        <f>IF(ISERROR(IF(FG11="","",VLOOKUP(($AY11&amp;FG11&amp;"Template desconto FLAT Plano Principal Oi TV nível conta"),[2]BENEFICIOS!$A:$G,5,0))),"Criar",IF(FG11="","",VLOOKUP(($AY11&amp;FG11&amp;"Template desconto FLAT Plano Principal Oi TV nível conta"),[2]BENEFICIOS!$A:$G,5,0)))</f>
        <v>MKT-1-9827370190</v>
      </c>
      <c r="FI11" s="103">
        <v>164.9</v>
      </c>
      <c r="FJ11" s="101">
        <f>IF(FI11=0,"",IF(FI11=VLOOKUP("PCS-OzTL743",[2]ARBOR!$A:$C,3,0),0.0001,IF(FI11&gt;VLOOKUP("PCS-OzTL743",[2]ARBOR!$A:$C,3,0),"Maior que CAP!",IF((DOLLAR(FI11+(VLOOKUP("PCS-OzTL743",[2]ARBOR!$A:$C,3,0)*-TRUNC(FI11/VLOOKUP("PCS-OzTL743",[2]ARBOR!$A:$C,3,0)-1,4)),6))&lt;&gt;(DOLLAR(VLOOKUP("PCS-OzTL743",[2]ARBOR!$A:$C,3,0),6)),-TRUNC(FI11/VLOOKUP("PCS-OzTL743",[2]ARBOR!$A:$C,3,0)-1,4)+0.0001,-TRUNC(FI11/VLOOKUP("PCS-OzTL743",[2]ARBOR!$A:$C,3,0)-1,4)))))</f>
        <v>0.251</v>
      </c>
      <c r="FK11" s="178" t="str">
        <f>IF(ISERROR(IF(FJ11="","",VLOOKUP(($AY11&amp;FJ11&amp;"Template desconto FLAT Plano Principal Oi TV nível conta"),[2]BENEFICIOS!$A:$G,5,0))),"Criar",IF(FJ11="","",VLOOKUP(($AY11&amp;FJ11&amp;"Template desconto FLAT Plano Principal Oi TV nível conta"),[2]BENEFICIOS!$A:$G,5,0)))</f>
        <v>MKT-1-9827370755</v>
      </c>
      <c r="FL11" s="103">
        <v>199.9</v>
      </c>
      <c r="FM11" s="101">
        <f>IF(FL11=0,"",IF(FL11=VLOOKUP("PCS-OzTL745",[2]ARBOR!$A:$C,3,0),0.0001,IF(FL11&gt;VLOOKUP("PCS-OzTL745",[2]ARBOR!$A:$C,3,0),"Maior que CAP!",IF((DOLLAR(FL11+(VLOOKUP("PCS-OzTL745",[2]ARBOR!$A:$C,3,0)*-TRUNC(FL11/VLOOKUP("PCS-OzTL745",[2]ARBOR!$A:$C,3,0)-1,4)),6))&lt;&gt;(DOLLAR(VLOOKUP("PCS-OzTL745",[2]ARBOR!$A:$C,3,0),6)),-TRUNC(FL11/VLOOKUP("PCS-OzTL745",[2]ARBOR!$A:$C,3,0)-1,4)+0.0001,-TRUNC(FL11/VLOOKUP("PCS-OzTL745",[2]ARBOR!$A:$C,3,0)-1,4)))))</f>
        <v>0.21049999999999999</v>
      </c>
      <c r="FN11" s="178" t="str">
        <f>IF(ISERROR(IF(FM11="","",VLOOKUP(($AY11&amp;FM11&amp;"Template desconto FLAT Plano Principal Oi TV nível conta"),[2]BENEFICIOS!$A:$G,5,0))),"Criar",IF(FM11="","",VLOOKUP(($AY11&amp;FM11&amp;"Template desconto FLAT Plano Principal Oi TV nível conta"),[2]BENEFICIOS!$A:$G,5,0)))</f>
        <v>MKT-1-9827396510</v>
      </c>
      <c r="FO11" s="103"/>
      <c r="FP11" s="101" t="str">
        <f>IF(FO11=0,"",IF(FO11=VLOOKUP("PCS-OzTL42",[2]ARBOR!$A:$C,3,0),0.0001,IF(FO11&gt;VLOOKUP("PCS-OzTL42",[2]ARBOR!$A:$C,3,0),"Maior que CAP!",IF((DOLLAR(FO11+(VLOOKUP("PCS-OzTL42",[2]ARBOR!$A:$C,3,0)*-TRUNC(FO11/VLOOKUP("PCS-OzTL42",[2]ARBOR!$A:$C,3,0)-1,4)),6))&lt;&gt;(DOLLAR(VLOOKUP("PCS-OzTL42",[2]ARBOR!$A:$C,3,0),6)),-TRUNC(FO11/VLOOKUP("PCS-OzTL42",[2]ARBOR!$A:$C,3,0)-1,4)+0.0001,-TRUNC(FO11/VLOOKUP("PCS-OzTL42",[2]ARBOR!$A:$C,3,0)-1,4)))))</f>
        <v/>
      </c>
      <c r="FQ11" s="178" t="str">
        <f>IF(ISERROR(IF(FP11="","",VLOOKUP(($AY11&amp;FP11&amp;"Template desconto FLAT Plano Principal Oi TV nível conta"),[2]BENEFICIOS!$A:$G,5,0))),"Criar",IF(FP11="","",VLOOKUP(($AY11&amp;FP11&amp;"Template desconto FLAT Plano Principal Oi TV nível conta"),[2]BENEFICIOS!$A:$G,5,0)))</f>
        <v/>
      </c>
      <c r="FR11" s="103"/>
      <c r="FS11" s="101" t="str">
        <f>IF(FR11=0,"",IF(FR11=VLOOKUP("PCS-OzTL47",[2]ARBOR!$A:$C,3,0),0.0001,IF(FR11&gt;VLOOKUP("PCS-OzTL47",[2]ARBOR!$A:$C,3,0),"Maior que CAP!",IF((DOLLAR(FR11+(VLOOKUP("PCS-OzTL47",[2]ARBOR!$A:$C,3,0)*-TRUNC(FR11/VLOOKUP("PCS-OzTL47",[2]ARBOR!$A:$C,3,0)-1,4)),6))&lt;&gt;(DOLLAR(VLOOKUP("PCS-OzTL47",[2]ARBOR!$A:$C,3,0),6)),-TRUNC(FR11/VLOOKUP("PCS-OzTL47",[2]ARBOR!$A:$C,3,0)-1,4)+0.0001,-TRUNC(FR11/VLOOKUP("PCS-OzTL47",[2]ARBOR!$A:$C,3,0)-1,4)))))</f>
        <v/>
      </c>
      <c r="FT11" s="178" t="str">
        <f>IF(ISERROR(IF(FS11="","",VLOOKUP(($AY11&amp;FS11&amp;"Template desconto FLAT Plano Principal Oi TV nível conta"),[2]BENEFICIOS!$A:$G,5,0))),"Criar",IF(FS11="","",VLOOKUP(($AY11&amp;FS11&amp;"Template desconto FLAT Plano Principal Oi TV nível conta"),[2]BENEFICIOS!$A:$G,5,0)))</f>
        <v/>
      </c>
      <c r="FU11" s="103"/>
      <c r="FV11" s="101" t="str">
        <f>IF(FU11=0,"",IF(FU11=VLOOKUP("PCS-OzTL46",[2]ARBOR!$A:$C,3,0),0.0001,IF(FU11&gt;VLOOKUP("PCS-OzTL46",[2]ARBOR!$A:$C,3,0),"Maior que CAP!",IF((DOLLAR(FU11+(VLOOKUP("PCS-OzTL46",[2]ARBOR!$A:$C,3,0)*-TRUNC(FU11/VLOOKUP("PCS-OzTL46",[2]ARBOR!$A:$C,3,0)-1,4)),6))&lt;&gt;(DOLLAR(VLOOKUP("PCS-OzTL46",[2]ARBOR!$A:$C,3,0),6)),-TRUNC(FU11/VLOOKUP("PCS-OzTL46",[2]ARBOR!$A:$C,3,0)-1,4)+0.0001,-TRUNC(FU11/VLOOKUP("PCS-OzTL46",[2]ARBOR!$A:$C,3,0)-1,4)))))</f>
        <v/>
      </c>
      <c r="FW11" s="178" t="str">
        <f>IF(ISERROR(IF(FV11="","",VLOOKUP(($AY11&amp;FV11&amp;"Template desconto FLAT Plano Principal Oi TV nível conta"),[2]BENEFICIOS!$A:$G,5,0))),"Criar",IF(FV11="","",VLOOKUP(($AY11&amp;FV11&amp;"Template desconto FLAT Plano Principal Oi TV nível conta"),[2]BENEFICIOS!$A:$G,5,0)))</f>
        <v/>
      </c>
      <c r="FX11" s="103"/>
      <c r="FY11" s="101" t="str">
        <f>IF(FX11=0,"",IF(FX11=VLOOKUP("PCS-OzTL48",[2]ARBOR!$A:$C,3,0),0.0001,IF(FX11&gt;VLOOKUP("PCS-OzTL48",[2]ARBOR!$A:$C,3,0),"Maior que CAP!",IF((DOLLAR(FX11+(VLOOKUP("PCS-OzTL48",[2]ARBOR!$A:$C,3,0)*-TRUNC(FX11/VLOOKUP("PCS-OzTL48",[2]ARBOR!$A:$C,3,0)-1,4)),6))&lt;&gt;(DOLLAR(VLOOKUP("PCS-OzTL48",[2]ARBOR!$A:$C,3,0),6)),-TRUNC(FX11/VLOOKUP("PCS-OzTL48",[2]ARBOR!$A:$C,3,0)-1,4)+0.0001,-TRUNC(FX11/VLOOKUP("PCS-OzTL48",[2]ARBOR!$A:$C,3,0)-1,4)))))</f>
        <v/>
      </c>
      <c r="FZ11" s="178" t="str">
        <f>IF(ISERROR(IF(FY11="","",VLOOKUP(($AY11&amp;FY11&amp;"Template desconto FLAT Plano Principal Oi TV nível conta"),[2]BENEFICIOS!$A:$G,5,0))),"Criar",IF(FY11="","",VLOOKUP(($AY11&amp;FY11&amp;"Template desconto FLAT Plano Principal Oi TV nível conta"),[2]BENEFICIOS!$A:$G,5,0)))</f>
        <v/>
      </c>
      <c r="GA11" s="103"/>
      <c r="GB11" s="101" t="str">
        <f>IF(GA11=0,"",IF(GA11=VLOOKUP("PCS-OzTL742",[2]ARBOR!$A:$C,3,0),0.0001,IF(GA11&gt;VLOOKUP("PCS-OzTL742",[2]ARBOR!$A:$C,3,0),"Maior que CAP!",IF((DOLLAR(GA11+(VLOOKUP("PCS-OzTL742",[2]ARBOR!$A:$C,3,0)*-TRUNC(GA11/VLOOKUP("PCS-OzTL742",[2]ARBOR!$A:$C,3,0)-1,4)),6))&lt;&gt;(DOLLAR(VLOOKUP("PCS-OzTL742",[2]ARBOR!$A:$C,3,0),6)),-TRUNC(GA11/VLOOKUP("PCS-OzTL742",[2]ARBOR!$A:$C,3,0)-1,4)+0.0001,-TRUNC(GA11/VLOOKUP("PCS-OzTL742",[2]ARBOR!$A:$C,3,0)-1,4)))))</f>
        <v/>
      </c>
      <c r="GC11" s="178" t="str">
        <f>IF(ISERROR(IF(GB11="","",VLOOKUP(($AY11&amp;GB11&amp;"Template desconto FLAT Plano Principal Oi TV nível conta"),[2]BENEFICIOS!$A:$G,5,0))),"Criar",IF(GB11="","",VLOOKUP(($AY11&amp;GB11&amp;"Template desconto FLAT Plano Principal Oi TV nível conta"),[2]BENEFICIOS!$A:$G,5,0)))</f>
        <v/>
      </c>
      <c r="GD11" s="103"/>
      <c r="GE11" s="101" t="str">
        <f>IF(GD11=0,"",IF(GD11=VLOOKUP("PCS-OzTL747",[2]ARBOR!$A:$C,3,0),0.0001,IF(GD11&gt;VLOOKUP("PCS-OzTL747",[2]ARBOR!$A:$C,3,0),"Maior que CAP!",IF((DOLLAR(GD11+(VLOOKUP("PCS-OzTL747",[2]ARBOR!$A:$C,3,0)*-TRUNC(GD11/VLOOKUP("PCS-OzTL747",[2]ARBOR!$A:$C,3,0)-1,4)),6))&lt;&gt;(DOLLAR(VLOOKUP("PCS-OzTL747",[2]ARBOR!$A:$C,3,0),6)),-TRUNC(GD11/VLOOKUP("PCS-OzTL747",[2]ARBOR!$A:$C,3,0)-1,4)+0.0001,-TRUNC(GD11/VLOOKUP("PCS-OzTL747",[2]ARBOR!$A:$C,3,0)-1,4)))))</f>
        <v/>
      </c>
      <c r="GF11" s="178" t="str">
        <f>IF(ISERROR(IF(GE11="","",VLOOKUP(($AY11&amp;GE11&amp;"Template desconto FLAT Plano Principal Oi TV nível conta"),[2]BENEFICIOS!$A:$G,5,0))),"Criar",IF(GE11="","",VLOOKUP(($AY11&amp;GE11&amp;"Template desconto FLAT Plano Principal Oi TV nível conta"),[2]BENEFICIOS!$A:$G,5,0)))</f>
        <v/>
      </c>
      <c r="GG11" s="103"/>
      <c r="GH11" s="101" t="str">
        <f>IF(GG11=0,"",IF(GG11=VLOOKUP("PCS-OzTL746",[2]ARBOR!$A:$C,3,0),0.0001,IF(GG11&gt;VLOOKUP("PCS-OzTL746",[2]ARBOR!$A:$C,3,0),"Maior que CAP!",IF((DOLLAR(GG11+(VLOOKUP("PCS-OzTL746",[2]ARBOR!$A:$C,3,0)*-TRUNC(GG11/VLOOKUP("PCS-OzTL746",[2]ARBOR!$A:$C,3,0)-1,4)),6))&lt;&gt;(DOLLAR(VLOOKUP("PCS-OzTL746",[2]ARBOR!$A:$C,3,0),6)),-TRUNC(GG11/VLOOKUP("PCS-OzTL746",[2]ARBOR!$A:$C,3,0)-1,4)+0.0001,-TRUNC(GG11/VLOOKUP("PCS-OzTL746",[2]ARBOR!$A:$C,3,0)-1,4)))))</f>
        <v/>
      </c>
      <c r="GI11" s="178" t="str">
        <f>IF(ISERROR(IF(GH11="","",VLOOKUP(($AY11&amp;GH11&amp;"Template desconto FLAT Plano Principal Oi TV nível conta"),[2]BENEFICIOS!$A:$G,5,0))),"Criar",IF(GH11="","",VLOOKUP(($AY11&amp;GH11&amp;"Template desconto FLAT Plano Principal Oi TV nível conta"),[2]BENEFICIOS!$A:$G,5,0)))</f>
        <v/>
      </c>
      <c r="GJ11" s="103"/>
      <c r="GK11" s="101" t="str">
        <f>IF(GJ11=0,"",IF(GJ11=VLOOKUP("PCS-OzTL748",[2]ARBOR!$A:$C,3,0),0.0001,IF(GJ11&gt;VLOOKUP("PCS-OzTL748",[2]ARBOR!$A:$C,3,0),"Maior que CAP!",IF((DOLLAR(GJ11+(VLOOKUP("PCS-OzTL748",[2]ARBOR!$A:$C,3,0)*-TRUNC(GJ11/VLOOKUP("PCS-OzTL748",[2]ARBOR!$A:$C,3,0)-1,4)),6))&lt;&gt;(DOLLAR(VLOOKUP("PCS-OzTL748",[2]ARBOR!$A:$C,3,0),6)),-TRUNC(GJ11/VLOOKUP("PCS-OzTL748",[2]ARBOR!$A:$C,3,0)-1,4)+0.0001,-TRUNC(GJ11/VLOOKUP("PCS-OzTL748",[2]ARBOR!$A:$C,3,0)-1,4)))))</f>
        <v/>
      </c>
      <c r="GL11" s="178" t="str">
        <f>IF(ISERROR(IF(GK11="","",VLOOKUP(($AY11&amp;GK11&amp;"Template desconto FLAT Plano Principal Oi TV nível conta"),[2]BENEFICIOS!$A:$G,5,0))),"Criar",IF(GK11="","",VLOOKUP(($AY11&amp;GK11&amp;"Template desconto FLAT Plano Principal Oi TV nível conta"),[2]BENEFICIOS!$A:$G,5,0)))</f>
        <v/>
      </c>
      <c r="GM11" s="103">
        <v>75</v>
      </c>
      <c r="GN11" s="101">
        <f>IF(GM11=0,"",IF(GM11=VLOOKUP("PCS-OzTL34",[2]ARBOR!$A:$C,3,0),0.0001,IF(GM11&gt;VLOOKUP("PCS-OzTL34",[2]ARBOR!$A:$C,3,0),"Maior que CAP!",IF((DOLLAR(GM11+(VLOOKUP("PCS-OzTL34",[2]ARBOR!$A:$C,3,0)*-TRUNC(GM11/VLOOKUP("PCS-OzTL34",[2]ARBOR!$A:$C,3,0)-1,4)),6))&lt;&gt;(DOLLAR(VLOOKUP("PCS-OzTL34",[2]ARBOR!$A:$C,3,0),6)),-TRUNC(GM11/VLOOKUP("PCS-OzTL34",[2]ARBOR!$A:$C,3,0)-1,4)+0.0001,-TRUNC(GM11/VLOOKUP("PCS-OzTL34",[2]ARBOR!$A:$C,3,0)-1,4)))))</f>
        <v>0.31900000000000001</v>
      </c>
      <c r="GO11" s="178" t="s">
        <v>178</v>
      </c>
      <c r="GP11" s="103">
        <v>19.899999999999999</v>
      </c>
      <c r="GQ11" s="101">
        <f>IF(GP11=0,"",IF(GP11=VLOOKUP("PCS-OzTL31",[2]ARBOR!$A:$C,3,0),0.0001,IF(GP11&gt;VLOOKUP("PCS-OzTL31",[2]ARBOR!$A:$C,3,0),"Maior que CAP!",IF((DOLLAR(GP11+(VLOOKUP("PCS-OzTL31",[2]ARBOR!$A:$C,3,0)*-TRUNC(GP11/VLOOKUP("PCS-OzTL31",[2]ARBOR!$A:$C,3,0)-1,4)),6))&lt;&gt;(DOLLAR(VLOOKUP("PCS-OzTL31",[2]ARBOR!$A:$C,3,0),6)),-TRUNC(GP11/VLOOKUP("PCS-OzTL31",[2]ARBOR!$A:$C,3,0)-1,4)+0.0001,-TRUNC(GP11/VLOOKUP("PCS-OzTL31",[2]ARBOR!$A:$C,3,0)-1,4)))))</f>
        <v>9.1800000000000007E-2</v>
      </c>
      <c r="GR11" s="178" t="s">
        <v>179</v>
      </c>
      <c r="GS11" s="103">
        <v>19.899999999999999</v>
      </c>
      <c r="GT11" s="101">
        <f>IF(GS11=0,"",IF(GS11=VLOOKUP("PCS-OzTL32",[2]ARBOR!$A:$C,3,0),0.0001,IF(GS11&gt;VLOOKUP("PCS-OzTL32",[2]ARBOR!$A:$C,3,0),"Maior que CAP!",IF((DOLLAR(GS11+(VLOOKUP("PCS-OzTL32",[2]ARBOR!$A:$C,3,0)*-TRUNC(GS11/VLOOKUP("PCS-OzTL32",[2]ARBOR!$A:$C,3,0)-1,4)),6))&lt;&gt;(DOLLAR(VLOOKUP("PCS-OzTL32",[2]ARBOR!$A:$C,3,0),6)),-TRUNC(GS11/VLOOKUP("PCS-OzTL32",[2]ARBOR!$A:$C,3,0)-1,4)+0.0001,-TRUNC(GS11/VLOOKUP("PCS-OzTL32",[2]ARBOR!$A:$C,3,0)-1,4)))))</f>
        <v>9.1800000000000007E-2</v>
      </c>
      <c r="GU11" s="178" t="s">
        <v>180</v>
      </c>
      <c r="GV11" s="103">
        <v>29.9</v>
      </c>
      <c r="GW11" s="101">
        <f>IF(GV11=0,"",IF(GV11=VLOOKUP("PCS-OzTL33",[2]ARBOR!$A:$C,3,0),0.0001,IF(GV11&gt;VLOOKUP("PCS-OzTL33",[2]ARBOR!$A:$C,3,0),"Maior que CAP!",IF((DOLLAR(GV11+(VLOOKUP("PCS-OzTL33",[2]ARBOR!$A:$C,3,0)*-TRUNC(GV11/VLOOKUP("PCS-OzTL33",[2]ARBOR!$A:$C,3,0)-1,4)),6))&lt;&gt;(DOLLAR(VLOOKUP("PCS-OzTL33",[2]ARBOR!$A:$C,3,0),6)),-TRUNC(GV11/VLOOKUP("PCS-OzTL33",[2]ARBOR!$A:$C,3,0)-1,4)+0.0001,-TRUNC(GV11/VLOOKUP("PCS-OzTL33",[2]ARBOR!$A:$C,3,0)-1,4)))))</f>
        <v>9.1800000000000007E-2</v>
      </c>
      <c r="GX11" s="178" t="s">
        <v>181</v>
      </c>
      <c r="GY11" s="103">
        <v>14.9</v>
      </c>
      <c r="GZ11" s="101">
        <f>IF(GY11=0,"",IF(GY11=VLOOKUP("PCS-OzTL503",[2]ARBOR!$A:$C,3,0),0.0001,IF(GY11&gt;VLOOKUP("PCS-OzTL503",[2]ARBOR!$A:$C,3,0),"Maior que CAP!",IF((DOLLAR(GY11+(VLOOKUP("PCS-OzTL503",[2]ARBOR!$A:$C,3,0)*-TRUNC(GY11/VLOOKUP("PCS-OzTL503",[2]ARBOR!$A:$C,3,0)-1,4)),6))&lt;&gt;(DOLLAR(VLOOKUP("PCS-OzTL503",[2]ARBOR!$A:$C,3,0),6)),-TRUNC(GY11/VLOOKUP("PCS-OzTL503",[2]ARBOR!$A:$C,3,0)-1,4)+0.0001,-TRUNC(GY11/VLOOKUP("PCS-OzTL503",[2]ARBOR!$A:$C,3,0)-1,4)))))</f>
        <v>9.1499999999999998E-2</v>
      </c>
      <c r="HA11" s="178" t="s">
        <v>182</v>
      </c>
      <c r="HB11" s="103">
        <v>10</v>
      </c>
      <c r="HC11" s="101">
        <f>IF(HB11=0,"",IF(HB11=VLOOKUP("PCS-OzTL500",[2]ARBOR!$A:$C,3,0),0.0001,IF(HB11&gt;VLOOKUP("PCS-OzTL500",[2]ARBOR!$A:$C,3,0),"Maior que CAP!",IF((DOLLAR(HB11+(VLOOKUP("PCS-OzTL500",[2]ARBOR!$A:$C,3,0)*-TRUNC(HB11/VLOOKUP("PCS-OzTL500",[2]ARBOR!$A:$C,3,0)-1,4)),6))&lt;&gt;(DOLLAR(VLOOKUP("PCS-OzTL500",[2]ARBOR!$A:$C,3,0),6)),-TRUNC(HB11/VLOOKUP("PCS-OzTL500",[2]ARBOR!$A:$C,3,0)-1,4)+0.0001,-TRUNC(HB11/VLOOKUP("PCS-OzTL500",[2]ARBOR!$A:$C,3,0)-1,4)))))</f>
        <v>9.1800000000000007E-2</v>
      </c>
      <c r="HD11" s="178" t="s">
        <v>183</v>
      </c>
      <c r="HE11" s="103" t="s">
        <v>184</v>
      </c>
      <c r="HF11" s="101"/>
      <c r="HG11" s="178"/>
      <c r="HH11" s="103" t="s">
        <v>185</v>
      </c>
      <c r="HI11" s="101"/>
      <c r="HJ11" s="178"/>
      <c r="HK11" s="103" t="s">
        <v>186</v>
      </c>
      <c r="HL11" s="101"/>
      <c r="HM11" s="178"/>
      <c r="HN11" s="103" t="s">
        <v>187</v>
      </c>
      <c r="HO11" s="101"/>
      <c r="HP11" s="178"/>
      <c r="HQ11" s="103" t="s">
        <v>188</v>
      </c>
      <c r="HR11" s="101"/>
      <c r="HS11" s="178"/>
      <c r="HT11" s="103">
        <v>24.9</v>
      </c>
      <c r="HU11" s="101">
        <f>IF(HT11=0,"",IF(HT11=VLOOKUP("PCS-OzTL99",[2]ARBOR!$A:$C,3,0),0.0001,IF(HT11&gt;VLOOKUP("PCS-OzTL99",[2]ARBOR!$A:$C,3,0),"Maior que CAP!",IF((DOLLAR(HT11+(VLOOKUP("PCS-OzTL99",[2]ARBOR!$A:$C,3,0)*-TRUNC(HT11/VLOOKUP("PCS-OzTL99",[2]ARBOR!$A:$C,3,0)-1,4)),6))&lt;&gt;(DOLLAR(VLOOKUP("PCS-OzTL99",[2]ARBOR!$A:$C,3,0),6)),-TRUNC(HT11/VLOOKUP("PCS-OzTL99",[2]ARBOR!$A:$C,3,0)-1,4)+0.0001,-TRUNC(HT11/VLOOKUP("PCS-OzTL99",[2]ARBOR!$A:$C,3,0)-1,4)))))</f>
        <v>0.16729999999999998</v>
      </c>
      <c r="HV11" s="179" t="s">
        <v>189</v>
      </c>
      <c r="HW11" s="170" t="s">
        <v>167</v>
      </c>
      <c r="HX11" s="178" t="str">
        <f t="shared" si="4"/>
        <v>PCS-34704</v>
      </c>
      <c r="HY11" s="180" t="str">
        <f>IFERROR((IF(AZ11="","",VLOOKUP(AZ11,[2]ARBOR!A:C,3,0))),"")</f>
        <v/>
      </c>
      <c r="HZ11" s="181"/>
      <c r="IA11" s="158" t="str">
        <f>IF(HZ11="","",ROUND(1-(HZ11/VLOOKUP(AZ11&amp;"ASS",[2]ARBOR!A:C,3,0)),4))</f>
        <v/>
      </c>
      <c r="IB11" s="158"/>
      <c r="IC11" s="182"/>
      <c r="ID11" s="183"/>
      <c r="IE11" s="101" t="str">
        <f>IF(ID11="","",ROUND(IF(ID11=0,"",IF(ID11=HY11,0.0001,1-((ID11+(VLOOKUP(AZ11&amp;"ASS",[2]ARBOR!A:C,3,0)-HZ11))/HY11))),4))</f>
        <v/>
      </c>
      <c r="IF11" s="101" t="str">
        <f>IF(ISERROR(IF(IE11="","",VLOOKUP(($AY11&amp;IE11&amp;"Template de desconto percentual FLAT Móvel - Conta Total - Varejo - Ganho Tributário Cross"),[2]BENEFICIOS!$A:$E,5,0))),"Criar",IF(IE11="","",VLOOKUP(($AY11&amp;IE11&amp;"Template de desconto percentual FLAT Móvel - Conta Total - Varejo - Ganho Tributário Cross"),[2]BENEFICIOS!$A:$E,5,0)))</f>
        <v/>
      </c>
      <c r="IG11" s="167"/>
      <c r="IH11" s="101"/>
      <c r="II11" s="184"/>
      <c r="IJ11" s="185"/>
      <c r="IK11" s="101"/>
      <c r="IL11" s="101"/>
      <c r="IM11" s="186"/>
      <c r="IN11" s="186"/>
      <c r="IO11" s="187"/>
      <c r="IP11" s="188" t="str">
        <f>IF(IO11=0,"",IF(IO11=VLOOKUP("PCS-813566",[2]ARBOR!$A:$C,3,0),0.0001,IF(IO11&gt;VLOOKUP("PCS-813566",[2]ARBOR!$A:$C,3,0),"Maior que CAP!",ROUND(-1*(IO11/VLOOKUP("PCS-813566",[2]ARBOR!$A:$C,3,0)-1),4))))</f>
        <v/>
      </c>
      <c r="IQ11" s="189" t="str">
        <f>IF(ISERROR(IF(IP11="","",VLOOKUP(("Oi Internet Pra Celular 300MB"&amp;IP11&amp;"Template Flat Instância Dados"),[2]BENEFICIOS!$A:$E,5,0))),"Criar",IF(IP11="","",VLOOKUP(("Oi Internet Pra Celular 300MB"&amp;IP11&amp;"Template Flat Instância Dados"),[2]BENEFICIOS!$A:$E,5,0)))</f>
        <v/>
      </c>
      <c r="IR11" s="190"/>
      <c r="IS11" s="191" t="str">
        <f>IF(IR11=0,"",IF(IR11=VLOOKUP("sva_bancas",[2]ARBOR!$A:$C,3,0),0.0001,IF(IR11&gt;VLOOKUP("sva_livros",[2]ARBOR!$A:$C,3,0),"Maior que CAP!",ROUND(-1*(IR11/VLOOKUP("sva_bancas",[2]ARBOR!$A:$C,3,0)-1),4))))</f>
        <v/>
      </c>
      <c r="IT11" s="192" t="str">
        <f>IF(ISERROR(IF(IS11="","",VLOOKUP(("Oi Internet Pra Celular 300MB"&amp;IS11&amp;"Template Desconto % SVA DADOS B2C"),[2]BENEFICIOS!$A:$E,5,0))),"Criar",IF(IS11="","",VLOOKUP(("Oi Internet Pra Celular 300MB"&amp;IS11&amp;"Template Desconto % SVA DADOS B2C"),[2]BENEFICIOS!$A:$E,5,0)))</f>
        <v/>
      </c>
      <c r="IU11" s="187"/>
      <c r="IV11" s="188" t="str">
        <f>IF(IU11=0,"",IF(IU11=VLOOKUP("PCS-813564",[2]ARBOR!$A:$C,3,0),0.0001,IF(IU11&gt;VLOOKUP("PCS-813564",[2]ARBOR!$A:$C,3,0),"Maior que CAP!",ROUND(-1*(IU11/VLOOKUP("PCS-813564",[2]ARBOR!$A:$C,3,0)-1),4))))</f>
        <v/>
      </c>
      <c r="IW11" s="189" t="str">
        <f>IF(ISERROR(IF(IV11="","",VLOOKUP(("Oi Internet Pra Celular 500MB"&amp;IV11&amp;"Template Flat Instância Dados"),[2]BENEFICIOS!$A:$E,5,0))),"Criar",IF(IV11="","",VLOOKUP(("Oi Internet Pra Celular 500MB"&amp;IV11&amp;"Template Flat Instância Dados"),[2]BENEFICIOS!$A:$E,5,0)))</f>
        <v/>
      </c>
      <c r="IX11" s="190"/>
      <c r="IY11" s="191" t="str">
        <f>IF(IX11=0,"",IF(IX11=VLOOKUP("sva_livros",[2]ARBOR!$A:$C,3,0),0.0001,IF(IX11&gt;VLOOKUP("sva_livros",[2]ARBOR!$A:$C,3,0),"Maior que CAP!",ROUND(-1*(IX11/VLOOKUP("sva_livros",[2]ARBOR!$A:$C,3,0)-1),4))))</f>
        <v/>
      </c>
      <c r="IZ11" s="192" t="str">
        <f>IF(ISERROR(IF(IY11="","",VLOOKUP(("Oi Internet Pra Celular 500MB"&amp;IY11&amp;"Template Desconto % SVA DADOS B2C"),[2]BENEFICIOS!$A:$E,5,0))),"Criar",IF(IY11="","",VLOOKUP(("Oi Internet Pra Celular 500MB"&amp;IY11&amp;"Template Desconto % SVA DADOS B2C"),[2]BENEFICIOS!$A:$E,5,0)))</f>
        <v/>
      </c>
      <c r="JA11" s="187"/>
      <c r="JB11" s="188" t="str">
        <f>IF(JA11=0,"",IF(JA11=VLOOKUP("PCS-10357",[2]ARBOR!$A:$C,3,0),0.0001,IF(JA11&gt;VLOOKUP("PCS-10357",[2]ARBOR!$A:$C,3,0),"Maior que CAP!",ROUND(-1*(JA11/VLOOKUP("PCS-10357",[2]ARBOR!$A:$C,3,0)-1),4))))</f>
        <v/>
      </c>
      <c r="JC11" s="189" t="str">
        <f>IF(ISERROR(IF(JB11="","",VLOOKUP(("Oi Internet Pra Celular 1GB"&amp;JB11&amp;"Template Flat Instância Dados"),[2]BENEFICIOS!$A:$E,5,0))),"Criar",IF(JB11="","",VLOOKUP(("Oi Internet Pra Celular 1GB"&amp;JB11&amp;"Template Flat Instância Dados"),[2]BENEFICIOS!$A:$E,5,0)))</f>
        <v/>
      </c>
      <c r="JD11" s="190"/>
      <c r="JE11" s="191" t="str">
        <f>IF(JD11=0,"",IF(JD11=VLOOKUP("sva_livros",[2]ARBOR!$A:$C,3,0),0.0001,IF(JD11&gt;VLOOKUP("sva_livros",[2]ARBOR!$A:$C,3,0),"Maior que CAP!",ROUND(-1*(JD11/VLOOKUP("sva_livros",[2]ARBOR!$A:$C,3,0)-1),4))))</f>
        <v/>
      </c>
      <c r="JF11" s="192" t="str">
        <f>IF(ISERROR(IF(JE11="","",VLOOKUP(("Oi Internet Pra Celular 1GB"&amp;JE11&amp;"Template Desconto % SVA DADOS B2C"),[2]BENEFICIOS!$A:$E,5,0))),"Criar",IF(JE11="","",VLOOKUP(("Oi Internet Pra Celular 1GB"&amp;JE11&amp;"Template Desconto % SVA DADOS B2C"),[2]BENEFICIOS!$A:$E,5,0)))</f>
        <v/>
      </c>
      <c r="JG11" s="187"/>
      <c r="JH11" s="188" t="str">
        <f>IF(JG11=0,"",IF(JG11=VLOOKUP("PCS-813565",[2]ARBOR!$A:$C,3,0),0.0001,IF(JG11&gt;VLOOKUP("PCS-813565",[2]ARBOR!$A:$C,3,0),"Maior que CAP!",ROUND(-1*(JG11/VLOOKUP("PCS-813565",[2]ARBOR!$A:$C,3,0)-1),4))))</f>
        <v/>
      </c>
      <c r="JI11" s="189" t="str">
        <f>IF(ISERROR(IF(JH11="","",VLOOKUP(("Oi Internet Pra Celular 2GB"&amp;JH11&amp;"Template Flat Instância Dados"),[2]BENEFICIOS!$A:$E,5,0))),"Criar",IF(JH11="","",VLOOKUP(("Oi Internet Pra Celular 2GB"&amp;JH11&amp;"Template Flat Instância Dados"),[2]BENEFICIOS!$A:$E,5,0)))</f>
        <v/>
      </c>
      <c r="JJ11" s="190"/>
      <c r="JK11" s="191" t="str">
        <f>IF(JJ11=0,"",IF(JJ11=VLOOKUP("sva_livros",[2]ARBOR!$A:$C,3,0),0.0001,IF(JJ11&gt;VLOOKUP("sva_livros",[2]ARBOR!$A:$C,3,0),"Maior que CAP!",ROUND(-1*(JJ11/VLOOKUP("sva_livros",[2]ARBOR!$A:$C,3,0)-1),4))))</f>
        <v/>
      </c>
      <c r="JL11" s="192" t="str">
        <f>IF(ISERROR(IF(JK11="","",VLOOKUP(("Oi Internet Pra Celular 2GB"&amp;JK11&amp;"Template Desconto % SVA DADOS B2C"),[2]BENEFICIOS!$A:$E,5,0))),"Criar",IF(JK11="","",VLOOKUP(("Oi Internet Pra Celular 2GB"&amp;JK11&amp;"Template Desconto % SVA DADOS B2C"),[2]BENEFICIOS!$A:$E,5,0)))</f>
        <v/>
      </c>
      <c r="JM11" s="187"/>
      <c r="JN11" s="188" t="str">
        <f>IF(JM11=0,"",IF(JM11=VLOOKUP("PCS-7171B",[2]ARBOR!$A:$C,3,0),0.0001,IF(JM11&gt;VLOOKUP("PCS-7171B",[2]ARBOR!$A:$C,3,0),"Maior que CAP!",ROUND(-1*(JM11/VLOOKUP("PCS-7171B",[2]ARBOR!$A:$C,3,0)-1),4))))</f>
        <v/>
      </c>
      <c r="JO11" s="189" t="str">
        <f>IF(ISERROR(IF(JN11="","",VLOOKUP(("Oi Internet Pra Celular 3GB"&amp;JN11&amp;"Template Flat Instância Dados"),[2]BENEFICIOS!$A:$E,5,0))),"Criar",IF(JN11="","",VLOOKUP(("Oi Internet Pra Celular 3GB"&amp;JN11&amp;"Template Flat Instância Dados"),[2]BENEFICIOS!$A:$E,5,0)))</f>
        <v/>
      </c>
      <c r="JP11" s="190"/>
      <c r="JQ11" s="191" t="str">
        <f>IF(JP11=0,"",IF(JP11=VLOOKUP("sva_livros",[2]ARBOR!$A:$C,3,0),0.0001,IF(JP11&gt;VLOOKUP("sva_livros",[2]ARBOR!$A:$C,3,0),"Maior que CAP!",ROUND(-1*(JP11/VLOOKUP("sva_livros",[2]ARBOR!$A:$C,3,0)-1),4))))</f>
        <v/>
      </c>
      <c r="JR11" s="192" t="str">
        <f>IF(ISERROR(IF(JQ11="","",VLOOKUP(("Oi Internet Pra Celular 3GB"&amp;JQ11&amp;"Template Desconto % SVA DADOS B2C"),[2]BENEFICIOS!$A:$E,5,0))),"Criar",IF(JQ11="","",VLOOKUP(("Oi Internet Pra Celular 3GB"&amp;JQ11&amp;"Template Desconto % SVA DADOS B2C"),[2]BENEFICIOS!$A:$E,5,0)))</f>
        <v/>
      </c>
      <c r="JS11" s="187"/>
      <c r="JT11" s="188" t="str">
        <f>IF(JS11=0,"",IF(JS11=VLOOKUP("PCS-51793o08",[2]ARBOR!$A:$C,3,0),0.0001,IF(JS11&gt;VLOOKUP("PCS-51793o08",[2]ARBOR!$A:$C,3,0),"Maior que CAP!",ROUND(-1*(JS11/VLOOKUP("PCS-51793o08",[2]ARBOR!$A:$C,3,0)-1),4))))</f>
        <v/>
      </c>
      <c r="JU11" s="189" t="str">
        <f>IF(ISERROR(IF(JT11="","",VLOOKUP(("Oi Internet Pra Celular 5GB"&amp;JT11&amp;"Template Flat Instância Dados"),[2]BENEFICIOS!$A:$E,5,0))),"Criar",IF(JT11="","",VLOOKUP(("Oi Internet Pra Celular 5GB"&amp;JT11&amp;"Template Flat Instância Dados"),[2]BENEFICIOS!$A:$E,5,0)))</f>
        <v/>
      </c>
      <c r="JV11" s="190"/>
      <c r="JW11" s="191" t="str">
        <f>IF(JV11=0,"",IF(JV11=VLOOKUP("sva_curtas",[2]ARBOR!$A:$C,3,0),0.0001,IF(JV11&gt;VLOOKUP("sva_curtas",[2]ARBOR!$A:$C,3,0),"Maior que CAP!",ROUND(-1*(JV11/VLOOKUP("sva_curtas",[2]ARBOR!$A:$C,3,0)-1),4))))</f>
        <v/>
      </c>
      <c r="JX11" s="192" t="str">
        <f>IF(ISERROR(IF(JW11="","",VLOOKUP(("Oi Internet Pra Celular 5GB"&amp;JW11&amp;"Template Desconto % SVA DADOS B2C"),[2]BENEFICIOS!$A:$E,5,0))),"Criar",IF(JW11="","",VLOOKUP(("Oi Internet Pra Celular 5GB"&amp;JW11&amp;"Template Desconto % SVA DADOS B2C"),[2]BENEFICIOS!$A:$E,5,0)))</f>
        <v/>
      </c>
      <c r="JY11" s="187"/>
      <c r="JZ11" s="188" t="str">
        <f>IF(JY11=0,"",IF(JY11=VLOOKUP("PCS-7171A",[2]ARBOR!$A:$C,3,0),0.0001,IF(JY11&gt;VLOOKUP("PCS-7171A",[2]ARBOR!$A:$C,3,0),"Maior que CAP!",ROUND(-1*(JY11/VLOOKUP("PCS-7171A",[2]ARBOR!$A:$C,3,0)-1),4))))</f>
        <v/>
      </c>
      <c r="KA11" s="193" t="str">
        <f>IF(ISERROR(IF(JZ11="","",VLOOKUP(("Oi Internet Pra Celular 10GB"&amp;JZ11&amp;"Template Flat Instância Dados"),[2]BENEFICIOS!$A:$E,5,0))),"Criar",IF(JZ11="","",VLOOKUP(("Oi Internet Pra Celular 10GB"&amp;JZ11&amp;"Template Flat Instância Dados"),[2]BENEFICIOS!$A:$E,5,0)))</f>
        <v/>
      </c>
      <c r="KB11" s="190"/>
      <c r="KC11" s="191" t="str">
        <f>IF(KB11=0,"",IF(KB11=VLOOKUP("sva_curtas",[2]ARBOR!$A:$C,3,0),0.0001,IF(KB11&gt;VLOOKUP("sva_curtas",[2]ARBOR!$A:$C,3,0),"Maior que CAP!",ROUND(-1*(KB11/VLOOKUP("sva_curtas",[2]ARBOR!$A:$C,3,0)-1),4))))</f>
        <v/>
      </c>
      <c r="KD11" s="192" t="str">
        <f>IF(ISERROR(IF(KC11="","",VLOOKUP(("Oi Internet Pra Celular 10GB"&amp;KC11&amp;"Template Desconto % SVA DADOS B2C"),[2]BENEFICIOS!$A:$E,5,0))),"Criar",IF(KC11="","",VLOOKUP(("Oi Internet Pra Celular 10GB"&amp;KC11&amp;"Template Desconto % SVA DADOS B2C"),[2]BENEFICIOS!$A:$E,5,0)))</f>
        <v/>
      </c>
      <c r="KE11" s="194"/>
      <c r="KF11" s="195"/>
      <c r="KG11" s="196" t="s">
        <v>167</v>
      </c>
      <c r="KH11" s="197" t="s">
        <v>190</v>
      </c>
      <c r="KI11" s="198">
        <v>699</v>
      </c>
      <c r="KJ11" s="197">
        <v>12</v>
      </c>
      <c r="KK11" s="199" t="str">
        <f t="shared" si="5"/>
        <v>Oi benefício fidelização Multiprodutos</v>
      </c>
      <c r="KL11" s="200" t="str">
        <f t="shared" si="6"/>
        <v>PCS-Fk83324</v>
      </c>
      <c r="KM11" s="200" t="str">
        <f t="shared" si="7"/>
        <v>PCS-SBL553142</v>
      </c>
      <c r="KN11" s="201" t="s">
        <v>191</v>
      </c>
      <c r="KO11" s="202" t="s">
        <v>192</v>
      </c>
      <c r="KP11" s="202" t="s">
        <v>193</v>
      </c>
      <c r="KQ11" s="201" t="s">
        <v>194</v>
      </c>
      <c r="KR11" s="199" t="s">
        <v>195</v>
      </c>
      <c r="KS11" s="200" t="s">
        <v>196</v>
      </c>
      <c r="KT11" s="203" t="s">
        <v>197</v>
      </c>
      <c r="KU11" s="129" t="s">
        <v>198</v>
      </c>
      <c r="KV11" s="129" t="s">
        <v>198</v>
      </c>
      <c r="KW11" s="129">
        <v>234.91</v>
      </c>
      <c r="KX11" s="129">
        <v>244.91</v>
      </c>
      <c r="KY11" s="129">
        <v>279.90999999999997</v>
      </c>
      <c r="KZ11" s="129" t="s">
        <v>198</v>
      </c>
      <c r="LA11" s="129">
        <v>254.91</v>
      </c>
      <c r="LB11" s="129">
        <v>264.90999999999997</v>
      </c>
      <c r="LC11" s="129">
        <v>299.90999999999997</v>
      </c>
      <c r="LD11" s="129" t="s">
        <v>198</v>
      </c>
      <c r="LE11" s="129" t="s">
        <v>198</v>
      </c>
      <c r="LF11" s="129" t="s">
        <v>198</v>
      </c>
      <c r="LG11" s="129" t="s">
        <v>198</v>
      </c>
      <c r="LH11" s="129" t="s">
        <v>198</v>
      </c>
      <c r="LI11" s="129" t="s">
        <v>198</v>
      </c>
      <c r="LJ11" s="129" t="s">
        <v>198</v>
      </c>
      <c r="LK11" s="204" t="s">
        <v>198</v>
      </c>
      <c r="LL11" s="212"/>
      <c r="LM11" s="213"/>
      <c r="LN11" s="213"/>
      <c r="LO11" s="213"/>
      <c r="LP11" s="213"/>
      <c r="LQ11" s="213"/>
      <c r="LR11" s="213"/>
      <c r="LS11" s="213"/>
      <c r="LT11" s="213"/>
      <c r="LU11" s="214"/>
      <c r="LV11" t="s">
        <v>214</v>
      </c>
      <c r="LW11" t="s">
        <v>200</v>
      </c>
    </row>
    <row r="12" spans="1:335" x14ac:dyDescent="0.25">
      <c r="A12" s="134" t="s">
        <v>164</v>
      </c>
      <c r="B12" s="135" t="s">
        <v>165</v>
      </c>
      <c r="C12" s="135" t="s">
        <v>166</v>
      </c>
      <c r="D12" s="136" t="s">
        <v>167</v>
      </c>
      <c r="E12" s="137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9"/>
      <c r="Q12" s="139"/>
      <c r="R12" s="139"/>
      <c r="S12" s="140"/>
      <c r="T12" s="138"/>
      <c r="U12" s="138"/>
      <c r="V12" s="138"/>
      <c r="W12" s="138"/>
      <c r="X12" s="138"/>
      <c r="Y12" s="138"/>
      <c r="Z12" s="138"/>
      <c r="AA12" s="138"/>
      <c r="AB12" s="138"/>
      <c r="AC12" s="138"/>
      <c r="AD12" s="138"/>
      <c r="AE12" s="141"/>
      <c r="AF12" s="138"/>
      <c r="AG12" s="138"/>
      <c r="AH12" s="142"/>
      <c r="AI12" s="209" t="s">
        <v>12</v>
      </c>
      <c r="AJ12" s="59" t="s">
        <v>168</v>
      </c>
      <c r="AK12" s="60" t="s">
        <v>209</v>
      </c>
      <c r="AL12" s="143">
        <v>43039</v>
      </c>
      <c r="AM12" s="144">
        <v>43159</v>
      </c>
      <c r="AN12" s="63" t="s">
        <v>170</v>
      </c>
      <c r="AO12" s="64" t="s">
        <v>170</v>
      </c>
      <c r="AP12" s="145"/>
      <c r="AQ12" s="145" t="s">
        <v>171</v>
      </c>
      <c r="AR12" s="145">
        <v>20</v>
      </c>
      <c r="AS12" s="145">
        <v>10000</v>
      </c>
      <c r="AT12" s="146" t="s">
        <v>172</v>
      </c>
      <c r="AU12" s="147" t="s">
        <v>167</v>
      </c>
      <c r="AV12" s="148" t="s">
        <v>173</v>
      </c>
      <c r="AW12" s="149" t="s">
        <v>173</v>
      </c>
      <c r="AX12" s="150" t="s">
        <v>12</v>
      </c>
      <c r="AY12" s="151" t="s">
        <v>203</v>
      </c>
      <c r="AZ12" s="152" t="str">
        <f>IF(ISERROR(VLOOKUP(AY12,[2]PLANOS!B:C,2,0)),"",VLOOKUP(AY12,[2]PLANOS!B:C,2,0))</f>
        <v>PCS-3PHipi</v>
      </c>
      <c r="BA12" s="153" t="s">
        <v>173</v>
      </c>
      <c r="BB12" s="154" t="str">
        <f t="shared" si="1"/>
        <v/>
      </c>
      <c r="BC12" s="155"/>
      <c r="BD12" s="156"/>
      <c r="BE12" s="157">
        <v>50.11</v>
      </c>
      <c r="BF12" s="101">
        <f>IF(BE12=0,"",IF(BE12=VLOOKUP("FIXO",[2]ARBOR!$A:$C,3,0),0.0001,IF(BE12&gt;VLOOKUP("FIXO",[2]ARBOR!$A:$C,3,0),"Maior que CAP!",IF((DOLLAR(BE12+(VLOOKUP("FIXO",[2]ARBOR!$A:$C,3,0)*-TRUNC(BE12/VLOOKUP("FIXO",[2]ARBOR!$A:$C,3,0)-1,4)),6))&lt;&gt;(DOLLAR(VLOOKUP("FIXO",[2]ARBOR!$A:$C,3,0),6)),-TRUNC(BE12/VLOOKUP("FIXO",[2]ARBOR!$A:$C,3,0)-1,4)+0.0001,-TRUNC(BE12/VLOOKUP("FIXO",[2]ARBOR!$A:$C,3,0)-1,4)))))</f>
        <v>0.33929999999999999</v>
      </c>
      <c r="BG12" s="158"/>
      <c r="BH12" s="101" t="str">
        <f>IF(BG12=0,"",IF(BG12=VLOOKUP("FIXO",[2]ARBOR!$A:$C,3,0),0.0001,IF(BG12&gt;VLOOKUP("FIXO",[2]ARBOR!$A:$C,3,0),"Maior que CAP!",IF((DOLLAR(BG12+(VLOOKUP("FIXO",[2]ARBOR!$A:$C,3,0)*-TRUNC(BG12/VLOOKUP("FIXO",[2]ARBOR!$A:$C,3,0)-1,4)),6))&lt;&gt;(DOLLAR(VLOOKUP("FIXO",[2]ARBOR!$A:$C,3,0),6)),-TRUNC(BG12/VLOOKUP("FIXO",[2]ARBOR!$A:$C,3,0)-1,4)+0.0001,-TRUNC(BG12/VLOOKUP("FIXO",[2]ARBOR!$A:$C,3,0)-1,4)))))</f>
        <v/>
      </c>
      <c r="BI12" s="101" t="str">
        <f>IF(ISERROR(IF(BF12="","",VLOOKUP(($AY12&amp;BF12&amp;"Template de desconto FLAT bundle - Fixo - Varejo - Ganho Tributário Cross"),[2]BENEFICIOS!$A:$E,5,0))),"Criar",IF(BF12="","",VLOOKUP(($AY12&amp;BF12&amp;"Template de desconto FLAT bundle - Fixo - Varejo - Ganho Tributário Cross"),[2]BENEFICIOS!$A:$E,5,0)))</f>
        <v>MKT-1-9825728196</v>
      </c>
      <c r="BJ12" s="159"/>
      <c r="BK12" s="101" t="str">
        <f t="shared" si="2"/>
        <v/>
      </c>
      <c r="BL12" s="160"/>
      <c r="BM12" s="101" t="str">
        <f>IF(BL12=0,"",IF(BL12=VLOOKUP("FIXO",[2]ARBOR!$A:$C,3,0),0.0001,IF(BL12&gt;VLOOKUP("FIXO",[2]ARBOR!$A:$C,3,0),"Maior que CAP!",IF(BF12&lt;&gt;"",-ROUND(BL12/VLOOKUP("FIXO",[2]ARBOR!$A:$C,3,0)-1,4)-BF12,-ROUND(BL12/VLOOKUP("FIXO",[2]ARBOR!$A:$C,3,0)-1,4)))))</f>
        <v/>
      </c>
      <c r="BN12" s="161"/>
      <c r="BO12" s="101" t="str">
        <f>IF(ISERROR(IF(BK12="","",VLOOKUP(($AY12&amp;BK12&amp;"Template de desconto FLAT bundle - Fixo - Varejo - Ganho Tributário Cross"),[2]BENEFICIOS!$A:$E,5,0))),"Criar",IF(BK12="","",VLOOKUP(($AY12&amp;BK12&amp;"Template de desconto FLAT bundle - Fixo - Varejo - Ganho Tributário Cross"),[2]BENEFICIOS!$A:$E,5,0)))</f>
        <v/>
      </c>
      <c r="BP12" s="162" t="s">
        <v>175</v>
      </c>
      <c r="BQ12" s="163" t="s">
        <v>176</v>
      </c>
      <c r="BR12" s="164" t="s">
        <v>173</v>
      </c>
      <c r="BS12" s="165" t="str">
        <f t="shared" si="0"/>
        <v/>
      </c>
      <c r="BT12" s="155"/>
      <c r="BU12" s="166"/>
      <c r="BV12" s="167" t="s">
        <v>210</v>
      </c>
      <c r="BW12" s="168">
        <v>44.9</v>
      </c>
      <c r="BX12" s="101">
        <f>IF(BW12=0,"",IF(BW12=VLOOKUP("PCS-30874g",[2]ARBOR!$A:$C,3,0),0.0001,IF(BW12&gt;VLOOKUP("PCS-30874g",[2]ARBOR!$A:$C,3,0),"Maior que CAP!",IF((DOLLAR(BW12+(VLOOKUP("PCS-30874g",[2]ARBOR!$A:$C,3,0)*-TRUNC(BW12/VLOOKUP("PCS-30874g",[2]ARBOR!$A:$C,3,0)-1,4)),6))&lt;&gt;(DOLLAR(VLOOKUP("PCS-30874g",[2]ARBOR!$A:$C,3,0),6)),-TRUNC(BW12/VLOOKUP("PCS-30874g",[2]ARBOR!$A:$C,3,0)-1,4)+0.0001,-TRUNC(BW12/VLOOKUP("PCS-30874g",[2]ARBOR!$A:$C,3,0)-1,4)))))</f>
        <v>0.53679999999999994</v>
      </c>
      <c r="BY12" s="163" t="str">
        <f>IF(ISERROR(IF(BX12="","",VLOOKUP(($AY12&amp;BX12&amp;"Template de desconto FLAT bundle - Velox XDSL - Varejo"),[2]BENEFICIOS!$A:$E,5,0))),"Criar",IF(BX12="","",VLOOKUP(($AY12&amp;BX12&amp;"Template de desconto FLAT bundle - Velox XDSL - Varejo"),[2]BENEFICIOS!$A:$E,5,0)))</f>
        <v>MKT-1-9829477373</v>
      </c>
      <c r="BZ12" s="167" t="s">
        <v>210</v>
      </c>
      <c r="CA12" s="168">
        <v>44.9</v>
      </c>
      <c r="CB12" s="101">
        <f>IF(CA12=0,"",IF(CA12=VLOOKUP("PCS-30577g",[2]ARBOR!$A:$C,3,0),0.0001,IF(CA12&gt;VLOOKUP("PCS-30577g",[2]ARBOR!$A:$C,3,0),"Maior que CAP!",IF((DOLLAR(CA12+(VLOOKUP("PCS-30577g",[2]ARBOR!$A:$C,3,0)*-TRUNC(CA12/VLOOKUP("PCS-30577g",[2]ARBOR!$A:$C,3,0)-1,4)),6))&lt;&gt;(DOLLAR(VLOOKUP("PCS-30577g",[2]ARBOR!$A:$C,3,0),6)),-TRUNC(CA12/VLOOKUP("PCS-30577g",[2]ARBOR!$A:$C,3,0)-1,4)+0.0001,-TRUNC(CA12/VLOOKUP("PCS-30577g",[2]ARBOR!$A:$C,3,0)-1,4)))))</f>
        <v>0.53679999999999994</v>
      </c>
      <c r="CC12" s="163" t="str">
        <f>IF(ISERROR(IF(CB12="","",VLOOKUP(($AY12&amp;CB12&amp;"Template de desconto FLAT bundle - Velox XDSL - Varejo"),[2]BENEFICIOS!$A:$E,5,0))),"Criar",IF(CB12="","",VLOOKUP(($AY12&amp;CB12&amp;"Template de desconto FLAT bundle - Velox XDSL - Varejo"),[2]BENEFICIOS!$A:$E,5,0)))</f>
        <v>MKT-1-9829477373</v>
      </c>
      <c r="CD12" s="167" t="s">
        <v>210</v>
      </c>
      <c r="CE12" s="168">
        <v>44.9</v>
      </c>
      <c r="CF12" s="101">
        <f>IF(CE12=0,"",IF(CE12=VLOOKUP("PCS-30604g",[2]ARBOR!$A:$C,3,0),0.0001,IF(CE12&gt;VLOOKUP("PCS-30604g",[2]ARBOR!$A:$C,3,0),"Maior que CAP!",IF((DOLLAR(CE12+(VLOOKUP("PCS-30604g",[2]ARBOR!$A:$C,3,0)*-TRUNC(CE12/VLOOKUP("PCS-30604g",[2]ARBOR!$A:$C,3,0)-1,4)),6))&lt;&gt;(DOLLAR(VLOOKUP("PCS-30604g",[2]ARBOR!$A:$C,3,0),6)),-TRUNC(CE12/VLOOKUP("PCS-30604g",[2]ARBOR!$A:$C,3,0)-1,4)+0.0001,-TRUNC(CE12/VLOOKUP("PCS-30604g",[2]ARBOR!$A:$C,3,0)-1,4)))))</f>
        <v>0.53679999999999994</v>
      </c>
      <c r="CG12" s="163" t="str">
        <f>IF(ISERROR(IF(CF12="","",VLOOKUP(($AY12&amp;CF12&amp;"Template de desconto FLAT bundle - Velox XDSL - Varejo"),[2]BENEFICIOS!$A:$E,5,0))),"Criar",IF(CF12="","",VLOOKUP(($AY12&amp;CF12&amp;"Template de desconto FLAT bundle - Velox XDSL - Varejo"),[2]BENEFICIOS!$A:$E,5,0)))</f>
        <v>MKT-1-9829477373</v>
      </c>
      <c r="CH12" s="167" t="s">
        <v>210</v>
      </c>
      <c r="CI12" s="168">
        <v>44.9</v>
      </c>
      <c r="CJ12" s="101">
        <f>IF(CI12=0,"",IF(CI12=VLOOKUP("PCS-30631g",[2]ARBOR!$A:$C,3,0),0.0001,IF(CI12&gt;VLOOKUP("PCS-30631g",[2]ARBOR!$A:$C,3,0),"Maior que CAP!",IF((DOLLAR(CI12+(VLOOKUP("PCS-30631g",[2]ARBOR!$A:$C,3,0)*-TRUNC(CI12/VLOOKUP("PCS-30631g",[2]ARBOR!$A:$C,3,0)-1,4)),6))&lt;&gt;(DOLLAR(VLOOKUP("PCS-30631g",[2]ARBOR!$A:$C,3,0),6)),-TRUNC(CI12/VLOOKUP("PCS-30631g",[2]ARBOR!$A:$C,3,0)-1,4)+0.0001,-TRUNC(CI12/VLOOKUP("PCS-30631g",[2]ARBOR!$A:$C,3,0)-1,4)))))</f>
        <v>0.54310000000000003</v>
      </c>
      <c r="CK12" s="163" t="str">
        <f>IF(ISERROR(IF(CJ12="","",VLOOKUP(($AY12&amp;CJ12&amp;"Template de desconto FLAT bundle - Velox XDSL - Varejo"),[2]BENEFICIOS!$A:$E,5,0))),"Criar",IF(CJ12="","",VLOOKUP(($AY12&amp;CJ12&amp;"Template de desconto FLAT bundle - Velox XDSL - Varejo"),[2]BENEFICIOS!$A:$E,5,0)))</f>
        <v>MKT-1-9828219079</v>
      </c>
      <c r="CL12" s="167" t="s">
        <v>104</v>
      </c>
      <c r="CM12" s="168">
        <v>49.9</v>
      </c>
      <c r="CN12" s="101">
        <f>IF(CM12=0,"",IF(CM12=VLOOKUP("PCS-30658g",[2]ARBOR!$A:$C,3,0),0.0001,IF(CM12&gt;VLOOKUP("PCS-30658g",[2]ARBOR!$A:$C,3,0),"Maior que CAP!",IF((DOLLAR(CM12+(VLOOKUP("PCS-30658g",[2]ARBOR!$A:$C,3,0)*-TRUNC(CM12/VLOOKUP("PCS-30658g",[2]ARBOR!$A:$C,3,0)-1,4)),6))&lt;&gt;(DOLLAR(VLOOKUP("PCS-30658g",[2]ARBOR!$A:$C,3,0),6)),-TRUNC(CM12/VLOOKUP("PCS-30658g",[2]ARBOR!$A:$C,3,0)-1,4)+0.0001,-TRUNC(CM12/VLOOKUP("PCS-30658g",[2]ARBOR!$A:$C,3,0)-1,4)))))</f>
        <v>0.55569999999999997</v>
      </c>
      <c r="CO12" s="163" t="str">
        <f>IF(ISERROR(IF(CN12="","",VLOOKUP(($AY12&amp;CN12&amp;"Template de desconto FLAT bundle - Velox XDSL - Varejo"),[2]BENEFICIOS!$A:$E,5,0))),"Criar",IF(CN12="","",VLOOKUP(($AY12&amp;CN12&amp;"Template de desconto FLAT bundle - Velox XDSL - Varejo"),[2]BENEFICIOS!$A:$E,5,0)))</f>
        <v>MKT-1-9828243608</v>
      </c>
      <c r="CP12" s="167" t="s">
        <v>104</v>
      </c>
      <c r="CQ12" s="168">
        <v>49.9</v>
      </c>
      <c r="CR12" s="101">
        <f>IF(CQ12=0,"",IF(CQ12=VLOOKUP("PCS-30685g",[2]ARBOR!$A:$C,3,0),0.0001,IF(CQ12&gt;VLOOKUP("PCS-30685g",[2]ARBOR!$A:$C,3,0),"Maior que CAP!",IF((DOLLAR(CQ12+(VLOOKUP("PCS-30685g",[2]ARBOR!$A:$C,3,0)*-TRUNC(CQ12/VLOOKUP("PCS-30685g",[2]ARBOR!$A:$C,3,0)-1,4)),6))&lt;&gt;(DOLLAR(VLOOKUP("PCS-30685g",[2]ARBOR!$A:$C,3,0),6)),-TRUNC(CQ12/VLOOKUP("PCS-30685g",[2]ARBOR!$A:$C,3,0)-1,4)+0.0001,-TRUNC(CQ12/VLOOKUP("PCS-30685g",[2]ARBOR!$A:$C,3,0)-1,4)))))</f>
        <v>0.60509999999999997</v>
      </c>
      <c r="CS12" s="163" t="str">
        <f>IF(ISERROR(IF(CR12="","",VLOOKUP(($AY12&amp;CR12&amp;"Template de desconto FLAT bundle - Velox XDSL - Varejo"),[2]BENEFICIOS!$A:$E,5,0))),"Criar",IF(CR12="","",VLOOKUP(($AY12&amp;CR12&amp;"Template de desconto FLAT bundle - Velox XDSL - Varejo"),[2]BENEFICIOS!$A:$E,5,0)))</f>
        <v>MKT-1-9828260647</v>
      </c>
      <c r="CT12" s="167" t="s">
        <v>104</v>
      </c>
      <c r="CU12" s="168">
        <v>49.9</v>
      </c>
      <c r="CV12" s="101">
        <f>IF(CU12=0,"",IF(CU12=VLOOKUP("PCS-30712g",[2]ARBOR!$A:$C,3,0),0.0001,IF(CU12&gt;VLOOKUP("PCS-30712g",[2]ARBOR!$A:$C,3,0),"Maior que CAP!",IF((DOLLAR(CU12+(VLOOKUP("PCS-30712g",[2]ARBOR!$A:$C,3,0)*-TRUNC(CU12/VLOOKUP("PCS-30712g",[2]ARBOR!$A:$C,3,0)-1,4)),6))&lt;&gt;(DOLLAR(VLOOKUP("PCS-30712g",[2]ARBOR!$A:$C,3,0),6)),-TRUNC(CU12/VLOOKUP("PCS-30712g",[2]ARBOR!$A:$C,3,0)-1,4)+0.0001,-TRUNC(CU12/VLOOKUP("PCS-30712g",[2]ARBOR!$A:$C,3,0)-1,4)))))</f>
        <v>0.64459999999999995</v>
      </c>
      <c r="CW12" s="163" t="str">
        <f>IF(ISERROR(IF(CV12="","",VLOOKUP(($AY12&amp;CV12&amp;"Template de desconto FLAT bundle - Velox XDSL - Varejo"),[2]BENEFICIOS!$A:$E,5,0))),"Criar",IF(CV12="","",VLOOKUP(($AY12&amp;CV12&amp;"Template de desconto FLAT bundle - Velox XDSL - Varejo"),[2]BENEFICIOS!$A:$E,5,0)))</f>
        <v>MKT-1-9828260926</v>
      </c>
      <c r="CX12" s="167" t="s">
        <v>104</v>
      </c>
      <c r="CY12" s="168">
        <v>59.9</v>
      </c>
      <c r="CZ12" s="101">
        <f>IF(CY12=0,"",IF(CY12=VLOOKUP("PCS-30739g",[2]ARBOR!$A:$C,3,0),0.0001,IF(CY12&gt;VLOOKUP("PCS-30739g",[2]ARBOR!$A:$C,3,0),"Maior que CAP!",IF((DOLLAR(CY12+(VLOOKUP("PCS-30739g",[2]ARBOR!$A:$C,3,0)*-TRUNC(CY12/VLOOKUP("PCS-30739g",[2]ARBOR!$A:$C,3,0)-1,4)),6))&lt;&gt;(DOLLAR(VLOOKUP("PCS-30739g",[2]ARBOR!$A:$C,3,0),6)),-TRUNC(CY12/VLOOKUP("PCS-30739g",[2]ARBOR!$A:$C,3,0)-1,4)+0.0001,-TRUNC(CY12/VLOOKUP("PCS-30739g",[2]ARBOR!$A:$C,3,0)-1,4)))))</f>
        <v>0.71560000000000001</v>
      </c>
      <c r="DA12" s="169" t="str">
        <f>IF(ISERROR(IF(CZ12="","",VLOOKUP(($AY12&amp;CZ12&amp;"Template de desconto FLAT bundle - Velox XDSL - Varejo"),[2]BENEFICIOS!$A:$E,5,0))),"Criar",IF(CZ12="","",VLOOKUP(($AY12&amp;CZ12&amp;"Template de desconto FLAT bundle - Velox XDSL - Varejo"),[2]BENEFICIOS!$A:$E,5,0)))</f>
        <v>MKT-1-9828272465</v>
      </c>
      <c r="DB12" s="170"/>
      <c r="DC12" s="215"/>
      <c r="DD12" s="101" t="str">
        <f>IF(DB12=0,"",IF(DB12=VLOOKUP("PCS-30739g",[2]ARBOR!$A:$C,3,0),0.0001,IF(DB12&gt;VLOOKUP("PCS-30739g",[2]ARBOR!$A:$C,3,0),"Maior que CAP!",IF((DOLLAR(DB12+(VLOOKUP("PCS-30739g",[2]ARBOR!$A:$C,3,0)*-TRUNC(DB12/VLOOKUP("PCS-30739g",[2]ARBOR!$A:$C,3,0)-1,4)),6))&lt;&gt;(DOLLAR(VLOOKUP("PCS-30739g",[2]ARBOR!$A:$C,3,0),6)),(-TRUNC(DB12/VLOOKUP("PCS-30739g",[2]ARBOR!$A:$C,3,0)-1,4)+0.0001)-CZ12,-TRUNC(DB12/VLOOKUP("PCS-30739g",[2]ARBOR!$A:$C,3,0)-1,4)-CZ12))))</f>
        <v/>
      </c>
      <c r="DE12" s="163" t="str">
        <f>IF(ISERROR(IF(DD12="","",VLOOKUP(($AY12&amp;DD12&amp;"Template de desconto percentual Bundle - Velox XDSL - Varejo"),[2]BENEFICIOS!$A:$E,5,0))),"Criar",IF(DD12="","",VLOOKUP(($AY12&amp;DD12&amp;"Template de desconto percentual Bundle - Velox XDSL - Varejo"),[2]BENEFICIOS!$A:$E,5,0)))</f>
        <v/>
      </c>
      <c r="DF12" s="167" t="s">
        <v>104</v>
      </c>
      <c r="DG12" s="168">
        <v>59.9</v>
      </c>
      <c r="DH12" s="101">
        <f>IF(DG12=0,"",IF(DG12=VLOOKUP("PCS-30766g",[2]ARBOR!$A:$C,3,0),0.0001,IF(DG12&gt;VLOOKUP("PCS-30766g",[2]ARBOR!$A:$C,3,0),"Maior que CAP!",IF((DOLLAR(DG12+(VLOOKUP("PCS-30766g",[2]ARBOR!$A:$C,3,0)*-TRUNC(DG12/VLOOKUP("PCS-30766g",[2]ARBOR!$A:$C,3,0)-1,4)),6))&lt;&gt;(DOLLAR(VLOOKUP("PCS-30766g",[2]ARBOR!$A:$C,3,0),6)),-TRUNC(DG12/VLOOKUP("PCS-30766g",[2]ARBOR!$A:$C,3,0)-1,4)+0.0001,-TRUNC(DG12/VLOOKUP("PCS-30766g",[2]ARBOR!$A:$C,3,0)-1,4)))))</f>
        <v>0.78669999999999995</v>
      </c>
      <c r="DI12" s="169" t="str">
        <f>IF(ISERROR(IF(DH12="","",VLOOKUP(($AY12&amp;DH12&amp;"Template de desconto FLAT bundle - Velox XDSL - Varejo"),[2]BENEFICIOS!$A:$E,5,0))),"Criar",IF(DH12="","",VLOOKUP(($AY12&amp;DH12&amp;"Template de desconto FLAT bundle - Velox XDSL - Varejo"),[2]BENEFICIOS!$A:$E,5,0)))</f>
        <v>MKT-1-9828285890</v>
      </c>
      <c r="DJ12" s="170"/>
      <c r="DK12" s="215"/>
      <c r="DL12" s="101" t="str">
        <f>IF(DJ12=0,"",IF(DJ12=VLOOKUP("PCS-30766g",[2]ARBOR!$A:$C,3,0),0.0001,IF(DJ12&gt;VLOOKUP("PCS-30766g",[2]ARBOR!$A:$C,3,0),"Maior que CAP!",IF((DOLLAR(DJ12+(VLOOKUP("PCS-30766g",[2]ARBOR!$A:$C,3,0)*-TRUNC(DJ12/VLOOKUP("PCS-30766g",[2]ARBOR!$A:$C,3,0)-1,4)),6))&lt;&gt;(DOLLAR(VLOOKUP("PCS-30766g",[2]ARBOR!$A:$C,3,0),6)),(-TRUNC(DJ12/VLOOKUP("PCS-30766g",[2]ARBOR!$A:$C,3,0)-1,4)+0.0001)-DH12,-TRUNC(DJ12/VLOOKUP("PCS-30766g",[2]ARBOR!$A:$C,3,0)-1,4)-DH12))))</f>
        <v/>
      </c>
      <c r="DM12" s="163" t="str">
        <f>IF(ISERROR(IF(DL12="","",VLOOKUP(($AY12&amp;DL12&amp;"Template de desconto percentual Bundle - Velox XDSL - Varejo"),[2]BENEFICIOS!$A:$E,5,0))),"Criar",IF(DL12="","",VLOOKUP(($AY12&amp;DL12&amp;"Template de desconto percentual Bundle - Velox XDSL - Varejo"),[2]BENEFICIOS!$A:$E,5,0)))</f>
        <v/>
      </c>
      <c r="DN12" s="167" t="s">
        <v>210</v>
      </c>
      <c r="DO12" s="168">
        <v>69.900000000000006</v>
      </c>
      <c r="DP12" s="101">
        <f>IF(DO12=0,"",IF(DO12=VLOOKUP("PCS-30793g",[2]ARBOR!$A:$C,3,0),0.0001,IF(DO12&gt;VLOOKUP("PCS-30793g",[2]ARBOR!$A:$C,3,0),"Maior que CAP!",IF((DOLLAR(DO12+(VLOOKUP("PCS-30793g",[2]ARBOR!$A:$C,3,0)*-TRUNC(DO12/VLOOKUP("PCS-30793g",[2]ARBOR!$A:$C,3,0)-1,4)),6))&lt;&gt;(DOLLAR(VLOOKUP("PCS-30793g",[2]ARBOR!$A:$C,3,0),6)),-TRUNC(DO12/VLOOKUP("PCS-30793g",[2]ARBOR!$A:$C,3,0)-1,4)+0.0001,-TRUNC(DO12/VLOOKUP("PCS-30793g",[2]ARBOR!$A:$C,3,0)-1,4)))))</f>
        <v>0.75109999999999999</v>
      </c>
      <c r="DQ12" s="169" t="str">
        <f>IF(ISERROR(IF(DP12="","",VLOOKUP(($AY12&amp;DP12&amp;"Template de desconto FLAT bundle - Velox XDSL - Varejo"),[2]BENEFICIOS!$A:$E,5,0))),"Criar",IF(DP12="","",VLOOKUP(($AY12&amp;DP12&amp;"Template de desconto FLAT bundle - Velox XDSL - Varejo"),[2]BENEFICIOS!$A:$E,5,0)))</f>
        <v>MKT-1-9828314259</v>
      </c>
      <c r="DR12" s="170"/>
      <c r="DS12" s="215"/>
      <c r="DT12" s="101" t="str">
        <f>IF(DR12=0,"",IF(DR12=VLOOKUP("PCS-30793g",[2]ARBOR!$A:$C,3,0),0.0001,IF(DR12&gt;VLOOKUP("PCS-30793g",[2]ARBOR!$A:$C,3,0),"Maior que CAP!",IF((DOLLAR(DR12+(VLOOKUP("PCS-30793g",[2]ARBOR!$A:$C,3,0)*-TRUNC(DR12/VLOOKUP("PCS-30793g",[2]ARBOR!$A:$C,3,0)-1,4)),6))&lt;&gt;(DOLLAR(VLOOKUP("PCS-30793g",[2]ARBOR!$A:$C,3,0),6)),(-TRUNC(DR12/VLOOKUP("PCS-30793g",[2]ARBOR!$A:$C,3,0)-1,4)+0.0001)-DP12,-TRUNC(DR12/VLOOKUP("PCS-30793g",[2]ARBOR!$A:$C,3,0)-1,4)-DP12))))</f>
        <v/>
      </c>
      <c r="DU12" s="163" t="str">
        <f>IF(ISERROR(IF(DT12="","",VLOOKUP(($AY12&amp;DT12&amp;"Template de desconto percentual Bundle - Velox XDSL - Varejo"),[2]BENEFICIOS!$A:$E,5,0))),"Criar",IF(DT12="","",VLOOKUP(($AY12&amp;DT12&amp;"Template de desconto percentual Bundle - Velox XDSL - Varejo"),[2]BENEFICIOS!$A:$E,5,0)))</f>
        <v/>
      </c>
      <c r="DV12" s="167" t="s">
        <v>104</v>
      </c>
      <c r="DW12" s="168">
        <v>69.900000000000006</v>
      </c>
      <c r="DX12" s="101">
        <f>IF(DW12=0,"",IF(DW12=VLOOKUP("PCS-30820g",[2]ARBOR!$A:$C,3,0),0.0001,IF(DW12&gt;VLOOKUP("PCS-30820g",[2]ARBOR!$A:$C,3,0),"Maior que CAP!",IF((DOLLAR(DW12+(VLOOKUP("PCS-30820g",[2]ARBOR!$A:$C,3,0)*-TRUNC(DW12/VLOOKUP("PCS-30820g",[2]ARBOR!$A:$C,3,0)-1,4)),6))&lt;&gt;(DOLLAR(VLOOKUP("PCS-30820g",[2]ARBOR!$A:$C,3,0),6)),-TRUNC(DW12/VLOOKUP("PCS-30820g",[2]ARBOR!$A:$C,3,0)-1,4)+0.0001,-TRUNC(DW12/VLOOKUP("PCS-30820g",[2]ARBOR!$A:$C,3,0)-1,4)))))</f>
        <v>0.75109999999999999</v>
      </c>
      <c r="DY12" s="169" t="str">
        <f>IF(ISERROR(IF(DX12="","",VLOOKUP(($AY12&amp;DX12&amp;"Template de desconto FLAT bundle - Velox XDSL - Varejo"),[2]BENEFICIOS!$A:$E,5,0))),"Criar",IF(DX12="","",VLOOKUP(($AY12&amp;DX12&amp;"Template de desconto FLAT bundle - Velox XDSL - Varejo"),[2]BENEFICIOS!$A:$E,5,0)))</f>
        <v>MKT-1-9828314259</v>
      </c>
      <c r="DZ12" s="170"/>
      <c r="EA12" s="215"/>
      <c r="EB12" s="101" t="str">
        <f>IF(DZ12=0,"",IF(DZ12=VLOOKUP("PCS-30820g",[2]ARBOR!$A:$C,3,0),0.0001,IF(DZ12&gt;VLOOKUP("PCS-30820g",[2]ARBOR!$A:$C,3,0),"Maior que CAP!",IF((DOLLAR(DZ12+(VLOOKUP("PCS-30820g",[2]ARBOR!$A:$C,3,0)*-TRUNC(DZ12/VLOOKUP("PCS-30820g",[2]ARBOR!$A:$C,3,0)-1,4)),6))&lt;&gt;(DOLLAR(VLOOKUP("PCS-30820g",[2]ARBOR!$A:$C,3,0),6)),(-TRUNC(DZ12/VLOOKUP("PCS-30820g",[2]ARBOR!$A:$C,3,0)-1,4)+0.0001)-DX12,-TRUNC(DZ12/VLOOKUP("PCS-30820g",[2]ARBOR!$A:$C,3,0)-1,4)-DX12))))</f>
        <v/>
      </c>
      <c r="EC12" s="163" t="str">
        <f>IF(ISERROR(IF(EB12="","",VLOOKUP(($AY12&amp;EB12&amp;"Template de desconto percentual Bundle - Velox XDSL - Varejo"),[2]BENEFICIOS!$A:$E,5,0))),"Criar",IF(EB12="","",VLOOKUP(($AY12&amp;EB12&amp;"Template de desconto percentual Bundle - Velox XDSL - Varejo"),[2]BENEFICIOS!$A:$E,5,0)))</f>
        <v/>
      </c>
      <c r="ED12" s="172"/>
      <c r="EE12" s="101" t="str">
        <f>IF(ED12=0,"",IF(ED12=VLOOKUP("PCS-21448p2",[2]ARBOR!$A:$C,3,0),0.0001,IF(ED12&gt;VLOOKUP("PCS-21448p2",[2]ARBOR!$A:$C,3,0),"Maior que CAP!",IF((DOLLAR(ED12+(VLOOKUP("PCS-21448p2",[2]ARBOR!$A:$C,3,0)*-TRUNC(ED12/VLOOKUP("PCS-21448p2",[2]ARBOR!$A:$C,3,0)-1,4)),6))&lt;&gt;(DOLLAR(VLOOKUP("PCS-21448p2",[2]ARBOR!$A:$C,3,0),6)),-TRUNC(ED12/VLOOKUP("PCS-21448p2",[2]ARBOR!$A:$C,3,0)-1,4)+0.0001,-TRUNC(ED12/VLOOKUP("PCS-21448p2",[2]ARBOR!$A:$C,3,0)-1,4)))))</f>
        <v/>
      </c>
      <c r="EF12" s="101" t="str">
        <f>IF(ISERROR(IF(EE12="","",VLOOKUP(("Oi Conta Total Plug 10GB Downgrade"&amp;EE12&amp;"Template de desconto percentual BL Móvel - Internet Total - Varejo"),[2]BENEFICIOS!$A:$E,5,0))),"Criar",IF(EE12="","",VLOOKUP(("Oi Conta Total Plug 10GB Downgrade"&amp;EE12&amp;"Template de desconto percentual BL Móvel - Internet Total - Varejo"),[2]BENEFICIOS!$A:$E,5,0)))</f>
        <v/>
      </c>
      <c r="EG12" s="173">
        <v>19.899999999999999</v>
      </c>
      <c r="EH12" s="174">
        <f>IF(EG12=0,"",IF(EG12=VLOOKUP("SVA",[2]ARBOR!$A:$C,3,0),0.0001,IF(EG12&gt;VLOOKUP("SVA",[2]ARBOR!$A:$C,3,0),"Maior que CAP!",IF((DOLLAR(EG12+(VLOOKUP("SVA",[2]ARBOR!$A:$C,3,0)*-TRUNC(EG12/VLOOKUP("SVA",[2]ARBOR!$A:$C,3,0)-1,4)),6))&lt;&gt;(DOLLAR(VLOOKUP("SVA",[2]ARBOR!$A:$C,3,0),6)),-TRUNC(EG12/VLOOKUP("SVA",[2]ARBOR!$A:$C,3,0)-1,4)+0.0001,-TRUNC(EG12/VLOOKUP("SVA",[2]ARBOR!$A:$C,3,0)-1,4)))))</f>
        <v>7.1400000000000005E-2</v>
      </c>
      <c r="EI12" s="174" t="s">
        <v>211</v>
      </c>
      <c r="EJ12" s="175"/>
      <c r="EK12" s="176"/>
      <c r="EL12" s="177" t="str">
        <f t="shared" si="3"/>
        <v/>
      </c>
      <c r="EM12" s="174" t="str">
        <f>IF(EL12="S/Desc","S/Desc",IF(ISERROR(IF(EL12="","",VLOOKUP(($BX12&amp;EL12&amp;"Template Desc. % sobre Serviço SVA B2C"),[2]BENEFICIOS!$A:$G,5,0))),"Criar",IF(EL12="","",VLOOKUP(($BX12&amp;EL12&amp;"Template Desc. % sobre Serviço SVA B2C"),[2]BENEFICIOS!$A:$G,5,0))))</f>
        <v/>
      </c>
      <c r="EN12" s="103"/>
      <c r="EO12" s="101" t="str">
        <f>IF(EN12=0,"",IF(EN12=VLOOKUP("PCS-OzTL40",[2]ARBOR!$A:$C,3,0),0.0001,IF(EN12&gt;VLOOKUP("PCS-OzTL40",[2]ARBOR!$A:$C,3,0),"Maior que CAP!",IF((DOLLAR(EN12+(VLOOKUP("PCS-OzTL40",[2]ARBOR!$A:$C,3,0)*-TRUNC(EN12/VLOOKUP("PCS-OzTL40",[2]ARBOR!$A:$C,3,0)-1,4)),6))&lt;&gt;(DOLLAR(VLOOKUP("PCS-OzTL40",[2]ARBOR!$A:$C,3,0),6)),-TRUNC(EN12/VLOOKUP("PCS-OzTL40",[2]ARBOR!$A:$C,3,0)-1,4)+0.0001,-TRUNC(EN12/VLOOKUP("PCS-OzTL40",[2]ARBOR!$A:$C,3,0)-1,4)))))</f>
        <v/>
      </c>
      <c r="EP12" s="163" t="str">
        <f>IF(ISERROR(IF(EO12="","",VLOOKUP(($AY12&amp;EO12&amp;"Template desconto FLAT Plano Principal Oi TV nível conta"),[2]BENEFICIOS!$A:$G,5,0))),"Criar",IF(EO12="","",VLOOKUP(($AY12&amp;EO12&amp;"Template desconto FLAT Plano Principal Oi TV nível conta"),[2]BENEFICIOS!$A:$G,5,0)))</f>
        <v/>
      </c>
      <c r="EQ12" s="103"/>
      <c r="ER12" s="101" t="str">
        <f>IF(EQ12=0,"",IF(EQ12=VLOOKUP("PCS-OzTL41",[2]ARBOR!$A:$C,3,0),0.0001,IF(EQ12&gt;VLOOKUP("PCS-OzTL41",[2]ARBOR!$A:$C,3,0),"Maior que CAP!",IF((DOLLAR(EQ12+(VLOOKUP("PCS-OzTL41",[2]ARBOR!$A:$C,3,0)*-TRUNC(EQ12/VLOOKUP("PCS-OzTL41",[2]ARBOR!$A:$C,3,0)-1,4)),6))&lt;&gt;(DOLLAR(VLOOKUP("PCS-OzTL41",[2]ARBOR!$A:$C,3,0),6)),-TRUNC(EQ12/VLOOKUP("PCS-OzTL41",[2]ARBOR!$A:$C,3,0)-1,4)+0.0001,-TRUNC(EQ12/VLOOKUP("PCS-OzTL41",[2]ARBOR!$A:$C,3,0)-1,4)))))</f>
        <v/>
      </c>
      <c r="ES12" s="178" t="str">
        <f>IF(ISERROR(IF(ER12="","",VLOOKUP(($AY12&amp;ER12&amp;"Template desconto FLAT Plano Principal Oi TV nível conta"),[2]BENEFICIOS!$A:$G,5,0))),"Criar",IF(ER12="","",VLOOKUP(($AY12&amp;ER12&amp;"Template desconto FLAT Plano Principal Oi TV nível conta"),[2]BENEFICIOS!$A:$G,5,0)))</f>
        <v/>
      </c>
      <c r="ET12" s="103"/>
      <c r="EU12" s="101" t="str">
        <f>IF(ET12=0,"",IF(ET12=VLOOKUP("PCS-OzTL44",[2]ARBOR!$A:$C,3,0),0.0001,IF(ET12&gt;VLOOKUP("PCS-OzTL44",[2]ARBOR!$A:$C,3,0),"Maior que CAP!",IF((DOLLAR(ET12+(VLOOKUP("PCS-OzTL44",[2]ARBOR!$A:$C,3,0)*-TRUNC(ET12/VLOOKUP("PCS-OzTL44",[2]ARBOR!$A:$C,3,0)-1,4)),6))&lt;&gt;(DOLLAR(VLOOKUP("PCS-OzTL44",[2]ARBOR!$A:$C,3,0),6)),-TRUNC(ET12/VLOOKUP("PCS-OzTL44",[2]ARBOR!$A:$C,3,0)-1,4)+0.0001,-TRUNC(ET12/VLOOKUP("PCS-OzTL44",[2]ARBOR!$A:$C,3,0)-1,4)))))</f>
        <v/>
      </c>
      <c r="EV12" s="178" t="str">
        <f>IF(ISERROR(IF(EU12="","",VLOOKUP(($AY12&amp;EU12&amp;"Template desconto FLAT Plano Principal Oi TV nível conta"),[2]BENEFICIOS!$A:$G,5,0))),"Criar",IF(EU12="","",VLOOKUP(($AY12&amp;EU12&amp;"Template desconto FLAT Plano Principal Oi TV nível conta"),[2]BENEFICIOS!$A:$G,5,0)))</f>
        <v/>
      </c>
      <c r="EW12" s="103"/>
      <c r="EX12" s="101" t="str">
        <f>IF(EW12=0,"",IF(EW12=VLOOKUP("PCS-OzTL43",[2]ARBOR!$A:$C,3,0),0.0001,IF(EW12&gt;VLOOKUP("PCS-OzTL43",[2]ARBOR!$A:$C,3,0),"Maior que CAP!",IF((DOLLAR(EW12+(VLOOKUP("PCS-OzTL43",[2]ARBOR!$A:$C,3,0)*-TRUNC(EW12/VLOOKUP("PCS-OzTL43",[2]ARBOR!$A:$C,3,0)-1,4)),6))&lt;&gt;(DOLLAR(VLOOKUP("PCS-OzTL43",[2]ARBOR!$A:$C,3,0),6)),-TRUNC(EW12/VLOOKUP("PCS-OzTL43",[2]ARBOR!$A:$C,3,0)-1,4)+0.0001,-TRUNC(EW12/VLOOKUP("PCS-OzTL43",[2]ARBOR!$A:$C,3,0)-1,4)))))</f>
        <v/>
      </c>
      <c r="EY12" s="178" t="str">
        <f>IF(ISERROR(IF(EX12="","",VLOOKUP(($AY12&amp;EX12&amp;"Template desconto FLAT Plano Principal Oi TV nível conta"),[2]BENEFICIOS!$A:$G,5,0))),"Criar",IF(EX12="","",VLOOKUP(($AY12&amp;EX12&amp;"Template desconto FLAT Plano Principal Oi TV nível conta"),[2]BENEFICIOS!$A:$G,5,0)))</f>
        <v/>
      </c>
      <c r="EZ12" s="103"/>
      <c r="FA12" s="101" t="str">
        <f>IF(EZ12=0,"",IF(EZ12=VLOOKUP("PCS-OzTL45",[2]ARBOR!$A:$C,3,0),0.0001,IF(EZ12&gt;VLOOKUP("PCS-OzTL45",[2]ARBOR!$A:$C,3,0),"Maior que CAP!",IF((DOLLAR(EZ12+(VLOOKUP("PCS-OzTL45",[2]ARBOR!$A:$C,3,0)*-TRUNC(EZ12/VLOOKUP("PCS-OzTL45",[2]ARBOR!$A:$C,3,0)-1,4)),6))&lt;&gt;(DOLLAR(VLOOKUP("PCS-OzTL45",[2]ARBOR!$A:$C,3,0),6)),-TRUNC(EZ12/VLOOKUP("PCS-OzTL45",[2]ARBOR!$A:$C,3,0)-1,4)+0.0001,-TRUNC(EZ12/VLOOKUP("PCS-OzTL45",[2]ARBOR!$A:$C,3,0)-1,4)))))</f>
        <v/>
      </c>
      <c r="FB12" s="178" t="str">
        <f>IF(ISERROR(IF(FA12="","",VLOOKUP(($AY12&amp;FA12&amp;"Template desconto FLAT Plano Principal Oi TV nível conta"),[2]BENEFICIOS!$A:$G,5,0))),"Criar",IF(FA12="","",VLOOKUP(($AY12&amp;FA12&amp;"Template desconto FLAT Plano Principal Oi TV nível conta"),[2]BENEFICIOS!$A:$G,5,0)))</f>
        <v/>
      </c>
      <c r="FC12" s="103"/>
      <c r="FD12" s="101" t="str">
        <f>IF(FC12=0,"",IF(FC12=VLOOKUP("PCS-OzTL741",[2]ARBOR!$A:$C,3,0),0.0001,IF(FC12&gt;VLOOKUP("PCS-OzTL741",[2]ARBOR!$A:$C,3,0),"Maior que CAP!",IF((DOLLAR(FC12+(VLOOKUP("PCS-OzTL741",[2]ARBOR!$A:$C,3,0)*-TRUNC(FC12/VLOOKUP("PCS-OzTL741",[2]ARBOR!$A:$C,3,0)-1,4)),6))&lt;&gt;(DOLLAR(VLOOKUP("PCS-OzTL741",[2]ARBOR!$A:$C,3,0),6)),-TRUNC(FC12/VLOOKUP("PCS-OzTL741",[2]ARBOR!$A:$C,3,0)-1,4)+0.0001,-TRUNC(FC12/VLOOKUP("PCS-OzTL741",[2]ARBOR!$A:$C,3,0)-1,4)))))</f>
        <v/>
      </c>
      <c r="FE12" s="178" t="str">
        <f>IF(ISERROR(IF(FD12="","",VLOOKUP(($AY12&amp;FD12&amp;"Template desconto FLAT Plano Principal Oi TV nível conta"),[2]BENEFICIOS!$A:$G,5,0))),"Criar",IF(FD12="","",VLOOKUP(($AY12&amp;FD12&amp;"Template desconto FLAT Plano Principal Oi TV nível conta"),[2]BENEFICIOS!$A:$G,5,0)))</f>
        <v/>
      </c>
      <c r="FF12" s="103"/>
      <c r="FG12" s="101" t="str">
        <f>IF(FF12=0,"",IF(FF12=VLOOKUP("PCS-OzTL744",[2]ARBOR!$A:$C,3,0),0.0001,IF(FF12&gt;VLOOKUP("PCS-OzTL744",[2]ARBOR!$A:$C,3,0),"Maior que CAP!",IF((DOLLAR(FF12+(VLOOKUP("PCS-OzTL744",[2]ARBOR!$A:$C,3,0)*-TRUNC(FF12/VLOOKUP("PCS-OzTL744",[2]ARBOR!$A:$C,3,0)-1,4)),6))&lt;&gt;(DOLLAR(VLOOKUP("PCS-OzTL744",[2]ARBOR!$A:$C,3,0),6)),-TRUNC(FF12/VLOOKUP("PCS-OzTL744",[2]ARBOR!$A:$C,3,0)-1,4)+0.0001,-TRUNC(FF12/VLOOKUP("PCS-OzTL744",[2]ARBOR!$A:$C,3,0)-1,4)))))</f>
        <v/>
      </c>
      <c r="FH12" s="178" t="str">
        <f>IF(ISERROR(IF(FG12="","",VLOOKUP(($AY12&amp;FG12&amp;"Template desconto FLAT Plano Principal Oi TV nível conta"),[2]BENEFICIOS!$A:$G,5,0))),"Criar",IF(FG12="","",VLOOKUP(($AY12&amp;FG12&amp;"Template desconto FLAT Plano Principal Oi TV nível conta"),[2]BENEFICIOS!$A:$G,5,0)))</f>
        <v/>
      </c>
      <c r="FI12" s="103"/>
      <c r="FJ12" s="101" t="str">
        <f>IF(FI12=0,"",IF(FI12=VLOOKUP("PCS-OzTL743",[2]ARBOR!$A:$C,3,0),0.0001,IF(FI12&gt;VLOOKUP("PCS-OzTL743",[2]ARBOR!$A:$C,3,0),"Maior que CAP!",IF((DOLLAR(FI12+(VLOOKUP("PCS-OzTL743",[2]ARBOR!$A:$C,3,0)*-TRUNC(FI12/VLOOKUP("PCS-OzTL743",[2]ARBOR!$A:$C,3,0)-1,4)),6))&lt;&gt;(DOLLAR(VLOOKUP("PCS-OzTL743",[2]ARBOR!$A:$C,3,0),6)),-TRUNC(FI12/VLOOKUP("PCS-OzTL743",[2]ARBOR!$A:$C,3,0)-1,4)+0.0001,-TRUNC(FI12/VLOOKUP("PCS-OzTL743",[2]ARBOR!$A:$C,3,0)-1,4)))))</f>
        <v/>
      </c>
      <c r="FK12" s="178" t="str">
        <f>IF(ISERROR(IF(FJ12="","",VLOOKUP(($AY12&amp;FJ12&amp;"Template desconto FLAT Plano Principal Oi TV nível conta"),[2]BENEFICIOS!$A:$G,5,0))),"Criar",IF(FJ12="","",VLOOKUP(($AY12&amp;FJ12&amp;"Template desconto FLAT Plano Principal Oi TV nível conta"),[2]BENEFICIOS!$A:$G,5,0)))</f>
        <v/>
      </c>
      <c r="FL12" s="103"/>
      <c r="FM12" s="101" t="str">
        <f>IF(FL12=0,"",IF(FL12=VLOOKUP("PCS-OzTL745",[2]ARBOR!$A:$C,3,0),0.0001,IF(FL12&gt;VLOOKUP("PCS-OzTL745",[2]ARBOR!$A:$C,3,0),"Maior que CAP!",IF((DOLLAR(FL12+(VLOOKUP("PCS-OzTL745",[2]ARBOR!$A:$C,3,0)*-TRUNC(FL12/VLOOKUP("PCS-OzTL745",[2]ARBOR!$A:$C,3,0)-1,4)),6))&lt;&gt;(DOLLAR(VLOOKUP("PCS-OzTL745",[2]ARBOR!$A:$C,3,0),6)),-TRUNC(FL12/VLOOKUP("PCS-OzTL745",[2]ARBOR!$A:$C,3,0)-1,4)+0.0001,-TRUNC(FL12/VLOOKUP("PCS-OzTL745",[2]ARBOR!$A:$C,3,0)-1,4)))))</f>
        <v/>
      </c>
      <c r="FN12" s="178" t="str">
        <f>IF(ISERROR(IF(FM12="","",VLOOKUP(($AY12&amp;FM12&amp;"Template desconto FLAT Plano Principal Oi TV nível conta"),[2]BENEFICIOS!$A:$G,5,0))),"Criar",IF(FM12="","",VLOOKUP(($AY12&amp;FM12&amp;"Template desconto FLAT Plano Principal Oi TV nível conta"),[2]BENEFICIOS!$A:$G,5,0)))</f>
        <v/>
      </c>
      <c r="FO12" s="103"/>
      <c r="FP12" s="101" t="str">
        <f>IF(FO12=0,"",IF(FO12=VLOOKUP("PCS-OzTL42",[2]ARBOR!$A:$C,3,0),0.0001,IF(FO12&gt;VLOOKUP("PCS-OzTL42",[2]ARBOR!$A:$C,3,0),"Maior que CAP!",IF((DOLLAR(FO12+(VLOOKUP("PCS-OzTL42",[2]ARBOR!$A:$C,3,0)*-TRUNC(FO12/VLOOKUP("PCS-OzTL42",[2]ARBOR!$A:$C,3,0)-1,4)),6))&lt;&gt;(DOLLAR(VLOOKUP("PCS-OzTL42",[2]ARBOR!$A:$C,3,0),6)),-TRUNC(FO12/VLOOKUP("PCS-OzTL42",[2]ARBOR!$A:$C,3,0)-1,4)+0.0001,-TRUNC(FO12/VLOOKUP("PCS-OzTL42",[2]ARBOR!$A:$C,3,0)-1,4)))))</f>
        <v/>
      </c>
      <c r="FQ12" s="178" t="str">
        <f>IF(ISERROR(IF(FP12="","",VLOOKUP(($AY12&amp;FP12&amp;"Template desconto FLAT Plano Principal Oi TV nível conta"),[2]BENEFICIOS!$A:$G,5,0))),"Criar",IF(FP12="","",VLOOKUP(($AY12&amp;FP12&amp;"Template desconto FLAT Plano Principal Oi TV nível conta"),[2]BENEFICIOS!$A:$G,5,0)))</f>
        <v/>
      </c>
      <c r="FR12" s="103">
        <v>149.9</v>
      </c>
      <c r="FS12" s="101">
        <f>IF(FR12=0,"",IF(FR12=VLOOKUP("PCS-OzTL47",[2]ARBOR!$A:$C,3,0),0.0001,IF(FR12&gt;VLOOKUP("PCS-OzTL47",[2]ARBOR!$A:$C,3,0),"Maior que CAP!",IF((DOLLAR(FR12+(VLOOKUP("PCS-OzTL47",[2]ARBOR!$A:$C,3,0)*-TRUNC(FR12/VLOOKUP("PCS-OzTL47",[2]ARBOR!$A:$C,3,0)-1,4)),6))&lt;&gt;(DOLLAR(VLOOKUP("PCS-OzTL47",[2]ARBOR!$A:$C,3,0),6)),-TRUNC(FR12/VLOOKUP("PCS-OzTL47",[2]ARBOR!$A:$C,3,0)-1,4)+0.0001,-TRUNC(FR12/VLOOKUP("PCS-OzTL47",[2]ARBOR!$A:$C,3,0)-1,4)))))</f>
        <v>0.26389999999999997</v>
      </c>
      <c r="FT12" s="178" t="str">
        <f>IF(ISERROR(IF(FS12="","",VLOOKUP(($AY12&amp;FS12&amp;"Template desconto FLAT Plano Principal Oi TV nível conta"),[2]BENEFICIOS!$A:$G,5,0))),"Criar",IF(FS12="","",VLOOKUP(($AY12&amp;FS12&amp;"Template desconto FLAT Plano Principal Oi TV nível conta"),[2]BENEFICIOS!$A:$G,5,0)))</f>
        <v>MKT-1-10140957431</v>
      </c>
      <c r="FU12" s="103"/>
      <c r="FV12" s="101" t="str">
        <f>IF(FU12=0,"",IF(FU12=VLOOKUP("PCS-OzTL46",[2]ARBOR!$A:$C,3,0),0.0001,IF(FU12&gt;VLOOKUP("PCS-OzTL46",[2]ARBOR!$A:$C,3,0),"Maior que CAP!",IF((DOLLAR(FU12+(VLOOKUP("PCS-OzTL46",[2]ARBOR!$A:$C,3,0)*-TRUNC(FU12/VLOOKUP("PCS-OzTL46",[2]ARBOR!$A:$C,3,0)-1,4)),6))&lt;&gt;(DOLLAR(VLOOKUP("PCS-OzTL46",[2]ARBOR!$A:$C,3,0),6)),-TRUNC(FU12/VLOOKUP("PCS-OzTL46",[2]ARBOR!$A:$C,3,0)-1,4)+0.0001,-TRUNC(FU12/VLOOKUP("PCS-OzTL46",[2]ARBOR!$A:$C,3,0)-1,4)))))</f>
        <v/>
      </c>
      <c r="FW12" s="178" t="str">
        <f>IF(ISERROR(IF(FV12="","",VLOOKUP(($AY12&amp;FV12&amp;"Template desconto FLAT Plano Principal Oi TV nível conta"),[2]BENEFICIOS!$A:$G,5,0))),"Criar",IF(FV12="","",VLOOKUP(($AY12&amp;FV12&amp;"Template desconto FLAT Plano Principal Oi TV nível conta"),[2]BENEFICIOS!$A:$G,5,0)))</f>
        <v/>
      </c>
      <c r="FX12" s="103"/>
      <c r="FY12" s="101" t="str">
        <f>IF(FX12=0,"",IF(FX12=VLOOKUP("PCS-OzTL48",[2]ARBOR!$A:$C,3,0),0.0001,IF(FX12&gt;VLOOKUP("PCS-OzTL48",[2]ARBOR!$A:$C,3,0),"Maior que CAP!",IF((DOLLAR(FX12+(VLOOKUP("PCS-OzTL48",[2]ARBOR!$A:$C,3,0)*-TRUNC(FX12/VLOOKUP("PCS-OzTL48",[2]ARBOR!$A:$C,3,0)-1,4)),6))&lt;&gt;(DOLLAR(VLOOKUP("PCS-OzTL48",[2]ARBOR!$A:$C,3,0),6)),-TRUNC(FX12/VLOOKUP("PCS-OzTL48",[2]ARBOR!$A:$C,3,0)-1,4)+0.0001,-TRUNC(FX12/VLOOKUP("PCS-OzTL48",[2]ARBOR!$A:$C,3,0)-1,4)))))</f>
        <v/>
      </c>
      <c r="FZ12" s="178" t="str">
        <f>IF(ISERROR(IF(FY12="","",VLOOKUP(($AY12&amp;FY12&amp;"Template desconto FLAT Plano Principal Oi TV nível conta"),[2]BENEFICIOS!$A:$G,5,0))),"Criar",IF(FY12="","",VLOOKUP(($AY12&amp;FY12&amp;"Template desconto FLAT Plano Principal Oi TV nível conta"),[2]BENEFICIOS!$A:$G,5,0)))</f>
        <v/>
      </c>
      <c r="GA12" s="103"/>
      <c r="GB12" s="101" t="str">
        <f>IF(GA12=0,"",IF(GA12=VLOOKUP("PCS-OzTL742",[2]ARBOR!$A:$C,3,0),0.0001,IF(GA12&gt;VLOOKUP("PCS-OzTL742",[2]ARBOR!$A:$C,3,0),"Maior que CAP!",IF((DOLLAR(GA12+(VLOOKUP("PCS-OzTL742",[2]ARBOR!$A:$C,3,0)*-TRUNC(GA12/VLOOKUP("PCS-OzTL742",[2]ARBOR!$A:$C,3,0)-1,4)),6))&lt;&gt;(DOLLAR(VLOOKUP("PCS-OzTL742",[2]ARBOR!$A:$C,3,0),6)),-TRUNC(GA12/VLOOKUP("PCS-OzTL742",[2]ARBOR!$A:$C,3,0)-1,4)+0.0001,-TRUNC(GA12/VLOOKUP("PCS-OzTL742",[2]ARBOR!$A:$C,3,0)-1,4)))))</f>
        <v/>
      </c>
      <c r="GC12" s="178" t="str">
        <f>IF(ISERROR(IF(GB12="","",VLOOKUP(($AY12&amp;GB12&amp;"Template desconto FLAT Plano Principal Oi TV nível conta"),[2]BENEFICIOS!$A:$G,5,0))),"Criar",IF(GB12="","",VLOOKUP(($AY12&amp;GB12&amp;"Template desconto FLAT Plano Principal Oi TV nível conta"),[2]BENEFICIOS!$A:$G,5,0)))</f>
        <v/>
      </c>
      <c r="GD12" s="103">
        <v>169.9</v>
      </c>
      <c r="GE12" s="101">
        <f>IF(GD12=0,"",IF(GD12=VLOOKUP("PCS-OzTL747",[2]ARBOR!$A:$C,3,0),0.0001,IF(GD12&gt;VLOOKUP("PCS-OzTL747",[2]ARBOR!$A:$C,3,0),"Maior que CAP!",IF((DOLLAR(GD12+(VLOOKUP("PCS-OzTL747",[2]ARBOR!$A:$C,3,0)*-TRUNC(GD12/VLOOKUP("PCS-OzTL747",[2]ARBOR!$A:$C,3,0)-1,4)),6))&lt;&gt;(DOLLAR(VLOOKUP("PCS-OzTL747",[2]ARBOR!$A:$C,3,0),6)),-TRUNC(GD12/VLOOKUP("PCS-OzTL747",[2]ARBOR!$A:$C,3,0)-1,4)+0.0001,-TRUNC(GD12/VLOOKUP("PCS-OzTL747",[2]ARBOR!$A:$C,3,0)-1,4)))))</f>
        <v>0.34329999999999999</v>
      </c>
      <c r="GF12" s="178" t="str">
        <f>IF(ISERROR(IF(GE12="","",VLOOKUP(($AY12&amp;GE12&amp;"Template desconto FLAT Plano Principal Oi TV nível conta"),[2]BENEFICIOS!$A:$G,5,0))),"Criar",IF(GE12="","",VLOOKUP(($AY12&amp;GE12&amp;"Template desconto FLAT Plano Principal Oi TV nível conta"),[2]BENEFICIOS!$A:$G,5,0)))</f>
        <v>MKT-1-10140956051</v>
      </c>
      <c r="GG12" s="103"/>
      <c r="GH12" s="101" t="str">
        <f>IF(GG12=0,"",IF(GG12=VLOOKUP("PCS-OzTL746",[2]ARBOR!$A:$C,3,0),0.0001,IF(GG12&gt;VLOOKUP("PCS-OzTL746",[2]ARBOR!$A:$C,3,0),"Maior que CAP!",IF((DOLLAR(GG12+(VLOOKUP("PCS-OzTL746",[2]ARBOR!$A:$C,3,0)*-TRUNC(GG12/VLOOKUP("PCS-OzTL746",[2]ARBOR!$A:$C,3,0)-1,4)),6))&lt;&gt;(DOLLAR(VLOOKUP("PCS-OzTL746",[2]ARBOR!$A:$C,3,0),6)),-TRUNC(GG12/VLOOKUP("PCS-OzTL746",[2]ARBOR!$A:$C,3,0)-1,4)+0.0001,-TRUNC(GG12/VLOOKUP("PCS-OzTL746",[2]ARBOR!$A:$C,3,0)-1,4)))))</f>
        <v/>
      </c>
      <c r="GI12" s="178" t="str">
        <f>IF(ISERROR(IF(GH12="","",VLOOKUP(($AY12&amp;GH12&amp;"Template desconto FLAT Plano Principal Oi TV nível conta"),[2]BENEFICIOS!$A:$G,5,0))),"Criar",IF(GH12="","",VLOOKUP(($AY12&amp;GH12&amp;"Template desconto FLAT Plano Principal Oi TV nível conta"),[2]BENEFICIOS!$A:$G,5,0)))</f>
        <v/>
      </c>
      <c r="GJ12" s="103"/>
      <c r="GK12" s="101" t="str">
        <f>IF(GJ12=0,"",IF(GJ12=VLOOKUP("PCS-OzTL748",[2]ARBOR!$A:$C,3,0),0.0001,IF(GJ12&gt;VLOOKUP("PCS-OzTL748",[2]ARBOR!$A:$C,3,0),"Maior que CAP!",IF((DOLLAR(GJ12+(VLOOKUP("PCS-OzTL748",[2]ARBOR!$A:$C,3,0)*-TRUNC(GJ12/VLOOKUP("PCS-OzTL748",[2]ARBOR!$A:$C,3,0)-1,4)),6))&lt;&gt;(DOLLAR(VLOOKUP("PCS-OzTL748",[2]ARBOR!$A:$C,3,0),6)),-TRUNC(GJ12/VLOOKUP("PCS-OzTL748",[2]ARBOR!$A:$C,3,0)-1,4)+0.0001,-TRUNC(GJ12/VLOOKUP("PCS-OzTL748",[2]ARBOR!$A:$C,3,0)-1,4)))))</f>
        <v/>
      </c>
      <c r="GL12" s="178" t="str">
        <f>IF(ISERROR(IF(GK12="","",VLOOKUP(($AY12&amp;GK12&amp;"Template desconto FLAT Plano Principal Oi TV nível conta"),[2]BENEFICIOS!$A:$G,5,0))),"Criar",IF(GK12="","",VLOOKUP(($AY12&amp;GK12&amp;"Template desconto FLAT Plano Principal Oi TV nível conta"),[2]BENEFICIOS!$A:$G,5,0)))</f>
        <v/>
      </c>
      <c r="GM12" s="103">
        <v>75</v>
      </c>
      <c r="GN12" s="101">
        <f>IF(GM12=0,"",IF(GM12=VLOOKUP("PCS-OzTL34",[2]ARBOR!$A:$C,3,0),0.0001,IF(GM12&gt;VLOOKUP("PCS-OzTL34",[2]ARBOR!$A:$C,3,0),"Maior que CAP!",IF((DOLLAR(GM12+(VLOOKUP("PCS-OzTL34",[2]ARBOR!$A:$C,3,0)*-TRUNC(GM12/VLOOKUP("PCS-OzTL34",[2]ARBOR!$A:$C,3,0)-1,4)),6))&lt;&gt;(DOLLAR(VLOOKUP("PCS-OzTL34",[2]ARBOR!$A:$C,3,0),6)),-TRUNC(GM12/VLOOKUP("PCS-OzTL34",[2]ARBOR!$A:$C,3,0)-1,4)+0.0001,-TRUNC(GM12/VLOOKUP("PCS-OzTL34",[2]ARBOR!$A:$C,3,0)-1,4)))))</f>
        <v>0.31900000000000001</v>
      </c>
      <c r="GO12" s="178" t="s">
        <v>178</v>
      </c>
      <c r="GP12" s="103">
        <v>19.899999999999999</v>
      </c>
      <c r="GQ12" s="101">
        <f>IF(GP12=0,"",IF(GP12=VLOOKUP("PCS-OzTL31",[2]ARBOR!$A:$C,3,0),0.0001,IF(GP12&gt;VLOOKUP("PCS-OzTL31",[2]ARBOR!$A:$C,3,0),"Maior que CAP!",IF((DOLLAR(GP12+(VLOOKUP("PCS-OzTL31",[2]ARBOR!$A:$C,3,0)*-TRUNC(GP12/VLOOKUP("PCS-OzTL31",[2]ARBOR!$A:$C,3,0)-1,4)),6))&lt;&gt;(DOLLAR(VLOOKUP("PCS-OzTL31",[2]ARBOR!$A:$C,3,0),6)),-TRUNC(GP12/VLOOKUP("PCS-OzTL31",[2]ARBOR!$A:$C,3,0)-1,4)+0.0001,-TRUNC(GP12/VLOOKUP("PCS-OzTL31",[2]ARBOR!$A:$C,3,0)-1,4)))))</f>
        <v>9.1800000000000007E-2</v>
      </c>
      <c r="GR12" s="178" t="s">
        <v>179</v>
      </c>
      <c r="GS12" s="103">
        <v>19.899999999999999</v>
      </c>
      <c r="GT12" s="101">
        <f>IF(GS12=0,"",IF(GS12=VLOOKUP("PCS-OzTL32",[2]ARBOR!$A:$C,3,0),0.0001,IF(GS12&gt;VLOOKUP("PCS-OzTL32",[2]ARBOR!$A:$C,3,0),"Maior que CAP!",IF((DOLLAR(GS12+(VLOOKUP("PCS-OzTL32",[2]ARBOR!$A:$C,3,0)*-TRUNC(GS12/VLOOKUP("PCS-OzTL32",[2]ARBOR!$A:$C,3,0)-1,4)),6))&lt;&gt;(DOLLAR(VLOOKUP("PCS-OzTL32",[2]ARBOR!$A:$C,3,0),6)),-TRUNC(GS12/VLOOKUP("PCS-OzTL32",[2]ARBOR!$A:$C,3,0)-1,4)+0.0001,-TRUNC(GS12/VLOOKUP("PCS-OzTL32",[2]ARBOR!$A:$C,3,0)-1,4)))))</f>
        <v>9.1800000000000007E-2</v>
      </c>
      <c r="GU12" s="178" t="s">
        <v>180</v>
      </c>
      <c r="GV12" s="103">
        <v>29.9</v>
      </c>
      <c r="GW12" s="101">
        <f>IF(GV12=0,"",IF(GV12=VLOOKUP("PCS-OzTL33",[2]ARBOR!$A:$C,3,0),0.0001,IF(GV12&gt;VLOOKUP("PCS-OzTL33",[2]ARBOR!$A:$C,3,0),"Maior que CAP!",IF((DOLLAR(GV12+(VLOOKUP("PCS-OzTL33",[2]ARBOR!$A:$C,3,0)*-TRUNC(GV12/VLOOKUP("PCS-OzTL33",[2]ARBOR!$A:$C,3,0)-1,4)),6))&lt;&gt;(DOLLAR(VLOOKUP("PCS-OzTL33",[2]ARBOR!$A:$C,3,0),6)),-TRUNC(GV12/VLOOKUP("PCS-OzTL33",[2]ARBOR!$A:$C,3,0)-1,4)+0.0001,-TRUNC(GV12/VLOOKUP("PCS-OzTL33",[2]ARBOR!$A:$C,3,0)-1,4)))))</f>
        <v>9.1800000000000007E-2</v>
      </c>
      <c r="GX12" s="178" t="s">
        <v>181</v>
      </c>
      <c r="GY12" s="103">
        <v>14.9</v>
      </c>
      <c r="GZ12" s="101">
        <f>IF(GY12=0,"",IF(GY12=VLOOKUP("PCS-OzTL503",[2]ARBOR!$A:$C,3,0),0.0001,IF(GY12&gt;VLOOKUP("PCS-OzTL503",[2]ARBOR!$A:$C,3,0),"Maior que CAP!",IF((DOLLAR(GY12+(VLOOKUP("PCS-OzTL503",[2]ARBOR!$A:$C,3,0)*-TRUNC(GY12/VLOOKUP("PCS-OzTL503",[2]ARBOR!$A:$C,3,0)-1,4)),6))&lt;&gt;(DOLLAR(VLOOKUP("PCS-OzTL503",[2]ARBOR!$A:$C,3,0),6)),-TRUNC(GY12/VLOOKUP("PCS-OzTL503",[2]ARBOR!$A:$C,3,0)-1,4)+0.0001,-TRUNC(GY12/VLOOKUP("PCS-OzTL503",[2]ARBOR!$A:$C,3,0)-1,4)))))</f>
        <v>9.1499999999999998E-2</v>
      </c>
      <c r="HA12" s="178" t="s">
        <v>182</v>
      </c>
      <c r="HB12" s="103">
        <v>10</v>
      </c>
      <c r="HC12" s="101">
        <f>IF(HB12=0,"",IF(HB12=VLOOKUP("PCS-OzTL500",[2]ARBOR!$A:$C,3,0),0.0001,IF(HB12&gt;VLOOKUP("PCS-OzTL500",[2]ARBOR!$A:$C,3,0),"Maior que CAP!",IF((DOLLAR(HB12+(VLOOKUP("PCS-OzTL500",[2]ARBOR!$A:$C,3,0)*-TRUNC(HB12/VLOOKUP("PCS-OzTL500",[2]ARBOR!$A:$C,3,0)-1,4)),6))&lt;&gt;(DOLLAR(VLOOKUP("PCS-OzTL500",[2]ARBOR!$A:$C,3,0),6)),-TRUNC(HB12/VLOOKUP("PCS-OzTL500",[2]ARBOR!$A:$C,3,0)-1,4)+0.0001,-TRUNC(HB12/VLOOKUP("PCS-OzTL500",[2]ARBOR!$A:$C,3,0)-1,4)))))</f>
        <v>9.1800000000000007E-2</v>
      </c>
      <c r="HD12" s="178" t="s">
        <v>183</v>
      </c>
      <c r="HE12" s="103" t="s">
        <v>184</v>
      </c>
      <c r="HF12" s="101"/>
      <c r="HG12" s="178"/>
      <c r="HH12" s="103" t="s">
        <v>185</v>
      </c>
      <c r="HI12" s="101"/>
      <c r="HJ12" s="178"/>
      <c r="HK12" s="103" t="s">
        <v>186</v>
      </c>
      <c r="HL12" s="101"/>
      <c r="HM12" s="178"/>
      <c r="HN12" s="103" t="s">
        <v>187</v>
      </c>
      <c r="HO12" s="101"/>
      <c r="HP12" s="178"/>
      <c r="HQ12" s="103" t="s">
        <v>188</v>
      </c>
      <c r="HR12" s="101"/>
      <c r="HS12" s="178"/>
      <c r="HT12" s="103">
        <v>24.9</v>
      </c>
      <c r="HU12" s="101">
        <f>IF(HT12=0,"",IF(HT12=VLOOKUP("PCS-OzTL99",[2]ARBOR!$A:$C,3,0),0.0001,IF(HT12&gt;VLOOKUP("PCS-OzTL99",[2]ARBOR!$A:$C,3,0),"Maior que CAP!",IF((DOLLAR(HT12+(VLOOKUP("PCS-OzTL99",[2]ARBOR!$A:$C,3,0)*-TRUNC(HT12/VLOOKUP("PCS-OzTL99",[2]ARBOR!$A:$C,3,0)-1,4)),6))&lt;&gt;(DOLLAR(VLOOKUP("PCS-OzTL99",[2]ARBOR!$A:$C,3,0),6)),-TRUNC(HT12/VLOOKUP("PCS-OzTL99",[2]ARBOR!$A:$C,3,0)-1,4)+0.0001,-TRUNC(HT12/VLOOKUP("PCS-OzTL99",[2]ARBOR!$A:$C,3,0)-1,4)))))</f>
        <v>0.16729999999999998</v>
      </c>
      <c r="HV12" s="179" t="s">
        <v>189</v>
      </c>
      <c r="HW12" s="170" t="s">
        <v>167</v>
      </c>
      <c r="HX12" s="178" t="str">
        <f t="shared" si="4"/>
        <v>PCS-34704</v>
      </c>
      <c r="HY12" s="180" t="str">
        <f>IFERROR((IF(AZ12="","",VLOOKUP(AZ12,[2]ARBOR!A:C,3,0))),"")</f>
        <v/>
      </c>
      <c r="HZ12" s="181"/>
      <c r="IA12" s="158" t="str">
        <f>IF(HZ12="","",ROUND(1-(HZ12/VLOOKUP(AZ12&amp;"ASS",[2]ARBOR!A:C,3,0)),4))</f>
        <v/>
      </c>
      <c r="IB12" s="158"/>
      <c r="IC12" s="182"/>
      <c r="ID12" s="183"/>
      <c r="IE12" s="101" t="str">
        <f>IF(ID12="","",ROUND(IF(ID12=0,"",IF(ID12=HY12,0.0001,1-((ID12+(VLOOKUP(AZ12&amp;"ASS",[2]ARBOR!A:C,3,0)-HZ12))/HY12))),4))</f>
        <v/>
      </c>
      <c r="IF12" s="101" t="str">
        <f>IF(ISERROR(IF(IE12="","",VLOOKUP(($AY12&amp;IE12&amp;"Template de desconto percentual FLAT Móvel - Conta Total - Varejo - Ganho Tributário Cross"),[2]BENEFICIOS!$A:$E,5,0))),"Criar",IF(IE12="","",VLOOKUP(($AY12&amp;IE12&amp;"Template de desconto percentual FLAT Móvel - Conta Total - Varejo - Ganho Tributário Cross"),[2]BENEFICIOS!$A:$E,5,0)))</f>
        <v/>
      </c>
      <c r="IG12" s="167"/>
      <c r="IH12" s="101"/>
      <c r="II12" s="184"/>
      <c r="IJ12" s="185"/>
      <c r="IK12" s="101"/>
      <c r="IL12" s="101"/>
      <c r="IM12" s="186"/>
      <c r="IN12" s="186"/>
      <c r="IO12" s="187"/>
      <c r="IP12" s="188" t="str">
        <f>IF(IO12=0,"",IF(IO12=VLOOKUP("PCS-813566",[2]ARBOR!$A:$C,3,0),0.0001,IF(IO12&gt;VLOOKUP("PCS-813566",[2]ARBOR!$A:$C,3,0),"Maior que CAP!",ROUND(-1*(IO12/VLOOKUP("PCS-813566",[2]ARBOR!$A:$C,3,0)-1),4))))</f>
        <v/>
      </c>
      <c r="IQ12" s="189" t="str">
        <f>IF(ISERROR(IF(IP12="","",VLOOKUP(("Oi Internet Pra Celular 300MB"&amp;IP12&amp;"Template Flat Instância Dados"),[2]BENEFICIOS!$A:$E,5,0))),"Criar",IF(IP12="","",VLOOKUP(("Oi Internet Pra Celular 300MB"&amp;IP12&amp;"Template Flat Instância Dados"),[2]BENEFICIOS!$A:$E,5,0)))</f>
        <v/>
      </c>
      <c r="IR12" s="190"/>
      <c r="IS12" s="191" t="str">
        <f>IF(IR12=0,"",IF(IR12=VLOOKUP("sva_bancas",[2]ARBOR!$A:$C,3,0),0.0001,IF(IR12&gt;VLOOKUP("sva_livros",[2]ARBOR!$A:$C,3,0),"Maior que CAP!",ROUND(-1*(IR12/VLOOKUP("sva_bancas",[2]ARBOR!$A:$C,3,0)-1),4))))</f>
        <v/>
      </c>
      <c r="IT12" s="192" t="str">
        <f>IF(ISERROR(IF(IS12="","",VLOOKUP(("Oi Internet Pra Celular 300MB"&amp;IS12&amp;"Template Desconto % SVA DADOS B2C"),[2]BENEFICIOS!$A:$E,5,0))),"Criar",IF(IS12="","",VLOOKUP(("Oi Internet Pra Celular 300MB"&amp;IS12&amp;"Template Desconto % SVA DADOS B2C"),[2]BENEFICIOS!$A:$E,5,0)))</f>
        <v/>
      </c>
      <c r="IU12" s="187"/>
      <c r="IV12" s="188" t="str">
        <f>IF(IU12=0,"",IF(IU12=VLOOKUP("PCS-813564",[2]ARBOR!$A:$C,3,0),0.0001,IF(IU12&gt;VLOOKUP("PCS-813564",[2]ARBOR!$A:$C,3,0),"Maior que CAP!",ROUND(-1*(IU12/VLOOKUP("PCS-813564",[2]ARBOR!$A:$C,3,0)-1),4))))</f>
        <v/>
      </c>
      <c r="IW12" s="189" t="str">
        <f>IF(ISERROR(IF(IV12="","",VLOOKUP(("Oi Internet Pra Celular 500MB"&amp;IV12&amp;"Template Flat Instância Dados"),[2]BENEFICIOS!$A:$E,5,0))),"Criar",IF(IV12="","",VLOOKUP(("Oi Internet Pra Celular 500MB"&amp;IV12&amp;"Template Flat Instância Dados"),[2]BENEFICIOS!$A:$E,5,0)))</f>
        <v/>
      </c>
      <c r="IX12" s="190"/>
      <c r="IY12" s="191" t="str">
        <f>IF(IX12=0,"",IF(IX12=VLOOKUP("sva_livros",[2]ARBOR!$A:$C,3,0),0.0001,IF(IX12&gt;VLOOKUP("sva_livros",[2]ARBOR!$A:$C,3,0),"Maior que CAP!",ROUND(-1*(IX12/VLOOKUP("sva_livros",[2]ARBOR!$A:$C,3,0)-1),4))))</f>
        <v/>
      </c>
      <c r="IZ12" s="192" t="str">
        <f>IF(ISERROR(IF(IY12="","",VLOOKUP(("Oi Internet Pra Celular 500MB"&amp;IY12&amp;"Template Desconto % SVA DADOS B2C"),[2]BENEFICIOS!$A:$E,5,0))),"Criar",IF(IY12="","",VLOOKUP(("Oi Internet Pra Celular 500MB"&amp;IY12&amp;"Template Desconto % SVA DADOS B2C"),[2]BENEFICIOS!$A:$E,5,0)))</f>
        <v/>
      </c>
      <c r="JA12" s="187"/>
      <c r="JB12" s="188" t="str">
        <f>IF(JA12=0,"",IF(JA12=VLOOKUP("PCS-10357",[2]ARBOR!$A:$C,3,0),0.0001,IF(JA12&gt;VLOOKUP("PCS-10357",[2]ARBOR!$A:$C,3,0),"Maior que CAP!",ROUND(-1*(JA12/VLOOKUP("PCS-10357",[2]ARBOR!$A:$C,3,0)-1),4))))</f>
        <v/>
      </c>
      <c r="JC12" s="189" t="str">
        <f>IF(ISERROR(IF(JB12="","",VLOOKUP(("Oi Internet Pra Celular 1GB"&amp;JB12&amp;"Template Flat Instância Dados"),[2]BENEFICIOS!$A:$E,5,0))),"Criar",IF(JB12="","",VLOOKUP(("Oi Internet Pra Celular 1GB"&amp;JB12&amp;"Template Flat Instância Dados"),[2]BENEFICIOS!$A:$E,5,0)))</f>
        <v/>
      </c>
      <c r="JD12" s="190"/>
      <c r="JE12" s="191" t="str">
        <f>IF(JD12=0,"",IF(JD12=VLOOKUP("sva_livros",[2]ARBOR!$A:$C,3,0),0.0001,IF(JD12&gt;VLOOKUP("sva_livros",[2]ARBOR!$A:$C,3,0),"Maior que CAP!",ROUND(-1*(JD12/VLOOKUP("sva_livros",[2]ARBOR!$A:$C,3,0)-1),4))))</f>
        <v/>
      </c>
      <c r="JF12" s="192" t="str">
        <f>IF(ISERROR(IF(JE12="","",VLOOKUP(("Oi Internet Pra Celular 1GB"&amp;JE12&amp;"Template Desconto % SVA DADOS B2C"),[2]BENEFICIOS!$A:$E,5,0))),"Criar",IF(JE12="","",VLOOKUP(("Oi Internet Pra Celular 1GB"&amp;JE12&amp;"Template Desconto % SVA DADOS B2C"),[2]BENEFICIOS!$A:$E,5,0)))</f>
        <v/>
      </c>
      <c r="JG12" s="187"/>
      <c r="JH12" s="188" t="str">
        <f>IF(JG12=0,"",IF(JG12=VLOOKUP("PCS-813565",[2]ARBOR!$A:$C,3,0),0.0001,IF(JG12&gt;VLOOKUP("PCS-813565",[2]ARBOR!$A:$C,3,0),"Maior que CAP!",ROUND(-1*(JG12/VLOOKUP("PCS-813565",[2]ARBOR!$A:$C,3,0)-1),4))))</f>
        <v/>
      </c>
      <c r="JI12" s="189" t="str">
        <f>IF(ISERROR(IF(JH12="","",VLOOKUP(("Oi Internet Pra Celular 2GB"&amp;JH12&amp;"Template Flat Instância Dados"),[2]BENEFICIOS!$A:$E,5,0))),"Criar",IF(JH12="","",VLOOKUP(("Oi Internet Pra Celular 2GB"&amp;JH12&amp;"Template Flat Instância Dados"),[2]BENEFICIOS!$A:$E,5,0)))</f>
        <v/>
      </c>
      <c r="JJ12" s="190"/>
      <c r="JK12" s="191" t="str">
        <f>IF(JJ12=0,"",IF(JJ12=VLOOKUP("sva_livros",[2]ARBOR!$A:$C,3,0),0.0001,IF(JJ12&gt;VLOOKUP("sva_livros",[2]ARBOR!$A:$C,3,0),"Maior que CAP!",ROUND(-1*(JJ12/VLOOKUP("sva_livros",[2]ARBOR!$A:$C,3,0)-1),4))))</f>
        <v/>
      </c>
      <c r="JL12" s="192" t="str">
        <f>IF(ISERROR(IF(JK12="","",VLOOKUP(("Oi Internet Pra Celular 2GB"&amp;JK12&amp;"Template Desconto % SVA DADOS B2C"),[2]BENEFICIOS!$A:$E,5,0))),"Criar",IF(JK12="","",VLOOKUP(("Oi Internet Pra Celular 2GB"&amp;JK12&amp;"Template Desconto % SVA DADOS B2C"),[2]BENEFICIOS!$A:$E,5,0)))</f>
        <v/>
      </c>
      <c r="JM12" s="187"/>
      <c r="JN12" s="188" t="str">
        <f>IF(JM12=0,"",IF(JM12=VLOOKUP("PCS-7171B",[2]ARBOR!$A:$C,3,0),0.0001,IF(JM12&gt;VLOOKUP("PCS-7171B",[2]ARBOR!$A:$C,3,0),"Maior que CAP!",ROUND(-1*(JM12/VLOOKUP("PCS-7171B",[2]ARBOR!$A:$C,3,0)-1),4))))</f>
        <v/>
      </c>
      <c r="JO12" s="189" t="str">
        <f>IF(ISERROR(IF(JN12="","",VLOOKUP(("Oi Internet Pra Celular 3GB"&amp;JN12&amp;"Template Flat Instância Dados"),[2]BENEFICIOS!$A:$E,5,0))),"Criar",IF(JN12="","",VLOOKUP(("Oi Internet Pra Celular 3GB"&amp;JN12&amp;"Template Flat Instância Dados"),[2]BENEFICIOS!$A:$E,5,0)))</f>
        <v/>
      </c>
      <c r="JP12" s="190"/>
      <c r="JQ12" s="191" t="str">
        <f>IF(JP12=0,"",IF(JP12=VLOOKUP("sva_livros",[2]ARBOR!$A:$C,3,0),0.0001,IF(JP12&gt;VLOOKUP("sva_livros",[2]ARBOR!$A:$C,3,0),"Maior que CAP!",ROUND(-1*(JP12/VLOOKUP("sva_livros",[2]ARBOR!$A:$C,3,0)-1),4))))</f>
        <v/>
      </c>
      <c r="JR12" s="192" t="str">
        <f>IF(ISERROR(IF(JQ12="","",VLOOKUP(("Oi Internet Pra Celular 3GB"&amp;JQ12&amp;"Template Desconto % SVA DADOS B2C"),[2]BENEFICIOS!$A:$E,5,0))),"Criar",IF(JQ12="","",VLOOKUP(("Oi Internet Pra Celular 3GB"&amp;JQ12&amp;"Template Desconto % SVA DADOS B2C"),[2]BENEFICIOS!$A:$E,5,0)))</f>
        <v/>
      </c>
      <c r="JS12" s="187"/>
      <c r="JT12" s="188" t="str">
        <f>IF(JS12=0,"",IF(JS12=VLOOKUP("PCS-51793o08",[2]ARBOR!$A:$C,3,0),0.0001,IF(JS12&gt;VLOOKUP("PCS-51793o08",[2]ARBOR!$A:$C,3,0),"Maior que CAP!",ROUND(-1*(JS12/VLOOKUP("PCS-51793o08",[2]ARBOR!$A:$C,3,0)-1),4))))</f>
        <v/>
      </c>
      <c r="JU12" s="189" t="str">
        <f>IF(ISERROR(IF(JT12="","",VLOOKUP(("Oi Internet Pra Celular 5GB"&amp;JT12&amp;"Template Flat Instância Dados"),[2]BENEFICIOS!$A:$E,5,0))),"Criar",IF(JT12="","",VLOOKUP(("Oi Internet Pra Celular 5GB"&amp;JT12&amp;"Template Flat Instância Dados"),[2]BENEFICIOS!$A:$E,5,0)))</f>
        <v/>
      </c>
      <c r="JV12" s="190"/>
      <c r="JW12" s="191" t="str">
        <f>IF(JV12=0,"",IF(JV12=VLOOKUP("sva_curtas",[2]ARBOR!$A:$C,3,0),0.0001,IF(JV12&gt;VLOOKUP("sva_curtas",[2]ARBOR!$A:$C,3,0),"Maior que CAP!",ROUND(-1*(JV12/VLOOKUP("sva_curtas",[2]ARBOR!$A:$C,3,0)-1),4))))</f>
        <v/>
      </c>
      <c r="JX12" s="192" t="str">
        <f>IF(ISERROR(IF(JW12="","",VLOOKUP(("Oi Internet Pra Celular 5GB"&amp;JW12&amp;"Template Desconto % SVA DADOS B2C"),[2]BENEFICIOS!$A:$E,5,0))),"Criar",IF(JW12="","",VLOOKUP(("Oi Internet Pra Celular 5GB"&amp;JW12&amp;"Template Desconto % SVA DADOS B2C"),[2]BENEFICIOS!$A:$E,5,0)))</f>
        <v/>
      </c>
      <c r="JY12" s="187"/>
      <c r="JZ12" s="188" t="str">
        <f>IF(JY12=0,"",IF(JY12=VLOOKUP("PCS-7171A",[2]ARBOR!$A:$C,3,0),0.0001,IF(JY12&gt;VLOOKUP("PCS-7171A",[2]ARBOR!$A:$C,3,0),"Maior que CAP!",ROUND(-1*(JY12/VLOOKUP("PCS-7171A",[2]ARBOR!$A:$C,3,0)-1),4))))</f>
        <v/>
      </c>
      <c r="KA12" s="193" t="str">
        <f>IF(ISERROR(IF(JZ12="","",VLOOKUP(("Oi Internet Pra Celular 10GB"&amp;JZ12&amp;"Template Flat Instância Dados"),[2]BENEFICIOS!$A:$E,5,0))),"Criar",IF(JZ12="","",VLOOKUP(("Oi Internet Pra Celular 10GB"&amp;JZ12&amp;"Template Flat Instância Dados"),[2]BENEFICIOS!$A:$E,5,0)))</f>
        <v/>
      </c>
      <c r="KB12" s="190"/>
      <c r="KC12" s="191" t="str">
        <f>IF(KB12=0,"",IF(KB12=VLOOKUP("sva_curtas",[2]ARBOR!$A:$C,3,0),0.0001,IF(KB12&gt;VLOOKUP("sva_curtas",[2]ARBOR!$A:$C,3,0),"Maior que CAP!",ROUND(-1*(KB12/VLOOKUP("sva_curtas",[2]ARBOR!$A:$C,3,0)-1),4))))</f>
        <v/>
      </c>
      <c r="KD12" s="192" t="str">
        <f>IF(ISERROR(IF(KC12="","",VLOOKUP(("Oi Internet Pra Celular 10GB"&amp;KC12&amp;"Template Desconto % SVA DADOS B2C"),[2]BENEFICIOS!$A:$E,5,0))),"Criar",IF(KC12="","",VLOOKUP(("Oi Internet Pra Celular 10GB"&amp;KC12&amp;"Template Desconto % SVA DADOS B2C"),[2]BENEFICIOS!$A:$E,5,0)))</f>
        <v/>
      </c>
      <c r="KE12" s="194"/>
      <c r="KF12" s="195"/>
      <c r="KG12" s="196" t="s">
        <v>167</v>
      </c>
      <c r="KH12" s="197" t="s">
        <v>190</v>
      </c>
      <c r="KI12" s="198">
        <v>799</v>
      </c>
      <c r="KJ12" s="197">
        <v>12</v>
      </c>
      <c r="KK12" s="199" t="str">
        <f t="shared" si="5"/>
        <v>Oi benefício fidelização Multiprodutos</v>
      </c>
      <c r="KL12" s="200" t="str">
        <f t="shared" si="6"/>
        <v>PCS-Fk83324</v>
      </c>
      <c r="KM12" s="200" t="str">
        <f t="shared" si="7"/>
        <v>PCS-SBL553142</v>
      </c>
      <c r="KN12" s="201" t="s">
        <v>191</v>
      </c>
      <c r="KO12" s="202" t="s">
        <v>192</v>
      </c>
      <c r="KP12" s="202" t="s">
        <v>193</v>
      </c>
      <c r="KQ12" s="201" t="s">
        <v>194</v>
      </c>
      <c r="KR12" s="199" t="s">
        <v>195</v>
      </c>
      <c r="KS12" s="200" t="s">
        <v>196</v>
      </c>
      <c r="KT12" s="203" t="s">
        <v>197</v>
      </c>
      <c r="KU12" s="129"/>
      <c r="KV12" s="129"/>
      <c r="KW12" s="129"/>
      <c r="KX12" s="129"/>
      <c r="KY12" s="129"/>
      <c r="KZ12" s="129"/>
      <c r="LA12" s="129"/>
      <c r="LB12" s="129"/>
      <c r="LC12" s="129"/>
      <c r="LD12" s="129"/>
      <c r="LE12" s="129"/>
      <c r="LF12" s="129"/>
      <c r="LG12" s="129"/>
      <c r="LH12" s="129"/>
      <c r="LI12" s="129"/>
      <c r="LJ12" s="129"/>
      <c r="LK12" s="204"/>
      <c r="LL12" s="212"/>
      <c r="LM12" s="213"/>
      <c r="LN12" s="213"/>
      <c r="LO12" s="213"/>
      <c r="LP12" s="213"/>
      <c r="LQ12" s="213"/>
      <c r="LR12" s="213"/>
      <c r="LS12" s="213"/>
      <c r="LT12" s="213"/>
      <c r="LU12" s="214"/>
      <c r="LV12" t="s">
        <v>215</v>
      </c>
      <c r="LW12" t="s">
        <v>200</v>
      </c>
    </row>
    <row r="13" spans="1:335" x14ac:dyDescent="0.25">
      <c r="A13" s="134" t="s">
        <v>164</v>
      </c>
      <c r="B13" s="135" t="s">
        <v>165</v>
      </c>
      <c r="C13" s="135" t="s">
        <v>166</v>
      </c>
      <c r="D13" s="136" t="s">
        <v>167</v>
      </c>
      <c r="E13" s="137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9"/>
      <c r="Q13" s="139"/>
      <c r="R13" s="139"/>
      <c r="S13" s="140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41"/>
      <c r="AF13" s="138"/>
      <c r="AG13" s="138"/>
      <c r="AH13" s="142"/>
      <c r="AI13" s="209" t="s">
        <v>13</v>
      </c>
      <c r="AJ13" s="59" t="s">
        <v>168</v>
      </c>
      <c r="AK13" s="60" t="s">
        <v>209</v>
      </c>
      <c r="AL13" s="143">
        <v>43039</v>
      </c>
      <c r="AM13" s="144">
        <v>43159</v>
      </c>
      <c r="AN13" s="63" t="s">
        <v>170</v>
      </c>
      <c r="AO13" s="64" t="s">
        <v>170</v>
      </c>
      <c r="AP13" s="145"/>
      <c r="AQ13" s="145" t="s">
        <v>171</v>
      </c>
      <c r="AR13" s="145">
        <v>20</v>
      </c>
      <c r="AS13" s="145">
        <v>10000</v>
      </c>
      <c r="AT13" s="146" t="s">
        <v>172</v>
      </c>
      <c r="AU13" s="147" t="s">
        <v>167</v>
      </c>
      <c r="AV13" s="148" t="s">
        <v>173</v>
      </c>
      <c r="AW13" s="149" t="s">
        <v>173</v>
      </c>
      <c r="AX13" s="150" t="s">
        <v>13</v>
      </c>
      <c r="AY13" s="151" t="s">
        <v>203</v>
      </c>
      <c r="AZ13" s="152" t="str">
        <f>IF(ISERROR(VLOOKUP(AY13,[2]PLANOS!B:C,2,0)),"",VLOOKUP(AY13,[2]PLANOS!B:C,2,0))</f>
        <v>PCS-3PHipi</v>
      </c>
      <c r="BA13" s="153" t="s">
        <v>173</v>
      </c>
      <c r="BB13" s="154" t="str">
        <f t="shared" si="1"/>
        <v/>
      </c>
      <c r="BC13" s="155"/>
      <c r="BD13" s="156"/>
      <c r="BE13" s="157">
        <v>50.11</v>
      </c>
      <c r="BF13" s="101">
        <f>IF(BE13=0,"",IF(BE13=VLOOKUP("FIXO",[2]ARBOR!$A:$C,3,0),0.0001,IF(BE13&gt;VLOOKUP("FIXO",[2]ARBOR!$A:$C,3,0),"Maior que CAP!",IF((DOLLAR(BE13+(VLOOKUP("FIXO",[2]ARBOR!$A:$C,3,0)*-TRUNC(BE13/VLOOKUP("FIXO",[2]ARBOR!$A:$C,3,0)-1,4)),6))&lt;&gt;(DOLLAR(VLOOKUP("FIXO",[2]ARBOR!$A:$C,3,0),6)),-TRUNC(BE13/VLOOKUP("FIXO",[2]ARBOR!$A:$C,3,0)-1,4)+0.0001,-TRUNC(BE13/VLOOKUP("FIXO",[2]ARBOR!$A:$C,3,0)-1,4)))))</f>
        <v>0.33929999999999999</v>
      </c>
      <c r="BG13" s="158"/>
      <c r="BH13" s="101" t="str">
        <f>IF(BG13=0,"",IF(BG13=VLOOKUP("FIXO",[2]ARBOR!$A:$C,3,0),0.0001,IF(BG13&gt;VLOOKUP("FIXO",[2]ARBOR!$A:$C,3,0),"Maior que CAP!",IF((DOLLAR(BG13+(VLOOKUP("FIXO",[2]ARBOR!$A:$C,3,0)*-TRUNC(BG13/VLOOKUP("FIXO",[2]ARBOR!$A:$C,3,0)-1,4)),6))&lt;&gt;(DOLLAR(VLOOKUP("FIXO",[2]ARBOR!$A:$C,3,0),6)),-TRUNC(BG13/VLOOKUP("FIXO",[2]ARBOR!$A:$C,3,0)-1,4)+0.0001,-TRUNC(BG13/VLOOKUP("FIXO",[2]ARBOR!$A:$C,3,0)-1,4)))))</f>
        <v/>
      </c>
      <c r="BI13" s="101" t="str">
        <f>IF(ISERROR(IF(BF13="","",VLOOKUP(($AY13&amp;BF13&amp;"Template de desconto FLAT bundle - Fixo - Varejo - Ganho Tributário Cross"),[2]BENEFICIOS!$A:$E,5,0))),"Criar",IF(BF13="","",VLOOKUP(($AY13&amp;BF13&amp;"Template de desconto FLAT bundle - Fixo - Varejo - Ganho Tributário Cross"),[2]BENEFICIOS!$A:$E,5,0)))</f>
        <v>MKT-1-9825728196</v>
      </c>
      <c r="BJ13" s="159"/>
      <c r="BK13" s="101" t="str">
        <f t="shared" si="2"/>
        <v/>
      </c>
      <c r="BL13" s="160"/>
      <c r="BM13" s="101" t="str">
        <f>IF(BL13=0,"",IF(BL13=VLOOKUP("FIXO",[2]ARBOR!$A:$C,3,0),0.0001,IF(BL13&gt;VLOOKUP("FIXO",[2]ARBOR!$A:$C,3,0),"Maior que CAP!",IF(BF13&lt;&gt;"",-ROUND(BL13/VLOOKUP("FIXO",[2]ARBOR!$A:$C,3,0)-1,4)-BF13,-ROUND(BL13/VLOOKUP("FIXO",[2]ARBOR!$A:$C,3,0)-1,4)))))</f>
        <v/>
      </c>
      <c r="BN13" s="161"/>
      <c r="BO13" s="101" t="str">
        <f>IF(ISERROR(IF(BK13="","",VLOOKUP(($AY13&amp;BK13&amp;"Template de desconto FLAT bundle - Fixo - Varejo - Ganho Tributário Cross"),[2]BENEFICIOS!$A:$E,5,0))),"Criar",IF(BK13="","",VLOOKUP(($AY13&amp;BK13&amp;"Template de desconto FLAT bundle - Fixo - Varejo - Ganho Tributário Cross"),[2]BENEFICIOS!$A:$E,5,0)))</f>
        <v/>
      </c>
      <c r="BP13" s="162" t="s">
        <v>175</v>
      </c>
      <c r="BQ13" s="163" t="s">
        <v>176</v>
      </c>
      <c r="BR13" s="164" t="s">
        <v>173</v>
      </c>
      <c r="BS13" s="165" t="str">
        <f t="shared" si="0"/>
        <v/>
      </c>
      <c r="BT13" s="155"/>
      <c r="BU13" s="166"/>
      <c r="BV13" s="167" t="s">
        <v>210</v>
      </c>
      <c r="BW13" s="168">
        <v>44.9</v>
      </c>
      <c r="BX13" s="101">
        <f>IF(BW13=0,"",IF(BW13=VLOOKUP("PCS-30874g",[2]ARBOR!$A:$C,3,0),0.0001,IF(BW13&gt;VLOOKUP("PCS-30874g",[2]ARBOR!$A:$C,3,0),"Maior que CAP!",IF((DOLLAR(BW13+(VLOOKUP("PCS-30874g",[2]ARBOR!$A:$C,3,0)*-TRUNC(BW13/VLOOKUP("PCS-30874g",[2]ARBOR!$A:$C,3,0)-1,4)),6))&lt;&gt;(DOLLAR(VLOOKUP("PCS-30874g",[2]ARBOR!$A:$C,3,0),6)),-TRUNC(BW13/VLOOKUP("PCS-30874g",[2]ARBOR!$A:$C,3,0)-1,4)+0.0001,-TRUNC(BW13/VLOOKUP("PCS-30874g",[2]ARBOR!$A:$C,3,0)-1,4)))))</f>
        <v>0.53679999999999994</v>
      </c>
      <c r="BY13" s="163" t="str">
        <f>IF(ISERROR(IF(BX13="","",VLOOKUP(($AY13&amp;BX13&amp;"Template de desconto FLAT bundle - Velox XDSL - Varejo"),[2]BENEFICIOS!$A:$E,5,0))),"Criar",IF(BX13="","",VLOOKUP(($AY13&amp;BX13&amp;"Template de desconto FLAT bundle - Velox XDSL - Varejo"),[2]BENEFICIOS!$A:$E,5,0)))</f>
        <v>MKT-1-9829477373</v>
      </c>
      <c r="BZ13" s="167" t="s">
        <v>210</v>
      </c>
      <c r="CA13" s="168">
        <v>44.9</v>
      </c>
      <c r="CB13" s="101">
        <f>IF(CA13=0,"",IF(CA13=VLOOKUP("PCS-30577g",[2]ARBOR!$A:$C,3,0),0.0001,IF(CA13&gt;VLOOKUP("PCS-30577g",[2]ARBOR!$A:$C,3,0),"Maior que CAP!",IF((DOLLAR(CA13+(VLOOKUP("PCS-30577g",[2]ARBOR!$A:$C,3,0)*-TRUNC(CA13/VLOOKUP("PCS-30577g",[2]ARBOR!$A:$C,3,0)-1,4)),6))&lt;&gt;(DOLLAR(VLOOKUP("PCS-30577g",[2]ARBOR!$A:$C,3,0),6)),-TRUNC(CA13/VLOOKUP("PCS-30577g",[2]ARBOR!$A:$C,3,0)-1,4)+0.0001,-TRUNC(CA13/VLOOKUP("PCS-30577g",[2]ARBOR!$A:$C,3,0)-1,4)))))</f>
        <v>0.53679999999999994</v>
      </c>
      <c r="CC13" s="163" t="str">
        <f>IF(ISERROR(IF(CB13="","",VLOOKUP(($AY13&amp;CB13&amp;"Template de desconto FLAT bundle - Velox XDSL - Varejo"),[2]BENEFICIOS!$A:$E,5,0))),"Criar",IF(CB13="","",VLOOKUP(($AY13&amp;CB13&amp;"Template de desconto FLAT bundle - Velox XDSL - Varejo"),[2]BENEFICIOS!$A:$E,5,0)))</f>
        <v>MKT-1-9829477373</v>
      </c>
      <c r="CD13" s="167" t="s">
        <v>210</v>
      </c>
      <c r="CE13" s="168">
        <v>44.9</v>
      </c>
      <c r="CF13" s="101">
        <f>IF(CE13=0,"",IF(CE13=VLOOKUP("PCS-30604g",[2]ARBOR!$A:$C,3,0),0.0001,IF(CE13&gt;VLOOKUP("PCS-30604g",[2]ARBOR!$A:$C,3,0),"Maior que CAP!",IF((DOLLAR(CE13+(VLOOKUP("PCS-30604g",[2]ARBOR!$A:$C,3,0)*-TRUNC(CE13/VLOOKUP("PCS-30604g",[2]ARBOR!$A:$C,3,0)-1,4)),6))&lt;&gt;(DOLLAR(VLOOKUP("PCS-30604g",[2]ARBOR!$A:$C,3,0),6)),-TRUNC(CE13/VLOOKUP("PCS-30604g",[2]ARBOR!$A:$C,3,0)-1,4)+0.0001,-TRUNC(CE13/VLOOKUP("PCS-30604g",[2]ARBOR!$A:$C,3,0)-1,4)))))</f>
        <v>0.53679999999999994</v>
      </c>
      <c r="CG13" s="163" t="str">
        <f>IF(ISERROR(IF(CF13="","",VLOOKUP(($AY13&amp;CF13&amp;"Template de desconto FLAT bundle - Velox XDSL - Varejo"),[2]BENEFICIOS!$A:$E,5,0))),"Criar",IF(CF13="","",VLOOKUP(($AY13&amp;CF13&amp;"Template de desconto FLAT bundle - Velox XDSL - Varejo"),[2]BENEFICIOS!$A:$E,5,0)))</f>
        <v>MKT-1-9829477373</v>
      </c>
      <c r="CH13" s="167" t="s">
        <v>210</v>
      </c>
      <c r="CI13" s="168">
        <v>44.9</v>
      </c>
      <c r="CJ13" s="101">
        <f>IF(CI13=0,"",IF(CI13=VLOOKUP("PCS-30631g",[2]ARBOR!$A:$C,3,0),0.0001,IF(CI13&gt;VLOOKUP("PCS-30631g",[2]ARBOR!$A:$C,3,0),"Maior que CAP!",IF((DOLLAR(CI13+(VLOOKUP("PCS-30631g",[2]ARBOR!$A:$C,3,0)*-TRUNC(CI13/VLOOKUP("PCS-30631g",[2]ARBOR!$A:$C,3,0)-1,4)),6))&lt;&gt;(DOLLAR(VLOOKUP("PCS-30631g",[2]ARBOR!$A:$C,3,0),6)),-TRUNC(CI13/VLOOKUP("PCS-30631g",[2]ARBOR!$A:$C,3,0)-1,4)+0.0001,-TRUNC(CI13/VLOOKUP("PCS-30631g",[2]ARBOR!$A:$C,3,0)-1,4)))))</f>
        <v>0.54310000000000003</v>
      </c>
      <c r="CK13" s="163" t="str">
        <f>IF(ISERROR(IF(CJ13="","",VLOOKUP(($AY13&amp;CJ13&amp;"Template de desconto FLAT bundle - Velox XDSL - Varejo"),[2]BENEFICIOS!$A:$E,5,0))),"Criar",IF(CJ13="","",VLOOKUP(($AY13&amp;CJ13&amp;"Template de desconto FLAT bundle - Velox XDSL - Varejo"),[2]BENEFICIOS!$A:$E,5,0)))</f>
        <v>MKT-1-9828219079</v>
      </c>
      <c r="CL13" s="167" t="s">
        <v>104</v>
      </c>
      <c r="CM13" s="168">
        <v>49.9</v>
      </c>
      <c r="CN13" s="101">
        <f>IF(CM13=0,"",IF(CM13=VLOOKUP("PCS-30658g",[2]ARBOR!$A:$C,3,0),0.0001,IF(CM13&gt;VLOOKUP("PCS-30658g",[2]ARBOR!$A:$C,3,0),"Maior que CAP!",IF((DOLLAR(CM13+(VLOOKUP("PCS-30658g",[2]ARBOR!$A:$C,3,0)*-TRUNC(CM13/VLOOKUP("PCS-30658g",[2]ARBOR!$A:$C,3,0)-1,4)),6))&lt;&gt;(DOLLAR(VLOOKUP("PCS-30658g",[2]ARBOR!$A:$C,3,0),6)),-TRUNC(CM13/VLOOKUP("PCS-30658g",[2]ARBOR!$A:$C,3,0)-1,4)+0.0001,-TRUNC(CM13/VLOOKUP("PCS-30658g",[2]ARBOR!$A:$C,3,0)-1,4)))))</f>
        <v>0.55569999999999997</v>
      </c>
      <c r="CO13" s="163" t="str">
        <f>IF(ISERROR(IF(CN13="","",VLOOKUP(($AY13&amp;CN13&amp;"Template de desconto FLAT bundle - Velox XDSL - Varejo"),[2]BENEFICIOS!$A:$E,5,0))),"Criar",IF(CN13="","",VLOOKUP(($AY13&amp;CN13&amp;"Template de desconto FLAT bundle - Velox XDSL - Varejo"),[2]BENEFICIOS!$A:$E,5,0)))</f>
        <v>MKT-1-9828243608</v>
      </c>
      <c r="CP13" s="167" t="s">
        <v>104</v>
      </c>
      <c r="CQ13" s="168">
        <v>49.9</v>
      </c>
      <c r="CR13" s="101">
        <f>IF(CQ13=0,"",IF(CQ13=VLOOKUP("PCS-30685g",[2]ARBOR!$A:$C,3,0),0.0001,IF(CQ13&gt;VLOOKUP("PCS-30685g",[2]ARBOR!$A:$C,3,0),"Maior que CAP!",IF((DOLLAR(CQ13+(VLOOKUP("PCS-30685g",[2]ARBOR!$A:$C,3,0)*-TRUNC(CQ13/VLOOKUP("PCS-30685g",[2]ARBOR!$A:$C,3,0)-1,4)),6))&lt;&gt;(DOLLAR(VLOOKUP("PCS-30685g",[2]ARBOR!$A:$C,3,0),6)),-TRUNC(CQ13/VLOOKUP("PCS-30685g",[2]ARBOR!$A:$C,3,0)-1,4)+0.0001,-TRUNC(CQ13/VLOOKUP("PCS-30685g",[2]ARBOR!$A:$C,3,0)-1,4)))))</f>
        <v>0.60509999999999997</v>
      </c>
      <c r="CS13" s="163" t="str">
        <f>IF(ISERROR(IF(CR13="","",VLOOKUP(($AY13&amp;CR13&amp;"Template de desconto FLAT bundle - Velox XDSL - Varejo"),[2]BENEFICIOS!$A:$E,5,0))),"Criar",IF(CR13="","",VLOOKUP(($AY13&amp;CR13&amp;"Template de desconto FLAT bundle - Velox XDSL - Varejo"),[2]BENEFICIOS!$A:$E,5,0)))</f>
        <v>MKT-1-9828260647</v>
      </c>
      <c r="CT13" s="167" t="s">
        <v>104</v>
      </c>
      <c r="CU13" s="168">
        <v>49.9</v>
      </c>
      <c r="CV13" s="101">
        <f>IF(CU13=0,"",IF(CU13=VLOOKUP("PCS-30712g",[2]ARBOR!$A:$C,3,0),0.0001,IF(CU13&gt;VLOOKUP("PCS-30712g",[2]ARBOR!$A:$C,3,0),"Maior que CAP!",IF((DOLLAR(CU13+(VLOOKUP("PCS-30712g",[2]ARBOR!$A:$C,3,0)*-TRUNC(CU13/VLOOKUP("PCS-30712g",[2]ARBOR!$A:$C,3,0)-1,4)),6))&lt;&gt;(DOLLAR(VLOOKUP("PCS-30712g",[2]ARBOR!$A:$C,3,0),6)),-TRUNC(CU13/VLOOKUP("PCS-30712g",[2]ARBOR!$A:$C,3,0)-1,4)+0.0001,-TRUNC(CU13/VLOOKUP("PCS-30712g",[2]ARBOR!$A:$C,3,0)-1,4)))))</f>
        <v>0.64459999999999995</v>
      </c>
      <c r="CW13" s="163" t="str">
        <f>IF(ISERROR(IF(CV13="","",VLOOKUP(($AY13&amp;CV13&amp;"Template de desconto FLAT bundle - Velox XDSL - Varejo"),[2]BENEFICIOS!$A:$E,5,0))),"Criar",IF(CV13="","",VLOOKUP(($AY13&amp;CV13&amp;"Template de desconto FLAT bundle - Velox XDSL - Varejo"),[2]BENEFICIOS!$A:$E,5,0)))</f>
        <v>MKT-1-9828260926</v>
      </c>
      <c r="CX13" s="167" t="s">
        <v>104</v>
      </c>
      <c r="CY13" s="168">
        <v>59.9</v>
      </c>
      <c r="CZ13" s="101">
        <f>IF(CY13=0,"",IF(CY13=VLOOKUP("PCS-30739g",[2]ARBOR!$A:$C,3,0),0.0001,IF(CY13&gt;VLOOKUP("PCS-30739g",[2]ARBOR!$A:$C,3,0),"Maior que CAP!",IF((DOLLAR(CY13+(VLOOKUP("PCS-30739g",[2]ARBOR!$A:$C,3,0)*-TRUNC(CY13/VLOOKUP("PCS-30739g",[2]ARBOR!$A:$C,3,0)-1,4)),6))&lt;&gt;(DOLLAR(VLOOKUP("PCS-30739g",[2]ARBOR!$A:$C,3,0),6)),-TRUNC(CY13/VLOOKUP("PCS-30739g",[2]ARBOR!$A:$C,3,0)-1,4)+0.0001,-TRUNC(CY13/VLOOKUP("PCS-30739g",[2]ARBOR!$A:$C,3,0)-1,4)))))</f>
        <v>0.71560000000000001</v>
      </c>
      <c r="DA13" s="169" t="str">
        <f>IF(ISERROR(IF(CZ13="","",VLOOKUP(($AY13&amp;CZ13&amp;"Template de desconto FLAT bundle - Velox XDSL - Varejo"),[2]BENEFICIOS!$A:$E,5,0))),"Criar",IF(CZ13="","",VLOOKUP(($AY13&amp;CZ13&amp;"Template de desconto FLAT bundle - Velox XDSL - Varejo"),[2]BENEFICIOS!$A:$E,5,0)))</f>
        <v>MKT-1-9828272465</v>
      </c>
      <c r="DB13" s="170"/>
      <c r="DC13" s="215"/>
      <c r="DD13" s="101" t="str">
        <f>IF(DB13=0,"",IF(DB13=VLOOKUP("PCS-30739g",[2]ARBOR!$A:$C,3,0),0.0001,IF(DB13&gt;VLOOKUP("PCS-30739g",[2]ARBOR!$A:$C,3,0),"Maior que CAP!",IF((DOLLAR(DB13+(VLOOKUP("PCS-30739g",[2]ARBOR!$A:$C,3,0)*-TRUNC(DB13/VLOOKUP("PCS-30739g",[2]ARBOR!$A:$C,3,0)-1,4)),6))&lt;&gt;(DOLLAR(VLOOKUP("PCS-30739g",[2]ARBOR!$A:$C,3,0),6)),(-TRUNC(DB13/VLOOKUP("PCS-30739g",[2]ARBOR!$A:$C,3,0)-1,4)+0.0001)-CZ13,-TRUNC(DB13/VLOOKUP("PCS-30739g",[2]ARBOR!$A:$C,3,0)-1,4)-CZ13))))</f>
        <v/>
      </c>
      <c r="DE13" s="163" t="str">
        <f>IF(ISERROR(IF(DD13="","",VLOOKUP(($AY13&amp;DD13&amp;"Template de desconto percentual Bundle - Velox XDSL - Varejo"),[2]BENEFICIOS!$A:$E,5,0))),"Criar",IF(DD13="","",VLOOKUP(($AY13&amp;DD13&amp;"Template de desconto percentual Bundle - Velox XDSL - Varejo"),[2]BENEFICIOS!$A:$E,5,0)))</f>
        <v/>
      </c>
      <c r="DF13" s="167" t="s">
        <v>104</v>
      </c>
      <c r="DG13" s="168">
        <v>59.9</v>
      </c>
      <c r="DH13" s="101">
        <f>IF(DG13=0,"",IF(DG13=VLOOKUP("PCS-30766g",[2]ARBOR!$A:$C,3,0),0.0001,IF(DG13&gt;VLOOKUP("PCS-30766g",[2]ARBOR!$A:$C,3,0),"Maior que CAP!",IF((DOLLAR(DG13+(VLOOKUP("PCS-30766g",[2]ARBOR!$A:$C,3,0)*-TRUNC(DG13/VLOOKUP("PCS-30766g",[2]ARBOR!$A:$C,3,0)-1,4)),6))&lt;&gt;(DOLLAR(VLOOKUP("PCS-30766g",[2]ARBOR!$A:$C,3,0),6)),-TRUNC(DG13/VLOOKUP("PCS-30766g",[2]ARBOR!$A:$C,3,0)-1,4)+0.0001,-TRUNC(DG13/VLOOKUP("PCS-30766g",[2]ARBOR!$A:$C,3,0)-1,4)))))</f>
        <v>0.78669999999999995</v>
      </c>
      <c r="DI13" s="169" t="str">
        <f>IF(ISERROR(IF(DH13="","",VLOOKUP(($AY13&amp;DH13&amp;"Template de desconto FLAT bundle - Velox XDSL - Varejo"),[2]BENEFICIOS!$A:$E,5,0))),"Criar",IF(DH13="","",VLOOKUP(($AY13&amp;DH13&amp;"Template de desconto FLAT bundle - Velox XDSL - Varejo"),[2]BENEFICIOS!$A:$E,5,0)))</f>
        <v>MKT-1-9828285890</v>
      </c>
      <c r="DJ13" s="170"/>
      <c r="DK13" s="215"/>
      <c r="DL13" s="101" t="str">
        <f>IF(DJ13=0,"",IF(DJ13=VLOOKUP("PCS-30766g",[2]ARBOR!$A:$C,3,0),0.0001,IF(DJ13&gt;VLOOKUP("PCS-30766g",[2]ARBOR!$A:$C,3,0),"Maior que CAP!",IF((DOLLAR(DJ13+(VLOOKUP("PCS-30766g",[2]ARBOR!$A:$C,3,0)*-TRUNC(DJ13/VLOOKUP("PCS-30766g",[2]ARBOR!$A:$C,3,0)-1,4)),6))&lt;&gt;(DOLLAR(VLOOKUP("PCS-30766g",[2]ARBOR!$A:$C,3,0),6)),(-TRUNC(DJ13/VLOOKUP("PCS-30766g",[2]ARBOR!$A:$C,3,0)-1,4)+0.0001)-DH13,-TRUNC(DJ13/VLOOKUP("PCS-30766g",[2]ARBOR!$A:$C,3,0)-1,4)-DH13))))</f>
        <v/>
      </c>
      <c r="DM13" s="163" t="str">
        <f>IF(ISERROR(IF(DL13="","",VLOOKUP(($AY13&amp;DL13&amp;"Template de desconto percentual Bundle - Velox XDSL - Varejo"),[2]BENEFICIOS!$A:$E,5,0))),"Criar",IF(DL13="","",VLOOKUP(($AY13&amp;DL13&amp;"Template de desconto percentual Bundle - Velox XDSL - Varejo"),[2]BENEFICIOS!$A:$E,5,0)))</f>
        <v/>
      </c>
      <c r="DN13" s="167" t="s">
        <v>210</v>
      </c>
      <c r="DO13" s="168">
        <v>69.900000000000006</v>
      </c>
      <c r="DP13" s="101">
        <f>IF(DO13=0,"",IF(DO13=VLOOKUP("PCS-30793g",[2]ARBOR!$A:$C,3,0),0.0001,IF(DO13&gt;VLOOKUP("PCS-30793g",[2]ARBOR!$A:$C,3,0),"Maior que CAP!",IF((DOLLAR(DO13+(VLOOKUP("PCS-30793g",[2]ARBOR!$A:$C,3,0)*-TRUNC(DO13/VLOOKUP("PCS-30793g",[2]ARBOR!$A:$C,3,0)-1,4)),6))&lt;&gt;(DOLLAR(VLOOKUP("PCS-30793g",[2]ARBOR!$A:$C,3,0),6)),-TRUNC(DO13/VLOOKUP("PCS-30793g",[2]ARBOR!$A:$C,3,0)-1,4)+0.0001,-TRUNC(DO13/VLOOKUP("PCS-30793g",[2]ARBOR!$A:$C,3,0)-1,4)))))</f>
        <v>0.75109999999999999</v>
      </c>
      <c r="DQ13" s="169" t="str">
        <f>IF(ISERROR(IF(DP13="","",VLOOKUP(($AY13&amp;DP13&amp;"Template de desconto FLAT bundle - Velox XDSL - Varejo"),[2]BENEFICIOS!$A:$E,5,0))),"Criar",IF(DP13="","",VLOOKUP(($AY13&amp;DP13&amp;"Template de desconto FLAT bundle - Velox XDSL - Varejo"),[2]BENEFICIOS!$A:$E,5,0)))</f>
        <v>MKT-1-9828314259</v>
      </c>
      <c r="DR13" s="170"/>
      <c r="DS13" s="215"/>
      <c r="DT13" s="101" t="str">
        <f>IF(DR13=0,"",IF(DR13=VLOOKUP("PCS-30793g",[2]ARBOR!$A:$C,3,0),0.0001,IF(DR13&gt;VLOOKUP("PCS-30793g",[2]ARBOR!$A:$C,3,0),"Maior que CAP!",IF((DOLLAR(DR13+(VLOOKUP("PCS-30793g",[2]ARBOR!$A:$C,3,0)*-TRUNC(DR13/VLOOKUP("PCS-30793g",[2]ARBOR!$A:$C,3,0)-1,4)),6))&lt;&gt;(DOLLAR(VLOOKUP("PCS-30793g",[2]ARBOR!$A:$C,3,0),6)),(-TRUNC(DR13/VLOOKUP("PCS-30793g",[2]ARBOR!$A:$C,3,0)-1,4)+0.0001)-DP13,-TRUNC(DR13/VLOOKUP("PCS-30793g",[2]ARBOR!$A:$C,3,0)-1,4)-DP13))))</f>
        <v/>
      </c>
      <c r="DU13" s="163" t="str">
        <f>IF(ISERROR(IF(DT13="","",VLOOKUP(($AY13&amp;DT13&amp;"Template de desconto percentual Bundle - Velox XDSL - Varejo"),[2]BENEFICIOS!$A:$E,5,0))),"Criar",IF(DT13="","",VLOOKUP(($AY13&amp;DT13&amp;"Template de desconto percentual Bundle - Velox XDSL - Varejo"),[2]BENEFICIOS!$A:$E,5,0)))</f>
        <v/>
      </c>
      <c r="DV13" s="167" t="s">
        <v>104</v>
      </c>
      <c r="DW13" s="168">
        <v>69.900000000000006</v>
      </c>
      <c r="DX13" s="101">
        <f>IF(DW13=0,"",IF(DW13=VLOOKUP("PCS-30820g",[2]ARBOR!$A:$C,3,0),0.0001,IF(DW13&gt;VLOOKUP("PCS-30820g",[2]ARBOR!$A:$C,3,0),"Maior que CAP!",IF((DOLLAR(DW13+(VLOOKUP("PCS-30820g",[2]ARBOR!$A:$C,3,0)*-TRUNC(DW13/VLOOKUP("PCS-30820g",[2]ARBOR!$A:$C,3,0)-1,4)),6))&lt;&gt;(DOLLAR(VLOOKUP("PCS-30820g",[2]ARBOR!$A:$C,3,0),6)),-TRUNC(DW13/VLOOKUP("PCS-30820g",[2]ARBOR!$A:$C,3,0)-1,4)+0.0001,-TRUNC(DW13/VLOOKUP("PCS-30820g",[2]ARBOR!$A:$C,3,0)-1,4)))))</f>
        <v>0.75109999999999999</v>
      </c>
      <c r="DY13" s="169" t="str">
        <f>IF(ISERROR(IF(DX13="","",VLOOKUP(($AY13&amp;DX13&amp;"Template de desconto FLAT bundle - Velox XDSL - Varejo"),[2]BENEFICIOS!$A:$E,5,0))),"Criar",IF(DX13="","",VLOOKUP(($AY13&amp;DX13&amp;"Template de desconto FLAT bundle - Velox XDSL - Varejo"),[2]BENEFICIOS!$A:$E,5,0)))</f>
        <v>MKT-1-9828314259</v>
      </c>
      <c r="DZ13" s="170"/>
      <c r="EA13" s="215"/>
      <c r="EB13" s="101" t="str">
        <f>IF(DZ13=0,"",IF(DZ13=VLOOKUP("PCS-30820g",[2]ARBOR!$A:$C,3,0),0.0001,IF(DZ13&gt;VLOOKUP("PCS-30820g",[2]ARBOR!$A:$C,3,0),"Maior que CAP!",IF((DOLLAR(DZ13+(VLOOKUP("PCS-30820g",[2]ARBOR!$A:$C,3,0)*-TRUNC(DZ13/VLOOKUP("PCS-30820g",[2]ARBOR!$A:$C,3,0)-1,4)),6))&lt;&gt;(DOLLAR(VLOOKUP("PCS-30820g",[2]ARBOR!$A:$C,3,0),6)),(-TRUNC(DZ13/VLOOKUP("PCS-30820g",[2]ARBOR!$A:$C,3,0)-1,4)+0.0001)-DX13,-TRUNC(DZ13/VLOOKUP("PCS-30820g",[2]ARBOR!$A:$C,3,0)-1,4)-DX13))))</f>
        <v/>
      </c>
      <c r="EC13" s="163" t="str">
        <f>IF(ISERROR(IF(EB13="","",VLOOKUP(($AY13&amp;EB13&amp;"Template de desconto percentual Bundle - Velox XDSL - Varejo"),[2]BENEFICIOS!$A:$E,5,0))),"Criar",IF(EB13="","",VLOOKUP(($AY13&amp;EB13&amp;"Template de desconto percentual Bundle - Velox XDSL - Varejo"),[2]BENEFICIOS!$A:$E,5,0)))</f>
        <v/>
      </c>
      <c r="ED13" s="172"/>
      <c r="EE13" s="101" t="str">
        <f>IF(ED13=0,"",IF(ED13=VLOOKUP("PCS-21448p2",[2]ARBOR!$A:$C,3,0),0.0001,IF(ED13&gt;VLOOKUP("PCS-21448p2",[2]ARBOR!$A:$C,3,0),"Maior que CAP!",IF((DOLLAR(ED13+(VLOOKUP("PCS-21448p2",[2]ARBOR!$A:$C,3,0)*-TRUNC(ED13/VLOOKUP("PCS-21448p2",[2]ARBOR!$A:$C,3,0)-1,4)),6))&lt;&gt;(DOLLAR(VLOOKUP("PCS-21448p2",[2]ARBOR!$A:$C,3,0),6)),-TRUNC(ED13/VLOOKUP("PCS-21448p2",[2]ARBOR!$A:$C,3,0)-1,4)+0.0001,-TRUNC(ED13/VLOOKUP("PCS-21448p2",[2]ARBOR!$A:$C,3,0)-1,4)))))</f>
        <v/>
      </c>
      <c r="EF13" s="101" t="str">
        <f>IF(ISERROR(IF(EE13="","",VLOOKUP(("Oi Conta Total Plug 10GB Downgrade"&amp;EE13&amp;"Template de desconto percentual BL Móvel - Internet Total - Varejo"),[2]BENEFICIOS!$A:$E,5,0))),"Criar",IF(EE13="","",VLOOKUP(("Oi Conta Total Plug 10GB Downgrade"&amp;EE13&amp;"Template de desconto percentual BL Móvel - Internet Total - Varejo"),[2]BENEFICIOS!$A:$E,5,0)))</f>
        <v/>
      </c>
      <c r="EG13" s="173">
        <v>19.899999999999999</v>
      </c>
      <c r="EH13" s="174">
        <f>IF(EG13=0,"",IF(EG13=VLOOKUP("SVA",[2]ARBOR!$A:$C,3,0),0.0001,IF(EG13&gt;VLOOKUP("SVA",[2]ARBOR!$A:$C,3,0),"Maior que CAP!",IF((DOLLAR(EG13+(VLOOKUP("SVA",[2]ARBOR!$A:$C,3,0)*-TRUNC(EG13/VLOOKUP("SVA",[2]ARBOR!$A:$C,3,0)-1,4)),6))&lt;&gt;(DOLLAR(VLOOKUP("SVA",[2]ARBOR!$A:$C,3,0),6)),-TRUNC(EG13/VLOOKUP("SVA",[2]ARBOR!$A:$C,3,0)-1,4)+0.0001,-TRUNC(EG13/VLOOKUP("SVA",[2]ARBOR!$A:$C,3,0)-1,4)))))</f>
        <v>7.1400000000000005E-2</v>
      </c>
      <c r="EI13" s="174" t="s">
        <v>211</v>
      </c>
      <c r="EJ13" s="175"/>
      <c r="EK13" s="176"/>
      <c r="EL13" s="177" t="str">
        <f t="shared" si="3"/>
        <v/>
      </c>
      <c r="EM13" s="174" t="str">
        <f>IF(EL13="S/Desc","S/Desc",IF(ISERROR(IF(EL13="","",VLOOKUP(($BX13&amp;EL13&amp;"Template Desc. % sobre Serviço SVA B2C"),[2]BENEFICIOS!$A:$G,5,0))),"Criar",IF(EL13="","",VLOOKUP(($BX13&amp;EL13&amp;"Template Desc. % sobre Serviço SVA B2C"),[2]BENEFICIOS!$A:$G,5,0))))</f>
        <v/>
      </c>
      <c r="EN13" s="103"/>
      <c r="EO13" s="101" t="str">
        <f>IF(EN13=0,"",IF(EN13=VLOOKUP("PCS-OzTL40",[2]ARBOR!$A:$C,3,0),0.0001,IF(EN13&gt;VLOOKUP("PCS-OzTL40",[2]ARBOR!$A:$C,3,0),"Maior que CAP!",IF((DOLLAR(EN13+(VLOOKUP("PCS-OzTL40",[2]ARBOR!$A:$C,3,0)*-TRUNC(EN13/VLOOKUP("PCS-OzTL40",[2]ARBOR!$A:$C,3,0)-1,4)),6))&lt;&gt;(DOLLAR(VLOOKUP("PCS-OzTL40",[2]ARBOR!$A:$C,3,0),6)),-TRUNC(EN13/VLOOKUP("PCS-OzTL40",[2]ARBOR!$A:$C,3,0)-1,4)+0.0001,-TRUNC(EN13/VLOOKUP("PCS-OzTL40",[2]ARBOR!$A:$C,3,0)-1,4)))))</f>
        <v/>
      </c>
      <c r="EP13" s="163" t="str">
        <f>IF(ISERROR(IF(EO13="","",VLOOKUP(($AY13&amp;EO13&amp;"Template desconto FLAT Plano Principal Oi TV nível conta"),[2]BENEFICIOS!$A:$G,5,0))),"Criar",IF(EO13="","",VLOOKUP(($AY13&amp;EO13&amp;"Template desconto FLAT Plano Principal Oi TV nível conta"),[2]BENEFICIOS!$A:$G,5,0)))</f>
        <v/>
      </c>
      <c r="EQ13" s="103"/>
      <c r="ER13" s="101" t="str">
        <f>IF(EQ13=0,"",IF(EQ13=VLOOKUP("PCS-OzTL41",[2]ARBOR!$A:$C,3,0),0.0001,IF(EQ13&gt;VLOOKUP("PCS-OzTL41",[2]ARBOR!$A:$C,3,0),"Maior que CAP!",IF((DOLLAR(EQ13+(VLOOKUP("PCS-OzTL41",[2]ARBOR!$A:$C,3,0)*-TRUNC(EQ13/VLOOKUP("PCS-OzTL41",[2]ARBOR!$A:$C,3,0)-1,4)),6))&lt;&gt;(DOLLAR(VLOOKUP("PCS-OzTL41",[2]ARBOR!$A:$C,3,0),6)),-TRUNC(EQ13/VLOOKUP("PCS-OzTL41",[2]ARBOR!$A:$C,3,0)-1,4)+0.0001,-TRUNC(EQ13/VLOOKUP("PCS-OzTL41",[2]ARBOR!$A:$C,3,0)-1,4)))))</f>
        <v/>
      </c>
      <c r="ES13" s="178" t="str">
        <f>IF(ISERROR(IF(ER13="","",VLOOKUP(($AY13&amp;ER13&amp;"Template desconto FLAT Plano Principal Oi TV nível conta"),[2]BENEFICIOS!$A:$G,5,0))),"Criar",IF(ER13="","",VLOOKUP(($AY13&amp;ER13&amp;"Template desconto FLAT Plano Principal Oi TV nível conta"),[2]BENEFICIOS!$A:$G,5,0)))</f>
        <v/>
      </c>
      <c r="ET13" s="103"/>
      <c r="EU13" s="101" t="str">
        <f>IF(ET13=0,"",IF(ET13=VLOOKUP("PCS-OzTL44",[2]ARBOR!$A:$C,3,0),0.0001,IF(ET13&gt;VLOOKUP("PCS-OzTL44",[2]ARBOR!$A:$C,3,0),"Maior que CAP!",IF((DOLLAR(ET13+(VLOOKUP("PCS-OzTL44",[2]ARBOR!$A:$C,3,0)*-TRUNC(ET13/VLOOKUP("PCS-OzTL44",[2]ARBOR!$A:$C,3,0)-1,4)),6))&lt;&gt;(DOLLAR(VLOOKUP("PCS-OzTL44",[2]ARBOR!$A:$C,3,0),6)),-TRUNC(ET13/VLOOKUP("PCS-OzTL44",[2]ARBOR!$A:$C,3,0)-1,4)+0.0001,-TRUNC(ET13/VLOOKUP("PCS-OzTL44",[2]ARBOR!$A:$C,3,0)-1,4)))))</f>
        <v/>
      </c>
      <c r="EV13" s="178" t="str">
        <f>IF(ISERROR(IF(EU13="","",VLOOKUP(($AY13&amp;EU13&amp;"Template desconto FLAT Plano Principal Oi TV nível conta"),[2]BENEFICIOS!$A:$G,5,0))),"Criar",IF(EU13="","",VLOOKUP(($AY13&amp;EU13&amp;"Template desconto FLAT Plano Principal Oi TV nível conta"),[2]BENEFICIOS!$A:$G,5,0)))</f>
        <v/>
      </c>
      <c r="EW13" s="103"/>
      <c r="EX13" s="101" t="str">
        <f>IF(EW13=0,"",IF(EW13=VLOOKUP("PCS-OzTL43",[2]ARBOR!$A:$C,3,0),0.0001,IF(EW13&gt;VLOOKUP("PCS-OzTL43",[2]ARBOR!$A:$C,3,0),"Maior que CAP!",IF((DOLLAR(EW13+(VLOOKUP("PCS-OzTL43",[2]ARBOR!$A:$C,3,0)*-TRUNC(EW13/VLOOKUP("PCS-OzTL43",[2]ARBOR!$A:$C,3,0)-1,4)),6))&lt;&gt;(DOLLAR(VLOOKUP("PCS-OzTL43",[2]ARBOR!$A:$C,3,0),6)),-TRUNC(EW13/VLOOKUP("PCS-OzTL43",[2]ARBOR!$A:$C,3,0)-1,4)+0.0001,-TRUNC(EW13/VLOOKUP("PCS-OzTL43",[2]ARBOR!$A:$C,3,0)-1,4)))))</f>
        <v/>
      </c>
      <c r="EY13" s="178" t="str">
        <f>IF(ISERROR(IF(EX13="","",VLOOKUP(($AY13&amp;EX13&amp;"Template desconto FLAT Plano Principal Oi TV nível conta"),[2]BENEFICIOS!$A:$G,5,0))),"Criar",IF(EX13="","",VLOOKUP(($AY13&amp;EX13&amp;"Template desconto FLAT Plano Principal Oi TV nível conta"),[2]BENEFICIOS!$A:$G,5,0)))</f>
        <v/>
      </c>
      <c r="EZ13" s="103"/>
      <c r="FA13" s="101" t="str">
        <f>IF(EZ13=0,"",IF(EZ13=VLOOKUP("PCS-OzTL45",[2]ARBOR!$A:$C,3,0),0.0001,IF(EZ13&gt;VLOOKUP("PCS-OzTL45",[2]ARBOR!$A:$C,3,0),"Maior que CAP!",IF((DOLLAR(EZ13+(VLOOKUP("PCS-OzTL45",[2]ARBOR!$A:$C,3,0)*-TRUNC(EZ13/VLOOKUP("PCS-OzTL45",[2]ARBOR!$A:$C,3,0)-1,4)),6))&lt;&gt;(DOLLAR(VLOOKUP("PCS-OzTL45",[2]ARBOR!$A:$C,3,0),6)),-TRUNC(EZ13/VLOOKUP("PCS-OzTL45",[2]ARBOR!$A:$C,3,0)-1,4)+0.0001,-TRUNC(EZ13/VLOOKUP("PCS-OzTL45",[2]ARBOR!$A:$C,3,0)-1,4)))))</f>
        <v/>
      </c>
      <c r="FB13" s="178" t="str">
        <f>IF(ISERROR(IF(FA13="","",VLOOKUP(($AY13&amp;FA13&amp;"Template desconto FLAT Plano Principal Oi TV nível conta"),[2]BENEFICIOS!$A:$G,5,0))),"Criar",IF(FA13="","",VLOOKUP(($AY13&amp;FA13&amp;"Template desconto FLAT Plano Principal Oi TV nível conta"),[2]BENEFICIOS!$A:$G,5,0)))</f>
        <v/>
      </c>
      <c r="FC13" s="103"/>
      <c r="FD13" s="101" t="str">
        <f>IF(FC13=0,"",IF(FC13=VLOOKUP("PCS-OzTL741",[2]ARBOR!$A:$C,3,0),0.0001,IF(FC13&gt;VLOOKUP("PCS-OzTL741",[2]ARBOR!$A:$C,3,0),"Maior que CAP!",IF((DOLLAR(FC13+(VLOOKUP("PCS-OzTL741",[2]ARBOR!$A:$C,3,0)*-TRUNC(FC13/VLOOKUP("PCS-OzTL741",[2]ARBOR!$A:$C,3,0)-1,4)),6))&lt;&gt;(DOLLAR(VLOOKUP("PCS-OzTL741",[2]ARBOR!$A:$C,3,0),6)),-TRUNC(FC13/VLOOKUP("PCS-OzTL741",[2]ARBOR!$A:$C,3,0)-1,4)+0.0001,-TRUNC(FC13/VLOOKUP("PCS-OzTL741",[2]ARBOR!$A:$C,3,0)-1,4)))))</f>
        <v/>
      </c>
      <c r="FE13" s="178" t="str">
        <f>IF(ISERROR(IF(FD13="","",VLOOKUP(($AY13&amp;FD13&amp;"Template desconto FLAT Plano Principal Oi TV nível conta"),[2]BENEFICIOS!$A:$G,5,0))),"Criar",IF(FD13="","",VLOOKUP(($AY13&amp;FD13&amp;"Template desconto FLAT Plano Principal Oi TV nível conta"),[2]BENEFICIOS!$A:$G,5,0)))</f>
        <v/>
      </c>
      <c r="FF13" s="103"/>
      <c r="FG13" s="101" t="str">
        <f>IF(FF13=0,"",IF(FF13=VLOOKUP("PCS-OzTL744",[2]ARBOR!$A:$C,3,0),0.0001,IF(FF13&gt;VLOOKUP("PCS-OzTL744",[2]ARBOR!$A:$C,3,0),"Maior que CAP!",IF((DOLLAR(FF13+(VLOOKUP("PCS-OzTL744",[2]ARBOR!$A:$C,3,0)*-TRUNC(FF13/VLOOKUP("PCS-OzTL744",[2]ARBOR!$A:$C,3,0)-1,4)),6))&lt;&gt;(DOLLAR(VLOOKUP("PCS-OzTL744",[2]ARBOR!$A:$C,3,0),6)),-TRUNC(FF13/VLOOKUP("PCS-OzTL744",[2]ARBOR!$A:$C,3,0)-1,4)+0.0001,-TRUNC(FF13/VLOOKUP("PCS-OzTL744",[2]ARBOR!$A:$C,3,0)-1,4)))))</f>
        <v/>
      </c>
      <c r="FH13" s="178" t="str">
        <f>IF(ISERROR(IF(FG13="","",VLOOKUP(($AY13&amp;FG13&amp;"Template desconto FLAT Plano Principal Oi TV nível conta"),[2]BENEFICIOS!$A:$G,5,0))),"Criar",IF(FG13="","",VLOOKUP(($AY13&amp;FG13&amp;"Template desconto FLAT Plano Principal Oi TV nível conta"),[2]BENEFICIOS!$A:$G,5,0)))</f>
        <v/>
      </c>
      <c r="FI13" s="103"/>
      <c r="FJ13" s="101" t="str">
        <f>IF(FI13=0,"",IF(FI13=VLOOKUP("PCS-OzTL743",[2]ARBOR!$A:$C,3,0),0.0001,IF(FI13&gt;VLOOKUP("PCS-OzTL743",[2]ARBOR!$A:$C,3,0),"Maior que CAP!",IF((DOLLAR(FI13+(VLOOKUP("PCS-OzTL743",[2]ARBOR!$A:$C,3,0)*-TRUNC(FI13/VLOOKUP("PCS-OzTL743",[2]ARBOR!$A:$C,3,0)-1,4)),6))&lt;&gt;(DOLLAR(VLOOKUP("PCS-OzTL743",[2]ARBOR!$A:$C,3,0),6)),-TRUNC(FI13/VLOOKUP("PCS-OzTL743",[2]ARBOR!$A:$C,3,0)-1,4)+0.0001,-TRUNC(FI13/VLOOKUP("PCS-OzTL743",[2]ARBOR!$A:$C,3,0)-1,4)))))</f>
        <v/>
      </c>
      <c r="FK13" s="178" t="str">
        <f>IF(ISERROR(IF(FJ13="","",VLOOKUP(($AY13&amp;FJ13&amp;"Template desconto FLAT Plano Principal Oi TV nível conta"),[2]BENEFICIOS!$A:$G,5,0))),"Criar",IF(FJ13="","",VLOOKUP(($AY13&amp;FJ13&amp;"Template desconto FLAT Plano Principal Oi TV nível conta"),[2]BENEFICIOS!$A:$G,5,0)))</f>
        <v/>
      </c>
      <c r="FL13" s="103"/>
      <c r="FM13" s="101" t="str">
        <f>IF(FL13=0,"",IF(FL13=VLOOKUP("PCS-OzTL745",[2]ARBOR!$A:$C,3,0),0.0001,IF(FL13&gt;VLOOKUP("PCS-OzTL745",[2]ARBOR!$A:$C,3,0),"Maior que CAP!",IF((DOLLAR(FL13+(VLOOKUP("PCS-OzTL745",[2]ARBOR!$A:$C,3,0)*-TRUNC(FL13/VLOOKUP("PCS-OzTL745",[2]ARBOR!$A:$C,3,0)-1,4)),6))&lt;&gt;(DOLLAR(VLOOKUP("PCS-OzTL745",[2]ARBOR!$A:$C,3,0),6)),-TRUNC(FL13/VLOOKUP("PCS-OzTL745",[2]ARBOR!$A:$C,3,0)-1,4)+0.0001,-TRUNC(FL13/VLOOKUP("PCS-OzTL745",[2]ARBOR!$A:$C,3,0)-1,4)))))</f>
        <v/>
      </c>
      <c r="FN13" s="178" t="str">
        <f>IF(ISERROR(IF(FM13="","",VLOOKUP(($AY13&amp;FM13&amp;"Template desconto FLAT Plano Principal Oi TV nível conta"),[2]BENEFICIOS!$A:$G,5,0))),"Criar",IF(FM13="","",VLOOKUP(($AY13&amp;FM13&amp;"Template desconto FLAT Plano Principal Oi TV nível conta"),[2]BENEFICIOS!$A:$G,5,0)))</f>
        <v/>
      </c>
      <c r="FO13" s="103"/>
      <c r="FP13" s="101" t="str">
        <f>IF(FO13=0,"",IF(FO13=VLOOKUP("PCS-OzTL42",[2]ARBOR!$A:$C,3,0),0.0001,IF(FO13&gt;VLOOKUP("PCS-OzTL42",[2]ARBOR!$A:$C,3,0),"Maior que CAP!",IF((DOLLAR(FO13+(VLOOKUP("PCS-OzTL42",[2]ARBOR!$A:$C,3,0)*-TRUNC(FO13/VLOOKUP("PCS-OzTL42",[2]ARBOR!$A:$C,3,0)-1,4)),6))&lt;&gt;(DOLLAR(VLOOKUP("PCS-OzTL42",[2]ARBOR!$A:$C,3,0),6)),-TRUNC(FO13/VLOOKUP("PCS-OzTL42",[2]ARBOR!$A:$C,3,0)-1,4)+0.0001,-TRUNC(FO13/VLOOKUP("PCS-OzTL42",[2]ARBOR!$A:$C,3,0)-1,4)))))</f>
        <v/>
      </c>
      <c r="FQ13" s="178" t="str">
        <f>IF(ISERROR(IF(FP13="","",VLOOKUP(($AY13&amp;FP13&amp;"Template desconto FLAT Plano Principal Oi TV nível conta"),[2]BENEFICIOS!$A:$G,5,0))),"Criar",IF(FP13="","",VLOOKUP(($AY13&amp;FP13&amp;"Template desconto FLAT Plano Principal Oi TV nível conta"),[2]BENEFICIOS!$A:$G,5,0)))</f>
        <v/>
      </c>
      <c r="FR13" s="103"/>
      <c r="FS13" s="101" t="str">
        <f>IF(FR13=0,"",IF(FR13=VLOOKUP("PCS-OzTL47",[2]ARBOR!$A:$C,3,0),0.0001,IF(FR13&gt;VLOOKUP("PCS-OzTL47",[2]ARBOR!$A:$C,3,0),"Maior que CAP!",IF((DOLLAR(FR13+(VLOOKUP("PCS-OzTL47",[2]ARBOR!$A:$C,3,0)*-TRUNC(FR13/VLOOKUP("PCS-OzTL47",[2]ARBOR!$A:$C,3,0)-1,4)),6))&lt;&gt;(DOLLAR(VLOOKUP("PCS-OzTL47",[2]ARBOR!$A:$C,3,0),6)),-TRUNC(FR13/VLOOKUP("PCS-OzTL47",[2]ARBOR!$A:$C,3,0)-1,4)+0.0001,-TRUNC(FR13/VLOOKUP("PCS-OzTL47",[2]ARBOR!$A:$C,3,0)-1,4)))))</f>
        <v/>
      </c>
      <c r="FT13" s="178" t="str">
        <f>IF(ISERROR(IF(FS13="","",VLOOKUP(($AY13&amp;FS13&amp;"Template desconto FLAT Plano Principal Oi TV nível conta"),[2]BENEFICIOS!$A:$G,5,0))),"Criar",IF(FS13="","",VLOOKUP(($AY13&amp;FS13&amp;"Template desconto FLAT Plano Principal Oi TV nível conta"),[2]BENEFICIOS!$A:$G,5,0)))</f>
        <v/>
      </c>
      <c r="FU13" s="103">
        <v>149.9</v>
      </c>
      <c r="FV13" s="101">
        <f>IF(FU13=0,"",IF(FU13=VLOOKUP("PCS-OzTL46",[2]ARBOR!$A:$C,3,0),0.0001,IF(FU13&gt;VLOOKUP("PCS-OzTL46",[2]ARBOR!$A:$C,3,0),"Maior que CAP!",IF((DOLLAR(FU13+(VLOOKUP("PCS-OzTL46",[2]ARBOR!$A:$C,3,0)*-TRUNC(FU13/VLOOKUP("PCS-OzTL46",[2]ARBOR!$A:$C,3,0)-1,4)),6))&lt;&gt;(DOLLAR(VLOOKUP("PCS-OzTL46",[2]ARBOR!$A:$C,3,0),6)),-TRUNC(FU13/VLOOKUP("PCS-OzTL46",[2]ARBOR!$A:$C,3,0)-1,4)+0.0001,-TRUNC(FU13/VLOOKUP("PCS-OzTL46",[2]ARBOR!$A:$C,3,0)-1,4)))))</f>
        <v>0.30169999999999997</v>
      </c>
      <c r="FW13" s="178" t="str">
        <f>IF(ISERROR(IF(FV13="","",VLOOKUP(($AY13&amp;FV13&amp;"Template desconto FLAT Plano Principal Oi TV nível conta"),[2]BENEFICIOS!$A:$G,5,0))),"Criar",IF(FV13="","",VLOOKUP(($AY13&amp;FV13&amp;"Template desconto FLAT Plano Principal Oi TV nível conta"),[2]BENEFICIOS!$A:$G,5,0)))</f>
        <v>MKT-1-10140936051</v>
      </c>
      <c r="FX13" s="103"/>
      <c r="FY13" s="101" t="str">
        <f>IF(FX13=0,"",IF(FX13=VLOOKUP("PCS-OzTL48",[2]ARBOR!$A:$C,3,0),0.0001,IF(FX13&gt;VLOOKUP("PCS-OzTL48",[2]ARBOR!$A:$C,3,0),"Maior que CAP!",IF((DOLLAR(FX13+(VLOOKUP("PCS-OzTL48",[2]ARBOR!$A:$C,3,0)*-TRUNC(FX13/VLOOKUP("PCS-OzTL48",[2]ARBOR!$A:$C,3,0)-1,4)),6))&lt;&gt;(DOLLAR(VLOOKUP("PCS-OzTL48",[2]ARBOR!$A:$C,3,0),6)),-TRUNC(FX13/VLOOKUP("PCS-OzTL48",[2]ARBOR!$A:$C,3,0)-1,4)+0.0001,-TRUNC(FX13/VLOOKUP("PCS-OzTL48",[2]ARBOR!$A:$C,3,0)-1,4)))))</f>
        <v/>
      </c>
      <c r="FZ13" s="178" t="str">
        <f>IF(ISERROR(IF(FY13="","",VLOOKUP(($AY13&amp;FY13&amp;"Template desconto FLAT Plano Principal Oi TV nível conta"),[2]BENEFICIOS!$A:$G,5,0))),"Criar",IF(FY13="","",VLOOKUP(($AY13&amp;FY13&amp;"Template desconto FLAT Plano Principal Oi TV nível conta"),[2]BENEFICIOS!$A:$G,5,0)))</f>
        <v/>
      </c>
      <c r="GA13" s="103"/>
      <c r="GB13" s="101" t="str">
        <f>IF(GA13=0,"",IF(GA13=VLOOKUP("PCS-OzTL742",[2]ARBOR!$A:$C,3,0),0.0001,IF(GA13&gt;VLOOKUP("PCS-OzTL742",[2]ARBOR!$A:$C,3,0),"Maior que CAP!",IF((DOLLAR(GA13+(VLOOKUP("PCS-OzTL742",[2]ARBOR!$A:$C,3,0)*-TRUNC(GA13/VLOOKUP("PCS-OzTL742",[2]ARBOR!$A:$C,3,0)-1,4)),6))&lt;&gt;(DOLLAR(VLOOKUP("PCS-OzTL742",[2]ARBOR!$A:$C,3,0),6)),-TRUNC(GA13/VLOOKUP("PCS-OzTL742",[2]ARBOR!$A:$C,3,0)-1,4)+0.0001,-TRUNC(GA13/VLOOKUP("PCS-OzTL742",[2]ARBOR!$A:$C,3,0)-1,4)))))</f>
        <v/>
      </c>
      <c r="GC13" s="178" t="str">
        <f>IF(ISERROR(IF(GB13="","",VLOOKUP(($AY13&amp;GB13&amp;"Template desconto FLAT Plano Principal Oi TV nível conta"),[2]BENEFICIOS!$A:$G,5,0))),"Criar",IF(GB13="","",VLOOKUP(($AY13&amp;GB13&amp;"Template desconto FLAT Plano Principal Oi TV nível conta"),[2]BENEFICIOS!$A:$G,5,0)))</f>
        <v/>
      </c>
      <c r="GD13" s="103"/>
      <c r="GE13" s="101" t="str">
        <f>IF(GD13=0,"",IF(GD13=VLOOKUP("PCS-OzTL747",[2]ARBOR!$A:$C,3,0),0.0001,IF(GD13&gt;VLOOKUP("PCS-OzTL747",[2]ARBOR!$A:$C,3,0),"Maior que CAP!",IF((DOLLAR(GD13+(VLOOKUP("PCS-OzTL747",[2]ARBOR!$A:$C,3,0)*-TRUNC(GD13/VLOOKUP("PCS-OzTL747",[2]ARBOR!$A:$C,3,0)-1,4)),6))&lt;&gt;(DOLLAR(VLOOKUP("PCS-OzTL747",[2]ARBOR!$A:$C,3,0),6)),-TRUNC(GD13/VLOOKUP("PCS-OzTL747",[2]ARBOR!$A:$C,3,0)-1,4)+0.0001,-TRUNC(GD13/VLOOKUP("PCS-OzTL747",[2]ARBOR!$A:$C,3,0)-1,4)))))</f>
        <v/>
      </c>
      <c r="GF13" s="178" t="str">
        <f>IF(ISERROR(IF(GE13="","",VLOOKUP(($AY13&amp;GE13&amp;"Template desconto FLAT Plano Principal Oi TV nível conta"),[2]BENEFICIOS!$A:$G,5,0))),"Criar",IF(GE13="","",VLOOKUP(($AY13&amp;GE13&amp;"Template desconto FLAT Plano Principal Oi TV nível conta"),[2]BENEFICIOS!$A:$G,5,0)))</f>
        <v/>
      </c>
      <c r="GG13" s="103">
        <v>169.9</v>
      </c>
      <c r="GH13" s="101">
        <f>IF(GG13=0,"",IF(GG13=VLOOKUP("PCS-OzTL746",[2]ARBOR!$A:$C,3,0),0.0001,IF(GG13&gt;VLOOKUP("PCS-OzTL746",[2]ARBOR!$A:$C,3,0),"Maior que CAP!",IF((DOLLAR(GG13+(VLOOKUP("PCS-OzTL746",[2]ARBOR!$A:$C,3,0)*-TRUNC(GG13/VLOOKUP("PCS-OzTL746",[2]ARBOR!$A:$C,3,0)-1,4)),6))&lt;&gt;(DOLLAR(VLOOKUP("PCS-OzTL746",[2]ARBOR!$A:$C,3,0),6)),-TRUNC(GG13/VLOOKUP("PCS-OzTL746",[2]ARBOR!$A:$C,3,0)-1,4)+0.0001,-TRUNC(GG13/VLOOKUP("PCS-OzTL746",[2]ARBOR!$A:$C,3,0)-1,4)))))</f>
        <v>0.37009999999999998</v>
      </c>
      <c r="GI13" s="178" t="str">
        <f>IF(ISERROR(IF(GH13="","",VLOOKUP(($AY13&amp;GH13&amp;"Template desconto FLAT Plano Principal Oi TV nível conta"),[2]BENEFICIOS!$A:$G,5,0))),"Criar",IF(GH13="","",VLOOKUP(($AY13&amp;GH13&amp;"Template desconto FLAT Plano Principal Oi TV nível conta"),[2]BENEFICIOS!$A:$G,5,0)))</f>
        <v>MKT-1-10140958331</v>
      </c>
      <c r="GJ13" s="103"/>
      <c r="GK13" s="101" t="str">
        <f>IF(GJ13=0,"",IF(GJ13=VLOOKUP("PCS-OzTL748",[2]ARBOR!$A:$C,3,0),0.0001,IF(GJ13&gt;VLOOKUP("PCS-OzTL748",[2]ARBOR!$A:$C,3,0),"Maior que CAP!",IF((DOLLAR(GJ13+(VLOOKUP("PCS-OzTL748",[2]ARBOR!$A:$C,3,0)*-TRUNC(GJ13/VLOOKUP("PCS-OzTL748",[2]ARBOR!$A:$C,3,0)-1,4)),6))&lt;&gt;(DOLLAR(VLOOKUP("PCS-OzTL748",[2]ARBOR!$A:$C,3,0),6)),-TRUNC(GJ13/VLOOKUP("PCS-OzTL748",[2]ARBOR!$A:$C,3,0)-1,4)+0.0001,-TRUNC(GJ13/VLOOKUP("PCS-OzTL748",[2]ARBOR!$A:$C,3,0)-1,4)))))</f>
        <v/>
      </c>
      <c r="GL13" s="178" t="str">
        <f>IF(ISERROR(IF(GK13="","",VLOOKUP(($AY13&amp;GK13&amp;"Template desconto FLAT Plano Principal Oi TV nível conta"),[2]BENEFICIOS!$A:$G,5,0))),"Criar",IF(GK13="","",VLOOKUP(($AY13&amp;GK13&amp;"Template desconto FLAT Plano Principal Oi TV nível conta"),[2]BENEFICIOS!$A:$G,5,0)))</f>
        <v/>
      </c>
      <c r="GM13" s="103">
        <v>75</v>
      </c>
      <c r="GN13" s="101">
        <f>IF(GM13=0,"",IF(GM13=VLOOKUP("PCS-OzTL34",[2]ARBOR!$A:$C,3,0),0.0001,IF(GM13&gt;VLOOKUP("PCS-OzTL34",[2]ARBOR!$A:$C,3,0),"Maior que CAP!",IF((DOLLAR(GM13+(VLOOKUP("PCS-OzTL34",[2]ARBOR!$A:$C,3,0)*-TRUNC(GM13/VLOOKUP("PCS-OzTL34",[2]ARBOR!$A:$C,3,0)-1,4)),6))&lt;&gt;(DOLLAR(VLOOKUP("PCS-OzTL34",[2]ARBOR!$A:$C,3,0),6)),-TRUNC(GM13/VLOOKUP("PCS-OzTL34",[2]ARBOR!$A:$C,3,0)-1,4)+0.0001,-TRUNC(GM13/VLOOKUP("PCS-OzTL34",[2]ARBOR!$A:$C,3,0)-1,4)))))</f>
        <v>0.31900000000000001</v>
      </c>
      <c r="GO13" s="178" t="s">
        <v>178</v>
      </c>
      <c r="GP13" s="103">
        <v>19.899999999999999</v>
      </c>
      <c r="GQ13" s="101">
        <f>IF(GP13=0,"",IF(GP13=VLOOKUP("PCS-OzTL31",[2]ARBOR!$A:$C,3,0),0.0001,IF(GP13&gt;VLOOKUP("PCS-OzTL31",[2]ARBOR!$A:$C,3,0),"Maior que CAP!",IF((DOLLAR(GP13+(VLOOKUP("PCS-OzTL31",[2]ARBOR!$A:$C,3,0)*-TRUNC(GP13/VLOOKUP("PCS-OzTL31",[2]ARBOR!$A:$C,3,0)-1,4)),6))&lt;&gt;(DOLLAR(VLOOKUP("PCS-OzTL31",[2]ARBOR!$A:$C,3,0),6)),-TRUNC(GP13/VLOOKUP("PCS-OzTL31",[2]ARBOR!$A:$C,3,0)-1,4)+0.0001,-TRUNC(GP13/VLOOKUP("PCS-OzTL31",[2]ARBOR!$A:$C,3,0)-1,4)))))</f>
        <v>9.1800000000000007E-2</v>
      </c>
      <c r="GR13" s="178" t="s">
        <v>179</v>
      </c>
      <c r="GS13" s="103">
        <v>19.899999999999999</v>
      </c>
      <c r="GT13" s="101">
        <f>IF(GS13=0,"",IF(GS13=VLOOKUP("PCS-OzTL32",[2]ARBOR!$A:$C,3,0),0.0001,IF(GS13&gt;VLOOKUP("PCS-OzTL32",[2]ARBOR!$A:$C,3,0),"Maior que CAP!",IF((DOLLAR(GS13+(VLOOKUP("PCS-OzTL32",[2]ARBOR!$A:$C,3,0)*-TRUNC(GS13/VLOOKUP("PCS-OzTL32",[2]ARBOR!$A:$C,3,0)-1,4)),6))&lt;&gt;(DOLLAR(VLOOKUP("PCS-OzTL32",[2]ARBOR!$A:$C,3,0),6)),-TRUNC(GS13/VLOOKUP("PCS-OzTL32",[2]ARBOR!$A:$C,3,0)-1,4)+0.0001,-TRUNC(GS13/VLOOKUP("PCS-OzTL32",[2]ARBOR!$A:$C,3,0)-1,4)))))</f>
        <v>9.1800000000000007E-2</v>
      </c>
      <c r="GU13" s="178" t="s">
        <v>180</v>
      </c>
      <c r="GV13" s="103">
        <v>29.9</v>
      </c>
      <c r="GW13" s="101">
        <f>IF(GV13=0,"",IF(GV13=VLOOKUP("PCS-OzTL33",[2]ARBOR!$A:$C,3,0),0.0001,IF(GV13&gt;VLOOKUP("PCS-OzTL33",[2]ARBOR!$A:$C,3,0),"Maior que CAP!",IF((DOLLAR(GV13+(VLOOKUP("PCS-OzTL33",[2]ARBOR!$A:$C,3,0)*-TRUNC(GV13/VLOOKUP("PCS-OzTL33",[2]ARBOR!$A:$C,3,0)-1,4)),6))&lt;&gt;(DOLLAR(VLOOKUP("PCS-OzTL33",[2]ARBOR!$A:$C,3,0),6)),-TRUNC(GV13/VLOOKUP("PCS-OzTL33",[2]ARBOR!$A:$C,3,0)-1,4)+0.0001,-TRUNC(GV13/VLOOKUP("PCS-OzTL33",[2]ARBOR!$A:$C,3,0)-1,4)))))</f>
        <v>9.1800000000000007E-2</v>
      </c>
      <c r="GX13" s="178" t="s">
        <v>181</v>
      </c>
      <c r="GY13" s="103">
        <v>14.9</v>
      </c>
      <c r="GZ13" s="101">
        <f>IF(GY13=0,"",IF(GY13=VLOOKUP("PCS-OzTL503",[2]ARBOR!$A:$C,3,0),0.0001,IF(GY13&gt;VLOOKUP("PCS-OzTL503",[2]ARBOR!$A:$C,3,0),"Maior que CAP!",IF((DOLLAR(GY13+(VLOOKUP("PCS-OzTL503",[2]ARBOR!$A:$C,3,0)*-TRUNC(GY13/VLOOKUP("PCS-OzTL503",[2]ARBOR!$A:$C,3,0)-1,4)),6))&lt;&gt;(DOLLAR(VLOOKUP("PCS-OzTL503",[2]ARBOR!$A:$C,3,0),6)),-TRUNC(GY13/VLOOKUP("PCS-OzTL503",[2]ARBOR!$A:$C,3,0)-1,4)+0.0001,-TRUNC(GY13/VLOOKUP("PCS-OzTL503",[2]ARBOR!$A:$C,3,0)-1,4)))))</f>
        <v>9.1499999999999998E-2</v>
      </c>
      <c r="HA13" s="178" t="s">
        <v>182</v>
      </c>
      <c r="HB13" s="103">
        <v>10</v>
      </c>
      <c r="HC13" s="101">
        <f>IF(HB13=0,"",IF(HB13=VLOOKUP("PCS-OzTL500",[2]ARBOR!$A:$C,3,0),0.0001,IF(HB13&gt;VLOOKUP("PCS-OzTL500",[2]ARBOR!$A:$C,3,0),"Maior que CAP!",IF((DOLLAR(HB13+(VLOOKUP("PCS-OzTL500",[2]ARBOR!$A:$C,3,0)*-TRUNC(HB13/VLOOKUP("PCS-OzTL500",[2]ARBOR!$A:$C,3,0)-1,4)),6))&lt;&gt;(DOLLAR(VLOOKUP("PCS-OzTL500",[2]ARBOR!$A:$C,3,0),6)),-TRUNC(HB13/VLOOKUP("PCS-OzTL500",[2]ARBOR!$A:$C,3,0)-1,4)+0.0001,-TRUNC(HB13/VLOOKUP("PCS-OzTL500",[2]ARBOR!$A:$C,3,0)-1,4)))))</f>
        <v>9.1800000000000007E-2</v>
      </c>
      <c r="HD13" s="178" t="s">
        <v>183</v>
      </c>
      <c r="HE13" s="103" t="s">
        <v>184</v>
      </c>
      <c r="HF13" s="101"/>
      <c r="HG13" s="178"/>
      <c r="HH13" s="103" t="s">
        <v>185</v>
      </c>
      <c r="HI13" s="101"/>
      <c r="HJ13" s="178"/>
      <c r="HK13" s="103" t="s">
        <v>186</v>
      </c>
      <c r="HL13" s="101"/>
      <c r="HM13" s="178"/>
      <c r="HN13" s="103" t="s">
        <v>187</v>
      </c>
      <c r="HO13" s="101"/>
      <c r="HP13" s="178"/>
      <c r="HQ13" s="103" t="s">
        <v>188</v>
      </c>
      <c r="HR13" s="101"/>
      <c r="HS13" s="178"/>
      <c r="HT13" s="103">
        <v>24.9</v>
      </c>
      <c r="HU13" s="101">
        <f>IF(HT13=0,"",IF(HT13=VLOOKUP("PCS-OzTL99",[2]ARBOR!$A:$C,3,0),0.0001,IF(HT13&gt;VLOOKUP("PCS-OzTL99",[2]ARBOR!$A:$C,3,0),"Maior que CAP!",IF((DOLLAR(HT13+(VLOOKUP("PCS-OzTL99",[2]ARBOR!$A:$C,3,0)*-TRUNC(HT13/VLOOKUP("PCS-OzTL99",[2]ARBOR!$A:$C,3,0)-1,4)),6))&lt;&gt;(DOLLAR(VLOOKUP("PCS-OzTL99",[2]ARBOR!$A:$C,3,0),6)),-TRUNC(HT13/VLOOKUP("PCS-OzTL99",[2]ARBOR!$A:$C,3,0)-1,4)+0.0001,-TRUNC(HT13/VLOOKUP("PCS-OzTL99",[2]ARBOR!$A:$C,3,0)-1,4)))))</f>
        <v>0.16729999999999998</v>
      </c>
      <c r="HV13" s="179" t="s">
        <v>189</v>
      </c>
      <c r="HW13" s="170" t="s">
        <v>167</v>
      </c>
      <c r="HX13" s="178" t="str">
        <f t="shared" si="4"/>
        <v>PCS-34704</v>
      </c>
      <c r="HY13" s="180" t="str">
        <f>IFERROR((IF(AZ13="","",VLOOKUP(AZ13,[2]ARBOR!A:C,3,0))),"")</f>
        <v/>
      </c>
      <c r="HZ13" s="181"/>
      <c r="IA13" s="158" t="str">
        <f>IF(HZ13="","",ROUND(1-(HZ13/VLOOKUP(AZ13&amp;"ASS",[2]ARBOR!A:C,3,0)),4))</f>
        <v/>
      </c>
      <c r="IB13" s="158"/>
      <c r="IC13" s="182"/>
      <c r="ID13" s="183"/>
      <c r="IE13" s="101" t="str">
        <f>IF(ID13="","",ROUND(IF(ID13=0,"",IF(ID13=HY13,0.0001,1-((ID13+(VLOOKUP(AZ13&amp;"ASS",[2]ARBOR!A:C,3,0)-HZ13))/HY13))),4))</f>
        <v/>
      </c>
      <c r="IF13" s="101" t="str">
        <f>IF(ISERROR(IF(IE13="","",VLOOKUP(($AY13&amp;IE13&amp;"Template de desconto percentual FLAT Móvel - Conta Total - Varejo - Ganho Tributário Cross"),[2]BENEFICIOS!$A:$E,5,0))),"Criar",IF(IE13="","",VLOOKUP(($AY13&amp;IE13&amp;"Template de desconto percentual FLAT Móvel - Conta Total - Varejo - Ganho Tributário Cross"),[2]BENEFICIOS!$A:$E,5,0)))</f>
        <v/>
      </c>
      <c r="IG13" s="167"/>
      <c r="IH13" s="101"/>
      <c r="II13" s="184"/>
      <c r="IJ13" s="185"/>
      <c r="IK13" s="101"/>
      <c r="IL13" s="101"/>
      <c r="IM13" s="186"/>
      <c r="IN13" s="186"/>
      <c r="IO13" s="187"/>
      <c r="IP13" s="188" t="str">
        <f>IF(IO13=0,"",IF(IO13=VLOOKUP("PCS-813566",[2]ARBOR!$A:$C,3,0),0.0001,IF(IO13&gt;VLOOKUP("PCS-813566",[2]ARBOR!$A:$C,3,0),"Maior que CAP!",ROUND(-1*(IO13/VLOOKUP("PCS-813566",[2]ARBOR!$A:$C,3,0)-1),4))))</f>
        <v/>
      </c>
      <c r="IQ13" s="189" t="str">
        <f>IF(ISERROR(IF(IP13="","",VLOOKUP(("Oi Internet Pra Celular 300MB"&amp;IP13&amp;"Template Flat Instância Dados"),[2]BENEFICIOS!$A:$E,5,0))),"Criar",IF(IP13="","",VLOOKUP(("Oi Internet Pra Celular 300MB"&amp;IP13&amp;"Template Flat Instância Dados"),[2]BENEFICIOS!$A:$E,5,0)))</f>
        <v/>
      </c>
      <c r="IR13" s="190"/>
      <c r="IS13" s="191" t="str">
        <f>IF(IR13=0,"",IF(IR13=VLOOKUP("sva_bancas",[2]ARBOR!$A:$C,3,0),0.0001,IF(IR13&gt;VLOOKUP("sva_livros",[2]ARBOR!$A:$C,3,0),"Maior que CAP!",ROUND(-1*(IR13/VLOOKUP("sva_bancas",[2]ARBOR!$A:$C,3,0)-1),4))))</f>
        <v/>
      </c>
      <c r="IT13" s="192" t="str">
        <f>IF(ISERROR(IF(IS13="","",VLOOKUP(("Oi Internet Pra Celular 300MB"&amp;IS13&amp;"Template Desconto % SVA DADOS B2C"),[2]BENEFICIOS!$A:$E,5,0))),"Criar",IF(IS13="","",VLOOKUP(("Oi Internet Pra Celular 300MB"&amp;IS13&amp;"Template Desconto % SVA DADOS B2C"),[2]BENEFICIOS!$A:$E,5,0)))</f>
        <v/>
      </c>
      <c r="IU13" s="187"/>
      <c r="IV13" s="188" t="str">
        <f>IF(IU13=0,"",IF(IU13=VLOOKUP("PCS-813564",[2]ARBOR!$A:$C,3,0),0.0001,IF(IU13&gt;VLOOKUP("PCS-813564",[2]ARBOR!$A:$C,3,0),"Maior que CAP!",ROUND(-1*(IU13/VLOOKUP("PCS-813564",[2]ARBOR!$A:$C,3,0)-1),4))))</f>
        <v/>
      </c>
      <c r="IW13" s="189" t="str">
        <f>IF(ISERROR(IF(IV13="","",VLOOKUP(("Oi Internet Pra Celular 500MB"&amp;IV13&amp;"Template Flat Instância Dados"),[2]BENEFICIOS!$A:$E,5,0))),"Criar",IF(IV13="","",VLOOKUP(("Oi Internet Pra Celular 500MB"&amp;IV13&amp;"Template Flat Instância Dados"),[2]BENEFICIOS!$A:$E,5,0)))</f>
        <v/>
      </c>
      <c r="IX13" s="190"/>
      <c r="IY13" s="191" t="str">
        <f>IF(IX13=0,"",IF(IX13=VLOOKUP("sva_livros",[2]ARBOR!$A:$C,3,0),0.0001,IF(IX13&gt;VLOOKUP("sva_livros",[2]ARBOR!$A:$C,3,0),"Maior que CAP!",ROUND(-1*(IX13/VLOOKUP("sva_livros",[2]ARBOR!$A:$C,3,0)-1),4))))</f>
        <v/>
      </c>
      <c r="IZ13" s="192" t="str">
        <f>IF(ISERROR(IF(IY13="","",VLOOKUP(("Oi Internet Pra Celular 500MB"&amp;IY13&amp;"Template Desconto % SVA DADOS B2C"),[2]BENEFICIOS!$A:$E,5,0))),"Criar",IF(IY13="","",VLOOKUP(("Oi Internet Pra Celular 500MB"&amp;IY13&amp;"Template Desconto % SVA DADOS B2C"),[2]BENEFICIOS!$A:$E,5,0)))</f>
        <v/>
      </c>
      <c r="JA13" s="187"/>
      <c r="JB13" s="188" t="str">
        <f>IF(JA13=0,"",IF(JA13=VLOOKUP("PCS-10357",[2]ARBOR!$A:$C,3,0),0.0001,IF(JA13&gt;VLOOKUP("PCS-10357",[2]ARBOR!$A:$C,3,0),"Maior que CAP!",ROUND(-1*(JA13/VLOOKUP("PCS-10357",[2]ARBOR!$A:$C,3,0)-1),4))))</f>
        <v/>
      </c>
      <c r="JC13" s="189" t="str">
        <f>IF(ISERROR(IF(JB13="","",VLOOKUP(("Oi Internet Pra Celular 1GB"&amp;JB13&amp;"Template Flat Instância Dados"),[2]BENEFICIOS!$A:$E,5,0))),"Criar",IF(JB13="","",VLOOKUP(("Oi Internet Pra Celular 1GB"&amp;JB13&amp;"Template Flat Instância Dados"),[2]BENEFICIOS!$A:$E,5,0)))</f>
        <v/>
      </c>
      <c r="JD13" s="190"/>
      <c r="JE13" s="191" t="str">
        <f>IF(JD13=0,"",IF(JD13=VLOOKUP("sva_livros",[2]ARBOR!$A:$C,3,0),0.0001,IF(JD13&gt;VLOOKUP("sva_livros",[2]ARBOR!$A:$C,3,0),"Maior que CAP!",ROUND(-1*(JD13/VLOOKUP("sva_livros",[2]ARBOR!$A:$C,3,0)-1),4))))</f>
        <v/>
      </c>
      <c r="JF13" s="192" t="str">
        <f>IF(ISERROR(IF(JE13="","",VLOOKUP(("Oi Internet Pra Celular 1GB"&amp;JE13&amp;"Template Desconto % SVA DADOS B2C"),[2]BENEFICIOS!$A:$E,5,0))),"Criar",IF(JE13="","",VLOOKUP(("Oi Internet Pra Celular 1GB"&amp;JE13&amp;"Template Desconto % SVA DADOS B2C"),[2]BENEFICIOS!$A:$E,5,0)))</f>
        <v/>
      </c>
      <c r="JG13" s="187"/>
      <c r="JH13" s="188" t="str">
        <f>IF(JG13=0,"",IF(JG13=VLOOKUP("PCS-813565",[2]ARBOR!$A:$C,3,0),0.0001,IF(JG13&gt;VLOOKUP("PCS-813565",[2]ARBOR!$A:$C,3,0),"Maior que CAP!",ROUND(-1*(JG13/VLOOKUP("PCS-813565",[2]ARBOR!$A:$C,3,0)-1),4))))</f>
        <v/>
      </c>
      <c r="JI13" s="189" t="str">
        <f>IF(ISERROR(IF(JH13="","",VLOOKUP(("Oi Internet Pra Celular 2GB"&amp;JH13&amp;"Template Flat Instância Dados"),[2]BENEFICIOS!$A:$E,5,0))),"Criar",IF(JH13="","",VLOOKUP(("Oi Internet Pra Celular 2GB"&amp;JH13&amp;"Template Flat Instância Dados"),[2]BENEFICIOS!$A:$E,5,0)))</f>
        <v/>
      </c>
      <c r="JJ13" s="190"/>
      <c r="JK13" s="191" t="str">
        <f>IF(JJ13=0,"",IF(JJ13=VLOOKUP("sva_livros",[2]ARBOR!$A:$C,3,0),0.0001,IF(JJ13&gt;VLOOKUP("sva_livros",[2]ARBOR!$A:$C,3,0),"Maior que CAP!",ROUND(-1*(JJ13/VLOOKUP("sva_livros",[2]ARBOR!$A:$C,3,0)-1),4))))</f>
        <v/>
      </c>
      <c r="JL13" s="192" t="str">
        <f>IF(ISERROR(IF(JK13="","",VLOOKUP(("Oi Internet Pra Celular 2GB"&amp;JK13&amp;"Template Desconto % SVA DADOS B2C"),[2]BENEFICIOS!$A:$E,5,0))),"Criar",IF(JK13="","",VLOOKUP(("Oi Internet Pra Celular 2GB"&amp;JK13&amp;"Template Desconto % SVA DADOS B2C"),[2]BENEFICIOS!$A:$E,5,0)))</f>
        <v/>
      </c>
      <c r="JM13" s="187"/>
      <c r="JN13" s="188" t="str">
        <f>IF(JM13=0,"",IF(JM13=VLOOKUP("PCS-7171B",[2]ARBOR!$A:$C,3,0),0.0001,IF(JM13&gt;VLOOKUP("PCS-7171B",[2]ARBOR!$A:$C,3,0),"Maior que CAP!",ROUND(-1*(JM13/VLOOKUP("PCS-7171B",[2]ARBOR!$A:$C,3,0)-1),4))))</f>
        <v/>
      </c>
      <c r="JO13" s="189" t="str">
        <f>IF(ISERROR(IF(JN13="","",VLOOKUP(("Oi Internet Pra Celular 3GB"&amp;JN13&amp;"Template Flat Instância Dados"),[2]BENEFICIOS!$A:$E,5,0))),"Criar",IF(JN13="","",VLOOKUP(("Oi Internet Pra Celular 3GB"&amp;JN13&amp;"Template Flat Instância Dados"),[2]BENEFICIOS!$A:$E,5,0)))</f>
        <v/>
      </c>
      <c r="JP13" s="190"/>
      <c r="JQ13" s="191" t="str">
        <f>IF(JP13=0,"",IF(JP13=VLOOKUP("sva_livros",[2]ARBOR!$A:$C,3,0),0.0001,IF(JP13&gt;VLOOKUP("sva_livros",[2]ARBOR!$A:$C,3,0),"Maior que CAP!",ROUND(-1*(JP13/VLOOKUP("sva_livros",[2]ARBOR!$A:$C,3,0)-1),4))))</f>
        <v/>
      </c>
      <c r="JR13" s="192" t="str">
        <f>IF(ISERROR(IF(JQ13="","",VLOOKUP(("Oi Internet Pra Celular 3GB"&amp;JQ13&amp;"Template Desconto % SVA DADOS B2C"),[2]BENEFICIOS!$A:$E,5,0))),"Criar",IF(JQ13="","",VLOOKUP(("Oi Internet Pra Celular 3GB"&amp;JQ13&amp;"Template Desconto % SVA DADOS B2C"),[2]BENEFICIOS!$A:$E,5,0)))</f>
        <v/>
      </c>
      <c r="JS13" s="187"/>
      <c r="JT13" s="188" t="str">
        <f>IF(JS13=0,"",IF(JS13=VLOOKUP("PCS-51793o08",[2]ARBOR!$A:$C,3,0),0.0001,IF(JS13&gt;VLOOKUP("PCS-51793o08",[2]ARBOR!$A:$C,3,0),"Maior que CAP!",ROUND(-1*(JS13/VLOOKUP("PCS-51793o08",[2]ARBOR!$A:$C,3,0)-1),4))))</f>
        <v/>
      </c>
      <c r="JU13" s="189" t="str">
        <f>IF(ISERROR(IF(JT13="","",VLOOKUP(("Oi Internet Pra Celular 5GB"&amp;JT13&amp;"Template Flat Instância Dados"),[2]BENEFICIOS!$A:$E,5,0))),"Criar",IF(JT13="","",VLOOKUP(("Oi Internet Pra Celular 5GB"&amp;JT13&amp;"Template Flat Instância Dados"),[2]BENEFICIOS!$A:$E,5,0)))</f>
        <v/>
      </c>
      <c r="JV13" s="190"/>
      <c r="JW13" s="191" t="str">
        <f>IF(JV13=0,"",IF(JV13=VLOOKUP("sva_curtas",[2]ARBOR!$A:$C,3,0),0.0001,IF(JV13&gt;VLOOKUP("sva_curtas",[2]ARBOR!$A:$C,3,0),"Maior que CAP!",ROUND(-1*(JV13/VLOOKUP("sva_curtas",[2]ARBOR!$A:$C,3,0)-1),4))))</f>
        <v/>
      </c>
      <c r="JX13" s="192" t="str">
        <f>IF(ISERROR(IF(JW13="","",VLOOKUP(("Oi Internet Pra Celular 5GB"&amp;JW13&amp;"Template Desconto % SVA DADOS B2C"),[2]BENEFICIOS!$A:$E,5,0))),"Criar",IF(JW13="","",VLOOKUP(("Oi Internet Pra Celular 5GB"&amp;JW13&amp;"Template Desconto % SVA DADOS B2C"),[2]BENEFICIOS!$A:$E,5,0)))</f>
        <v/>
      </c>
      <c r="JY13" s="187"/>
      <c r="JZ13" s="188" t="str">
        <f>IF(JY13=0,"",IF(JY13=VLOOKUP("PCS-7171A",[2]ARBOR!$A:$C,3,0),0.0001,IF(JY13&gt;VLOOKUP("PCS-7171A",[2]ARBOR!$A:$C,3,0),"Maior que CAP!",ROUND(-1*(JY13/VLOOKUP("PCS-7171A",[2]ARBOR!$A:$C,3,0)-1),4))))</f>
        <v/>
      </c>
      <c r="KA13" s="193" t="str">
        <f>IF(ISERROR(IF(JZ13="","",VLOOKUP(("Oi Internet Pra Celular 10GB"&amp;JZ13&amp;"Template Flat Instância Dados"),[2]BENEFICIOS!$A:$E,5,0))),"Criar",IF(JZ13="","",VLOOKUP(("Oi Internet Pra Celular 10GB"&amp;JZ13&amp;"Template Flat Instância Dados"),[2]BENEFICIOS!$A:$E,5,0)))</f>
        <v/>
      </c>
      <c r="KB13" s="190"/>
      <c r="KC13" s="191" t="str">
        <f>IF(KB13=0,"",IF(KB13=VLOOKUP("sva_curtas",[2]ARBOR!$A:$C,3,0),0.0001,IF(KB13&gt;VLOOKUP("sva_curtas",[2]ARBOR!$A:$C,3,0),"Maior que CAP!",ROUND(-1*(KB13/VLOOKUP("sva_curtas",[2]ARBOR!$A:$C,3,0)-1),4))))</f>
        <v/>
      </c>
      <c r="KD13" s="192" t="str">
        <f>IF(ISERROR(IF(KC13="","",VLOOKUP(("Oi Internet Pra Celular 10GB"&amp;KC13&amp;"Template Desconto % SVA DADOS B2C"),[2]BENEFICIOS!$A:$E,5,0))),"Criar",IF(KC13="","",VLOOKUP(("Oi Internet Pra Celular 10GB"&amp;KC13&amp;"Template Desconto % SVA DADOS B2C"),[2]BENEFICIOS!$A:$E,5,0)))</f>
        <v/>
      </c>
      <c r="KE13" s="194"/>
      <c r="KF13" s="195"/>
      <c r="KG13" s="196" t="s">
        <v>167</v>
      </c>
      <c r="KH13" s="197" t="s">
        <v>190</v>
      </c>
      <c r="KI13" s="198">
        <v>799</v>
      </c>
      <c r="KJ13" s="197">
        <v>12</v>
      </c>
      <c r="KK13" s="199" t="str">
        <f t="shared" si="5"/>
        <v>Oi benefício fidelização Multiprodutos</v>
      </c>
      <c r="KL13" s="200" t="str">
        <f t="shared" si="6"/>
        <v>PCS-Fk83324</v>
      </c>
      <c r="KM13" s="200" t="str">
        <f t="shared" si="7"/>
        <v>PCS-SBL553142</v>
      </c>
      <c r="KN13" s="201" t="s">
        <v>191</v>
      </c>
      <c r="KO13" s="202" t="s">
        <v>192</v>
      </c>
      <c r="KP13" s="202" t="s">
        <v>193</v>
      </c>
      <c r="KQ13" s="201" t="s">
        <v>194</v>
      </c>
      <c r="KR13" s="199" t="s">
        <v>195</v>
      </c>
      <c r="KS13" s="200" t="s">
        <v>196</v>
      </c>
      <c r="KT13" s="203" t="s">
        <v>197</v>
      </c>
      <c r="KU13" s="129"/>
      <c r="KV13" s="129"/>
      <c r="KW13" s="129"/>
      <c r="KX13" s="129"/>
      <c r="KY13" s="129"/>
      <c r="KZ13" s="129"/>
      <c r="LA13" s="129"/>
      <c r="LB13" s="129"/>
      <c r="LC13" s="129"/>
      <c r="LD13" s="129"/>
      <c r="LE13" s="129"/>
      <c r="LF13" s="129"/>
      <c r="LG13" s="129"/>
      <c r="LH13" s="129"/>
      <c r="LI13" s="129"/>
      <c r="LJ13" s="129"/>
      <c r="LK13" s="204"/>
      <c r="LL13" s="212"/>
      <c r="LM13" s="213"/>
      <c r="LN13" s="213"/>
      <c r="LO13" s="213"/>
      <c r="LP13" s="213"/>
      <c r="LQ13" s="213"/>
      <c r="LR13" s="213"/>
      <c r="LS13" s="213"/>
      <c r="LT13" s="213"/>
      <c r="LU13" s="214"/>
      <c r="LV13" t="s">
        <v>216</v>
      </c>
      <c r="LW13" t="s">
        <v>200</v>
      </c>
    </row>
    <row r="14" spans="1:335" x14ac:dyDescent="0.25">
      <c r="A14" s="134" t="s">
        <v>164</v>
      </c>
      <c r="B14" s="135" t="s">
        <v>165</v>
      </c>
      <c r="C14" s="135" t="s">
        <v>166</v>
      </c>
      <c r="D14" s="136" t="s">
        <v>167</v>
      </c>
      <c r="E14" s="137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9"/>
      <c r="Q14" s="139"/>
      <c r="R14" s="139"/>
      <c r="S14" s="140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38"/>
      <c r="AE14" s="141"/>
      <c r="AF14" s="138"/>
      <c r="AG14" s="138"/>
      <c r="AH14" s="142"/>
      <c r="AI14" s="209" t="s">
        <v>217</v>
      </c>
      <c r="AJ14" s="59" t="s">
        <v>168</v>
      </c>
      <c r="AK14" s="60" t="s">
        <v>209</v>
      </c>
      <c r="AL14" s="143">
        <v>43039</v>
      </c>
      <c r="AM14" s="144">
        <v>43159</v>
      </c>
      <c r="AN14" s="63" t="s">
        <v>170</v>
      </c>
      <c r="AO14" s="64" t="s">
        <v>170</v>
      </c>
      <c r="AP14" s="145"/>
      <c r="AQ14" s="145" t="s">
        <v>171</v>
      </c>
      <c r="AR14" s="145">
        <v>20</v>
      </c>
      <c r="AS14" s="145">
        <v>10000</v>
      </c>
      <c r="AT14" s="146" t="s">
        <v>172</v>
      </c>
      <c r="AU14" s="147" t="s">
        <v>167</v>
      </c>
      <c r="AV14" s="148" t="s">
        <v>173</v>
      </c>
      <c r="AW14" s="149" t="s">
        <v>173</v>
      </c>
      <c r="AX14" s="150" t="s">
        <v>217</v>
      </c>
      <c r="AY14" s="151" t="s">
        <v>203</v>
      </c>
      <c r="AZ14" s="152" t="str">
        <f>IF(ISERROR(VLOOKUP(AY14,[2]PLANOS!B:C,2,0)),"",VLOOKUP(AY14,[2]PLANOS!B:C,2,0))</f>
        <v>PCS-3PHipi</v>
      </c>
      <c r="BA14" s="153" t="s">
        <v>173</v>
      </c>
      <c r="BB14" s="154" t="str">
        <f t="shared" si="1"/>
        <v/>
      </c>
      <c r="BC14" s="155"/>
      <c r="BD14" s="156"/>
      <c r="BE14" s="157">
        <v>50.11</v>
      </c>
      <c r="BF14" s="101">
        <f>IF(BE14=0,"",IF(BE14=VLOOKUP("FIXO",[2]ARBOR!$A:$C,3,0),0.0001,IF(BE14&gt;VLOOKUP("FIXO",[2]ARBOR!$A:$C,3,0),"Maior que CAP!",IF((DOLLAR(BE14+(VLOOKUP("FIXO",[2]ARBOR!$A:$C,3,0)*-TRUNC(BE14/VLOOKUP("FIXO",[2]ARBOR!$A:$C,3,0)-1,4)),6))&lt;&gt;(DOLLAR(VLOOKUP("FIXO",[2]ARBOR!$A:$C,3,0),6)),-TRUNC(BE14/VLOOKUP("FIXO",[2]ARBOR!$A:$C,3,0)-1,4)+0.0001,-TRUNC(BE14/VLOOKUP("FIXO",[2]ARBOR!$A:$C,3,0)-1,4)))))</f>
        <v>0.33929999999999999</v>
      </c>
      <c r="BG14" s="158"/>
      <c r="BH14" s="101" t="str">
        <f>IF(BG14=0,"",IF(BG14=VLOOKUP("FIXO",[2]ARBOR!$A:$C,3,0),0.0001,IF(BG14&gt;VLOOKUP("FIXO",[2]ARBOR!$A:$C,3,0),"Maior que CAP!",IF((DOLLAR(BG14+(VLOOKUP("FIXO",[2]ARBOR!$A:$C,3,0)*-TRUNC(BG14/VLOOKUP("FIXO",[2]ARBOR!$A:$C,3,0)-1,4)),6))&lt;&gt;(DOLLAR(VLOOKUP("FIXO",[2]ARBOR!$A:$C,3,0),6)),-TRUNC(BG14/VLOOKUP("FIXO",[2]ARBOR!$A:$C,3,0)-1,4)+0.0001,-TRUNC(BG14/VLOOKUP("FIXO",[2]ARBOR!$A:$C,3,0)-1,4)))))</f>
        <v/>
      </c>
      <c r="BI14" s="101" t="str">
        <f>IF(ISERROR(IF(BF14="","",VLOOKUP(($AY14&amp;BF14&amp;"Template de desconto FLAT bundle - Fixo - Varejo - Ganho Tributário Cross"),[2]BENEFICIOS!$A:$E,5,0))),"Criar",IF(BF14="","",VLOOKUP(($AY14&amp;BF14&amp;"Template de desconto FLAT bundle - Fixo - Varejo - Ganho Tributário Cross"),[2]BENEFICIOS!$A:$E,5,0)))</f>
        <v>MKT-1-9825728196</v>
      </c>
      <c r="BJ14" s="159"/>
      <c r="BK14" s="101" t="str">
        <f t="shared" si="2"/>
        <v/>
      </c>
      <c r="BL14" s="160"/>
      <c r="BM14" s="101" t="str">
        <f>IF(BL14=0,"",IF(BL14=VLOOKUP("FIXO",[2]ARBOR!$A:$C,3,0),0.0001,IF(BL14&gt;VLOOKUP("FIXO",[2]ARBOR!$A:$C,3,0),"Maior que CAP!",IF(BF14&lt;&gt;"",-ROUND(BL14/VLOOKUP("FIXO",[2]ARBOR!$A:$C,3,0)-1,4)-BF14,-ROUND(BL14/VLOOKUP("FIXO",[2]ARBOR!$A:$C,3,0)-1,4)))))</f>
        <v/>
      </c>
      <c r="BN14" s="161"/>
      <c r="BO14" s="101" t="str">
        <f>IF(ISERROR(IF(BK14="","",VLOOKUP(($AY14&amp;BK14&amp;"Template de desconto FLAT bundle - Fixo - Varejo - Ganho Tributário Cross"),[2]BENEFICIOS!$A:$E,5,0))),"Criar",IF(BK14="","",VLOOKUP(($AY14&amp;BK14&amp;"Template de desconto FLAT bundle - Fixo - Varejo - Ganho Tributário Cross"),[2]BENEFICIOS!$A:$E,5,0)))</f>
        <v/>
      </c>
      <c r="BP14" s="162" t="s">
        <v>175</v>
      </c>
      <c r="BQ14" s="163" t="s">
        <v>176</v>
      </c>
      <c r="BR14" s="164" t="s">
        <v>173</v>
      </c>
      <c r="BS14" s="165" t="str">
        <f t="shared" si="0"/>
        <v/>
      </c>
      <c r="BT14" s="155"/>
      <c r="BU14" s="166"/>
      <c r="BV14" s="167" t="s">
        <v>210</v>
      </c>
      <c r="BW14" s="168">
        <v>44.9</v>
      </c>
      <c r="BX14" s="101">
        <f>IF(BW14=0,"",IF(BW14=VLOOKUP("PCS-30874g",[2]ARBOR!$A:$C,3,0),0.0001,IF(BW14&gt;VLOOKUP("PCS-30874g",[2]ARBOR!$A:$C,3,0),"Maior que CAP!",IF((DOLLAR(BW14+(VLOOKUP("PCS-30874g",[2]ARBOR!$A:$C,3,0)*-TRUNC(BW14/VLOOKUP("PCS-30874g",[2]ARBOR!$A:$C,3,0)-1,4)),6))&lt;&gt;(DOLLAR(VLOOKUP("PCS-30874g",[2]ARBOR!$A:$C,3,0),6)),-TRUNC(BW14/VLOOKUP("PCS-30874g",[2]ARBOR!$A:$C,3,0)-1,4)+0.0001,-TRUNC(BW14/VLOOKUP("PCS-30874g",[2]ARBOR!$A:$C,3,0)-1,4)))))</f>
        <v>0.53679999999999994</v>
      </c>
      <c r="BY14" s="163" t="str">
        <f>IF(ISERROR(IF(BX14="","",VLOOKUP(($AY14&amp;BX14&amp;"Template de desconto FLAT bundle - Velox XDSL - Varejo"),[2]BENEFICIOS!$A:$E,5,0))),"Criar",IF(BX14="","",VLOOKUP(($AY14&amp;BX14&amp;"Template de desconto FLAT bundle - Velox XDSL - Varejo"),[2]BENEFICIOS!$A:$E,5,0)))</f>
        <v>MKT-1-9829477373</v>
      </c>
      <c r="BZ14" s="167" t="s">
        <v>210</v>
      </c>
      <c r="CA14" s="168">
        <v>44.9</v>
      </c>
      <c r="CB14" s="101">
        <f>IF(CA14=0,"",IF(CA14=VLOOKUP("PCS-30577g",[2]ARBOR!$A:$C,3,0),0.0001,IF(CA14&gt;VLOOKUP("PCS-30577g",[2]ARBOR!$A:$C,3,0),"Maior que CAP!",IF((DOLLAR(CA14+(VLOOKUP("PCS-30577g",[2]ARBOR!$A:$C,3,0)*-TRUNC(CA14/VLOOKUP("PCS-30577g",[2]ARBOR!$A:$C,3,0)-1,4)),6))&lt;&gt;(DOLLAR(VLOOKUP("PCS-30577g",[2]ARBOR!$A:$C,3,0),6)),-TRUNC(CA14/VLOOKUP("PCS-30577g",[2]ARBOR!$A:$C,3,0)-1,4)+0.0001,-TRUNC(CA14/VLOOKUP("PCS-30577g",[2]ARBOR!$A:$C,3,0)-1,4)))))</f>
        <v>0.53679999999999994</v>
      </c>
      <c r="CC14" s="163" t="str">
        <f>IF(ISERROR(IF(CB14="","",VLOOKUP(($AY14&amp;CB14&amp;"Template de desconto FLAT bundle - Velox XDSL - Varejo"),[2]BENEFICIOS!$A:$E,5,0))),"Criar",IF(CB14="","",VLOOKUP(($AY14&amp;CB14&amp;"Template de desconto FLAT bundle - Velox XDSL - Varejo"),[2]BENEFICIOS!$A:$E,5,0)))</f>
        <v>MKT-1-9829477373</v>
      </c>
      <c r="CD14" s="167" t="s">
        <v>210</v>
      </c>
      <c r="CE14" s="168">
        <v>44.9</v>
      </c>
      <c r="CF14" s="101">
        <f>IF(CE14=0,"",IF(CE14=VLOOKUP("PCS-30604g",[2]ARBOR!$A:$C,3,0),0.0001,IF(CE14&gt;VLOOKUP("PCS-30604g",[2]ARBOR!$A:$C,3,0),"Maior que CAP!",IF((DOLLAR(CE14+(VLOOKUP("PCS-30604g",[2]ARBOR!$A:$C,3,0)*-TRUNC(CE14/VLOOKUP("PCS-30604g",[2]ARBOR!$A:$C,3,0)-1,4)),6))&lt;&gt;(DOLLAR(VLOOKUP("PCS-30604g",[2]ARBOR!$A:$C,3,0),6)),-TRUNC(CE14/VLOOKUP("PCS-30604g",[2]ARBOR!$A:$C,3,0)-1,4)+0.0001,-TRUNC(CE14/VLOOKUP("PCS-30604g",[2]ARBOR!$A:$C,3,0)-1,4)))))</f>
        <v>0.53679999999999994</v>
      </c>
      <c r="CG14" s="163" t="str">
        <f>IF(ISERROR(IF(CF14="","",VLOOKUP(($AY14&amp;CF14&amp;"Template de desconto FLAT bundle - Velox XDSL - Varejo"),[2]BENEFICIOS!$A:$E,5,0))),"Criar",IF(CF14="","",VLOOKUP(($AY14&amp;CF14&amp;"Template de desconto FLAT bundle - Velox XDSL - Varejo"),[2]BENEFICIOS!$A:$E,5,0)))</f>
        <v>MKT-1-9829477373</v>
      </c>
      <c r="CH14" s="167" t="s">
        <v>210</v>
      </c>
      <c r="CI14" s="168">
        <v>44.9</v>
      </c>
      <c r="CJ14" s="101">
        <f>IF(CI14=0,"",IF(CI14=VLOOKUP("PCS-30631g",[2]ARBOR!$A:$C,3,0),0.0001,IF(CI14&gt;VLOOKUP("PCS-30631g",[2]ARBOR!$A:$C,3,0),"Maior que CAP!",IF((DOLLAR(CI14+(VLOOKUP("PCS-30631g",[2]ARBOR!$A:$C,3,0)*-TRUNC(CI14/VLOOKUP("PCS-30631g",[2]ARBOR!$A:$C,3,0)-1,4)),6))&lt;&gt;(DOLLAR(VLOOKUP("PCS-30631g",[2]ARBOR!$A:$C,3,0),6)),-TRUNC(CI14/VLOOKUP("PCS-30631g",[2]ARBOR!$A:$C,3,0)-1,4)+0.0001,-TRUNC(CI14/VLOOKUP("PCS-30631g",[2]ARBOR!$A:$C,3,0)-1,4)))))</f>
        <v>0.54310000000000003</v>
      </c>
      <c r="CK14" s="163" t="str">
        <f>IF(ISERROR(IF(CJ14="","",VLOOKUP(($AY14&amp;CJ14&amp;"Template de desconto FLAT bundle - Velox XDSL - Varejo"),[2]BENEFICIOS!$A:$E,5,0))),"Criar",IF(CJ14="","",VLOOKUP(($AY14&amp;CJ14&amp;"Template de desconto FLAT bundle - Velox XDSL - Varejo"),[2]BENEFICIOS!$A:$E,5,0)))</f>
        <v>MKT-1-9828219079</v>
      </c>
      <c r="CL14" s="167" t="s">
        <v>104</v>
      </c>
      <c r="CM14" s="168">
        <v>49.9</v>
      </c>
      <c r="CN14" s="101">
        <f>IF(CM14=0,"",IF(CM14=VLOOKUP("PCS-30658g",[2]ARBOR!$A:$C,3,0),0.0001,IF(CM14&gt;VLOOKUP("PCS-30658g",[2]ARBOR!$A:$C,3,0),"Maior que CAP!",IF((DOLLAR(CM14+(VLOOKUP("PCS-30658g",[2]ARBOR!$A:$C,3,0)*-TRUNC(CM14/VLOOKUP("PCS-30658g",[2]ARBOR!$A:$C,3,0)-1,4)),6))&lt;&gt;(DOLLAR(VLOOKUP("PCS-30658g",[2]ARBOR!$A:$C,3,0),6)),-TRUNC(CM14/VLOOKUP("PCS-30658g",[2]ARBOR!$A:$C,3,0)-1,4)+0.0001,-TRUNC(CM14/VLOOKUP("PCS-30658g",[2]ARBOR!$A:$C,3,0)-1,4)))))</f>
        <v>0.55569999999999997</v>
      </c>
      <c r="CO14" s="163" t="str">
        <f>IF(ISERROR(IF(CN14="","",VLOOKUP(($AY14&amp;CN14&amp;"Template de desconto FLAT bundle - Velox XDSL - Varejo"),[2]BENEFICIOS!$A:$E,5,0))),"Criar",IF(CN14="","",VLOOKUP(($AY14&amp;CN14&amp;"Template de desconto FLAT bundle - Velox XDSL - Varejo"),[2]BENEFICIOS!$A:$E,5,0)))</f>
        <v>MKT-1-9828243608</v>
      </c>
      <c r="CP14" s="167" t="s">
        <v>104</v>
      </c>
      <c r="CQ14" s="168">
        <v>49.9</v>
      </c>
      <c r="CR14" s="101">
        <f>IF(CQ14=0,"",IF(CQ14=VLOOKUP("PCS-30685g",[2]ARBOR!$A:$C,3,0),0.0001,IF(CQ14&gt;VLOOKUP("PCS-30685g",[2]ARBOR!$A:$C,3,0),"Maior que CAP!",IF((DOLLAR(CQ14+(VLOOKUP("PCS-30685g",[2]ARBOR!$A:$C,3,0)*-TRUNC(CQ14/VLOOKUP("PCS-30685g",[2]ARBOR!$A:$C,3,0)-1,4)),6))&lt;&gt;(DOLLAR(VLOOKUP("PCS-30685g",[2]ARBOR!$A:$C,3,0),6)),-TRUNC(CQ14/VLOOKUP("PCS-30685g",[2]ARBOR!$A:$C,3,0)-1,4)+0.0001,-TRUNC(CQ14/VLOOKUP("PCS-30685g",[2]ARBOR!$A:$C,3,0)-1,4)))))</f>
        <v>0.60509999999999997</v>
      </c>
      <c r="CS14" s="163" t="str">
        <f>IF(ISERROR(IF(CR14="","",VLOOKUP(($AY14&amp;CR14&amp;"Template de desconto FLAT bundle - Velox XDSL - Varejo"),[2]BENEFICIOS!$A:$E,5,0))),"Criar",IF(CR14="","",VLOOKUP(($AY14&amp;CR14&amp;"Template de desconto FLAT bundle - Velox XDSL - Varejo"),[2]BENEFICIOS!$A:$E,5,0)))</f>
        <v>MKT-1-9828260647</v>
      </c>
      <c r="CT14" s="167" t="s">
        <v>104</v>
      </c>
      <c r="CU14" s="168">
        <v>49.9</v>
      </c>
      <c r="CV14" s="101">
        <f>IF(CU14=0,"",IF(CU14=VLOOKUP("PCS-30712g",[2]ARBOR!$A:$C,3,0),0.0001,IF(CU14&gt;VLOOKUP("PCS-30712g",[2]ARBOR!$A:$C,3,0),"Maior que CAP!",IF((DOLLAR(CU14+(VLOOKUP("PCS-30712g",[2]ARBOR!$A:$C,3,0)*-TRUNC(CU14/VLOOKUP("PCS-30712g",[2]ARBOR!$A:$C,3,0)-1,4)),6))&lt;&gt;(DOLLAR(VLOOKUP("PCS-30712g",[2]ARBOR!$A:$C,3,0),6)),-TRUNC(CU14/VLOOKUP("PCS-30712g",[2]ARBOR!$A:$C,3,0)-1,4)+0.0001,-TRUNC(CU14/VLOOKUP("PCS-30712g",[2]ARBOR!$A:$C,3,0)-1,4)))))</f>
        <v>0.64459999999999995</v>
      </c>
      <c r="CW14" s="163" t="str">
        <f>IF(ISERROR(IF(CV14="","",VLOOKUP(($AY14&amp;CV14&amp;"Template de desconto FLAT bundle - Velox XDSL - Varejo"),[2]BENEFICIOS!$A:$E,5,0))),"Criar",IF(CV14="","",VLOOKUP(($AY14&amp;CV14&amp;"Template de desconto FLAT bundle - Velox XDSL - Varejo"),[2]BENEFICIOS!$A:$E,5,0)))</f>
        <v>MKT-1-9828260926</v>
      </c>
      <c r="CX14" s="167" t="s">
        <v>104</v>
      </c>
      <c r="CY14" s="168">
        <v>59.9</v>
      </c>
      <c r="CZ14" s="101">
        <f>IF(CY14=0,"",IF(CY14=VLOOKUP("PCS-30739g",[2]ARBOR!$A:$C,3,0),0.0001,IF(CY14&gt;VLOOKUP("PCS-30739g",[2]ARBOR!$A:$C,3,0),"Maior que CAP!",IF((DOLLAR(CY14+(VLOOKUP("PCS-30739g",[2]ARBOR!$A:$C,3,0)*-TRUNC(CY14/VLOOKUP("PCS-30739g",[2]ARBOR!$A:$C,3,0)-1,4)),6))&lt;&gt;(DOLLAR(VLOOKUP("PCS-30739g",[2]ARBOR!$A:$C,3,0),6)),-TRUNC(CY14/VLOOKUP("PCS-30739g",[2]ARBOR!$A:$C,3,0)-1,4)+0.0001,-TRUNC(CY14/VLOOKUP("PCS-30739g",[2]ARBOR!$A:$C,3,0)-1,4)))))</f>
        <v>0.71560000000000001</v>
      </c>
      <c r="DA14" s="169" t="str">
        <f>IF(ISERROR(IF(CZ14="","",VLOOKUP(($AY14&amp;CZ14&amp;"Template de desconto FLAT bundle - Velox XDSL - Varejo"),[2]BENEFICIOS!$A:$E,5,0))),"Criar",IF(CZ14="","",VLOOKUP(($AY14&amp;CZ14&amp;"Template de desconto FLAT bundle - Velox XDSL - Varejo"),[2]BENEFICIOS!$A:$E,5,0)))</f>
        <v>MKT-1-9828272465</v>
      </c>
      <c r="DB14" s="170"/>
      <c r="DC14" s="215"/>
      <c r="DD14" s="101" t="str">
        <f>IF(DB14=0,"",IF(DB14=VLOOKUP("PCS-30739g",[2]ARBOR!$A:$C,3,0),0.0001,IF(DB14&gt;VLOOKUP("PCS-30739g",[2]ARBOR!$A:$C,3,0),"Maior que CAP!",IF((DOLLAR(DB14+(VLOOKUP("PCS-30739g",[2]ARBOR!$A:$C,3,0)*-TRUNC(DB14/VLOOKUP("PCS-30739g",[2]ARBOR!$A:$C,3,0)-1,4)),6))&lt;&gt;(DOLLAR(VLOOKUP("PCS-30739g",[2]ARBOR!$A:$C,3,0),6)),(-TRUNC(DB14/VLOOKUP("PCS-30739g",[2]ARBOR!$A:$C,3,0)-1,4)+0.0001)-CZ14,-TRUNC(DB14/VLOOKUP("PCS-30739g",[2]ARBOR!$A:$C,3,0)-1,4)-CZ14))))</f>
        <v/>
      </c>
      <c r="DE14" s="163" t="str">
        <f>IF(ISERROR(IF(DD14="","",VLOOKUP(($AY14&amp;DD14&amp;"Template de desconto percentual Bundle - Velox XDSL - Varejo"),[2]BENEFICIOS!$A:$E,5,0))),"Criar",IF(DD14="","",VLOOKUP(($AY14&amp;DD14&amp;"Template de desconto percentual Bundle - Velox XDSL - Varejo"),[2]BENEFICIOS!$A:$E,5,0)))</f>
        <v/>
      </c>
      <c r="DF14" s="167" t="s">
        <v>104</v>
      </c>
      <c r="DG14" s="168">
        <v>59.9</v>
      </c>
      <c r="DH14" s="101">
        <f>IF(DG14=0,"",IF(DG14=VLOOKUP("PCS-30766g",[2]ARBOR!$A:$C,3,0),0.0001,IF(DG14&gt;VLOOKUP("PCS-30766g",[2]ARBOR!$A:$C,3,0),"Maior que CAP!",IF((DOLLAR(DG14+(VLOOKUP("PCS-30766g",[2]ARBOR!$A:$C,3,0)*-TRUNC(DG14/VLOOKUP("PCS-30766g",[2]ARBOR!$A:$C,3,0)-1,4)),6))&lt;&gt;(DOLLAR(VLOOKUP("PCS-30766g",[2]ARBOR!$A:$C,3,0),6)),-TRUNC(DG14/VLOOKUP("PCS-30766g",[2]ARBOR!$A:$C,3,0)-1,4)+0.0001,-TRUNC(DG14/VLOOKUP("PCS-30766g",[2]ARBOR!$A:$C,3,0)-1,4)))))</f>
        <v>0.78669999999999995</v>
      </c>
      <c r="DI14" s="169" t="str">
        <f>IF(ISERROR(IF(DH14="","",VLOOKUP(($AY14&amp;DH14&amp;"Template de desconto FLAT bundle - Velox XDSL - Varejo"),[2]BENEFICIOS!$A:$E,5,0))),"Criar",IF(DH14="","",VLOOKUP(($AY14&amp;DH14&amp;"Template de desconto FLAT bundle - Velox XDSL - Varejo"),[2]BENEFICIOS!$A:$E,5,0)))</f>
        <v>MKT-1-9828285890</v>
      </c>
      <c r="DJ14" s="170"/>
      <c r="DK14" s="215"/>
      <c r="DL14" s="101" t="str">
        <f>IF(DJ14=0,"",IF(DJ14=VLOOKUP("PCS-30766g",[2]ARBOR!$A:$C,3,0),0.0001,IF(DJ14&gt;VLOOKUP("PCS-30766g",[2]ARBOR!$A:$C,3,0),"Maior que CAP!",IF((DOLLAR(DJ14+(VLOOKUP("PCS-30766g",[2]ARBOR!$A:$C,3,0)*-TRUNC(DJ14/VLOOKUP("PCS-30766g",[2]ARBOR!$A:$C,3,0)-1,4)),6))&lt;&gt;(DOLLAR(VLOOKUP("PCS-30766g",[2]ARBOR!$A:$C,3,0),6)),(-TRUNC(DJ14/VLOOKUP("PCS-30766g",[2]ARBOR!$A:$C,3,0)-1,4)+0.0001)-DH14,-TRUNC(DJ14/VLOOKUP("PCS-30766g",[2]ARBOR!$A:$C,3,0)-1,4)-DH14))))</f>
        <v/>
      </c>
      <c r="DM14" s="163" t="str">
        <f>IF(ISERROR(IF(DL14="","",VLOOKUP(($AY14&amp;DL14&amp;"Template de desconto percentual Bundle - Velox XDSL - Varejo"),[2]BENEFICIOS!$A:$E,5,0))),"Criar",IF(DL14="","",VLOOKUP(($AY14&amp;DL14&amp;"Template de desconto percentual Bundle - Velox XDSL - Varejo"),[2]BENEFICIOS!$A:$E,5,0)))</f>
        <v/>
      </c>
      <c r="DN14" s="167" t="s">
        <v>210</v>
      </c>
      <c r="DO14" s="168">
        <v>69.900000000000006</v>
      </c>
      <c r="DP14" s="101">
        <f>IF(DO14=0,"",IF(DO14=VLOOKUP("PCS-30793g",[2]ARBOR!$A:$C,3,0),0.0001,IF(DO14&gt;VLOOKUP("PCS-30793g",[2]ARBOR!$A:$C,3,0),"Maior que CAP!",IF((DOLLAR(DO14+(VLOOKUP("PCS-30793g",[2]ARBOR!$A:$C,3,0)*-TRUNC(DO14/VLOOKUP("PCS-30793g",[2]ARBOR!$A:$C,3,0)-1,4)),6))&lt;&gt;(DOLLAR(VLOOKUP("PCS-30793g",[2]ARBOR!$A:$C,3,0),6)),-TRUNC(DO14/VLOOKUP("PCS-30793g",[2]ARBOR!$A:$C,3,0)-1,4)+0.0001,-TRUNC(DO14/VLOOKUP("PCS-30793g",[2]ARBOR!$A:$C,3,0)-1,4)))))</f>
        <v>0.75109999999999999</v>
      </c>
      <c r="DQ14" s="169" t="str">
        <f>IF(ISERROR(IF(DP14="","",VLOOKUP(($AY14&amp;DP14&amp;"Template de desconto FLAT bundle - Velox XDSL - Varejo"),[2]BENEFICIOS!$A:$E,5,0))),"Criar",IF(DP14="","",VLOOKUP(($AY14&amp;DP14&amp;"Template de desconto FLAT bundle - Velox XDSL - Varejo"),[2]BENEFICIOS!$A:$E,5,0)))</f>
        <v>MKT-1-9828314259</v>
      </c>
      <c r="DR14" s="170"/>
      <c r="DS14" s="215"/>
      <c r="DT14" s="101" t="str">
        <f>IF(DR14=0,"",IF(DR14=VLOOKUP("PCS-30793g",[2]ARBOR!$A:$C,3,0),0.0001,IF(DR14&gt;VLOOKUP("PCS-30793g",[2]ARBOR!$A:$C,3,0),"Maior que CAP!",IF((DOLLAR(DR14+(VLOOKUP("PCS-30793g",[2]ARBOR!$A:$C,3,0)*-TRUNC(DR14/VLOOKUP("PCS-30793g",[2]ARBOR!$A:$C,3,0)-1,4)),6))&lt;&gt;(DOLLAR(VLOOKUP("PCS-30793g",[2]ARBOR!$A:$C,3,0),6)),(-TRUNC(DR14/VLOOKUP("PCS-30793g",[2]ARBOR!$A:$C,3,0)-1,4)+0.0001)-DP14,-TRUNC(DR14/VLOOKUP("PCS-30793g",[2]ARBOR!$A:$C,3,0)-1,4)-DP14))))</f>
        <v/>
      </c>
      <c r="DU14" s="163" t="str">
        <f>IF(ISERROR(IF(DT14="","",VLOOKUP(($AY14&amp;DT14&amp;"Template de desconto percentual Bundle - Velox XDSL - Varejo"),[2]BENEFICIOS!$A:$E,5,0))),"Criar",IF(DT14="","",VLOOKUP(($AY14&amp;DT14&amp;"Template de desconto percentual Bundle - Velox XDSL - Varejo"),[2]BENEFICIOS!$A:$E,5,0)))</f>
        <v/>
      </c>
      <c r="DV14" s="167" t="s">
        <v>104</v>
      </c>
      <c r="DW14" s="168">
        <v>69.900000000000006</v>
      </c>
      <c r="DX14" s="101">
        <f>IF(DW14=0,"",IF(DW14=VLOOKUP("PCS-30820g",[2]ARBOR!$A:$C,3,0),0.0001,IF(DW14&gt;VLOOKUP("PCS-30820g",[2]ARBOR!$A:$C,3,0),"Maior que CAP!",IF((DOLLAR(DW14+(VLOOKUP("PCS-30820g",[2]ARBOR!$A:$C,3,0)*-TRUNC(DW14/VLOOKUP("PCS-30820g",[2]ARBOR!$A:$C,3,0)-1,4)),6))&lt;&gt;(DOLLAR(VLOOKUP("PCS-30820g",[2]ARBOR!$A:$C,3,0),6)),-TRUNC(DW14/VLOOKUP("PCS-30820g",[2]ARBOR!$A:$C,3,0)-1,4)+0.0001,-TRUNC(DW14/VLOOKUP("PCS-30820g",[2]ARBOR!$A:$C,3,0)-1,4)))))</f>
        <v>0.75109999999999999</v>
      </c>
      <c r="DY14" s="169" t="str">
        <f>IF(ISERROR(IF(DX14="","",VLOOKUP(($AY14&amp;DX14&amp;"Template de desconto FLAT bundle - Velox XDSL - Varejo"),[2]BENEFICIOS!$A:$E,5,0))),"Criar",IF(DX14="","",VLOOKUP(($AY14&amp;DX14&amp;"Template de desconto FLAT bundle - Velox XDSL - Varejo"),[2]BENEFICIOS!$A:$E,5,0)))</f>
        <v>MKT-1-9828314259</v>
      </c>
      <c r="DZ14" s="170"/>
      <c r="EA14" s="215"/>
      <c r="EB14" s="101" t="str">
        <f>IF(DZ14=0,"",IF(DZ14=VLOOKUP("PCS-30820g",[2]ARBOR!$A:$C,3,0),0.0001,IF(DZ14&gt;VLOOKUP("PCS-30820g",[2]ARBOR!$A:$C,3,0),"Maior que CAP!",IF((DOLLAR(DZ14+(VLOOKUP("PCS-30820g",[2]ARBOR!$A:$C,3,0)*-TRUNC(DZ14/VLOOKUP("PCS-30820g",[2]ARBOR!$A:$C,3,0)-1,4)),6))&lt;&gt;(DOLLAR(VLOOKUP("PCS-30820g",[2]ARBOR!$A:$C,3,0),6)),(-TRUNC(DZ14/VLOOKUP("PCS-30820g",[2]ARBOR!$A:$C,3,0)-1,4)+0.0001)-DX14,-TRUNC(DZ14/VLOOKUP("PCS-30820g",[2]ARBOR!$A:$C,3,0)-1,4)-DX14))))</f>
        <v/>
      </c>
      <c r="EC14" s="163" t="str">
        <f>IF(ISERROR(IF(EB14="","",VLOOKUP(($AY14&amp;EB14&amp;"Template de desconto percentual Bundle - Velox XDSL - Varejo"),[2]BENEFICIOS!$A:$E,5,0))),"Criar",IF(EB14="","",VLOOKUP(($AY14&amp;EB14&amp;"Template de desconto percentual Bundle - Velox XDSL - Varejo"),[2]BENEFICIOS!$A:$E,5,0)))</f>
        <v/>
      </c>
      <c r="ED14" s="172"/>
      <c r="EE14" s="101" t="str">
        <f>IF(ED14=0,"",IF(ED14=VLOOKUP("PCS-21448p2",[2]ARBOR!$A:$C,3,0),0.0001,IF(ED14&gt;VLOOKUP("PCS-21448p2",[2]ARBOR!$A:$C,3,0),"Maior que CAP!",IF((DOLLAR(ED14+(VLOOKUP("PCS-21448p2",[2]ARBOR!$A:$C,3,0)*-TRUNC(ED14/VLOOKUP("PCS-21448p2",[2]ARBOR!$A:$C,3,0)-1,4)),6))&lt;&gt;(DOLLAR(VLOOKUP("PCS-21448p2",[2]ARBOR!$A:$C,3,0),6)),-TRUNC(ED14/VLOOKUP("PCS-21448p2",[2]ARBOR!$A:$C,3,0)-1,4)+0.0001,-TRUNC(ED14/VLOOKUP("PCS-21448p2",[2]ARBOR!$A:$C,3,0)-1,4)))))</f>
        <v/>
      </c>
      <c r="EF14" s="101" t="str">
        <f>IF(ISERROR(IF(EE14="","",VLOOKUP(("Oi Conta Total Plug 10GB Downgrade"&amp;EE14&amp;"Template de desconto percentual BL Móvel - Internet Total - Varejo"),[2]BENEFICIOS!$A:$E,5,0))),"Criar",IF(EE14="","",VLOOKUP(("Oi Conta Total Plug 10GB Downgrade"&amp;EE14&amp;"Template de desconto percentual BL Móvel - Internet Total - Varejo"),[2]BENEFICIOS!$A:$E,5,0)))</f>
        <v/>
      </c>
      <c r="EG14" s="173">
        <v>19.899999999999999</v>
      </c>
      <c r="EH14" s="174">
        <f>IF(EG14=0,"",IF(EG14=VLOOKUP("SVA",[2]ARBOR!$A:$C,3,0),0.0001,IF(EG14&gt;VLOOKUP("SVA",[2]ARBOR!$A:$C,3,0),"Maior que CAP!",IF((DOLLAR(EG14+(VLOOKUP("SVA",[2]ARBOR!$A:$C,3,0)*-TRUNC(EG14/VLOOKUP("SVA",[2]ARBOR!$A:$C,3,0)-1,4)),6))&lt;&gt;(DOLLAR(VLOOKUP("SVA",[2]ARBOR!$A:$C,3,0),6)),-TRUNC(EG14/VLOOKUP("SVA",[2]ARBOR!$A:$C,3,0)-1,4)+0.0001,-TRUNC(EG14/VLOOKUP("SVA",[2]ARBOR!$A:$C,3,0)-1,4)))))</f>
        <v>7.1400000000000005E-2</v>
      </c>
      <c r="EI14" s="174" t="s">
        <v>211</v>
      </c>
      <c r="EJ14" s="175"/>
      <c r="EK14" s="176"/>
      <c r="EL14" s="177" t="str">
        <f t="shared" si="3"/>
        <v/>
      </c>
      <c r="EM14" s="174" t="str">
        <f>IF(EL14="S/Desc","S/Desc",IF(ISERROR(IF(EL14="","",VLOOKUP(($BX14&amp;EL14&amp;"Template Desc. % sobre Serviço SVA B2C"),[2]BENEFICIOS!$A:$G,5,0))),"Criar",IF(EL14="","",VLOOKUP(($BX14&amp;EL14&amp;"Template Desc. % sobre Serviço SVA B2C"),[2]BENEFICIOS!$A:$G,5,0))))</f>
        <v/>
      </c>
      <c r="EN14" s="103"/>
      <c r="EO14" s="101" t="str">
        <f>IF(EN14=0,"",IF(EN14=VLOOKUP("PCS-OzTL40",[2]ARBOR!$A:$C,3,0),0.0001,IF(EN14&gt;VLOOKUP("PCS-OzTL40",[2]ARBOR!$A:$C,3,0),"Maior que CAP!",IF((DOLLAR(EN14+(VLOOKUP("PCS-OzTL40",[2]ARBOR!$A:$C,3,0)*-TRUNC(EN14/VLOOKUP("PCS-OzTL40",[2]ARBOR!$A:$C,3,0)-1,4)),6))&lt;&gt;(DOLLAR(VLOOKUP("PCS-OzTL40",[2]ARBOR!$A:$C,3,0),6)),-TRUNC(EN14/VLOOKUP("PCS-OzTL40",[2]ARBOR!$A:$C,3,0)-1,4)+0.0001,-TRUNC(EN14/VLOOKUP("PCS-OzTL40",[2]ARBOR!$A:$C,3,0)-1,4)))))</f>
        <v/>
      </c>
      <c r="EP14" s="163" t="str">
        <f>IF(ISERROR(IF(EO14="","",VLOOKUP(($AY14&amp;EO14&amp;"Template desconto FLAT Plano Principal Oi TV nível conta"),[2]BENEFICIOS!$A:$G,5,0))),"Criar",IF(EO14="","",VLOOKUP(($AY14&amp;EO14&amp;"Template desconto FLAT Plano Principal Oi TV nível conta"),[2]BENEFICIOS!$A:$G,5,0)))</f>
        <v/>
      </c>
      <c r="EQ14" s="103"/>
      <c r="ER14" s="101" t="str">
        <f>IF(EQ14=0,"",IF(EQ14=VLOOKUP("PCS-OzTL41",[2]ARBOR!$A:$C,3,0),0.0001,IF(EQ14&gt;VLOOKUP("PCS-OzTL41",[2]ARBOR!$A:$C,3,0),"Maior que CAP!",IF((DOLLAR(EQ14+(VLOOKUP("PCS-OzTL41",[2]ARBOR!$A:$C,3,0)*-TRUNC(EQ14/VLOOKUP("PCS-OzTL41",[2]ARBOR!$A:$C,3,0)-1,4)),6))&lt;&gt;(DOLLAR(VLOOKUP("PCS-OzTL41",[2]ARBOR!$A:$C,3,0),6)),-TRUNC(EQ14/VLOOKUP("PCS-OzTL41",[2]ARBOR!$A:$C,3,0)-1,4)+0.0001,-TRUNC(EQ14/VLOOKUP("PCS-OzTL41",[2]ARBOR!$A:$C,3,0)-1,4)))))</f>
        <v/>
      </c>
      <c r="ES14" s="178" t="str">
        <f>IF(ISERROR(IF(ER14="","",VLOOKUP(($AY14&amp;ER14&amp;"Template desconto FLAT Plano Principal Oi TV nível conta"),[2]BENEFICIOS!$A:$G,5,0))),"Criar",IF(ER14="","",VLOOKUP(($AY14&amp;ER14&amp;"Template desconto FLAT Plano Principal Oi TV nível conta"),[2]BENEFICIOS!$A:$G,5,0)))</f>
        <v/>
      </c>
      <c r="ET14" s="103"/>
      <c r="EU14" s="101" t="str">
        <f>IF(ET14=0,"",IF(ET14=VLOOKUP("PCS-OzTL44",[2]ARBOR!$A:$C,3,0),0.0001,IF(ET14&gt;VLOOKUP("PCS-OzTL44",[2]ARBOR!$A:$C,3,0),"Maior que CAP!",IF((DOLLAR(ET14+(VLOOKUP("PCS-OzTL44",[2]ARBOR!$A:$C,3,0)*-TRUNC(ET14/VLOOKUP("PCS-OzTL44",[2]ARBOR!$A:$C,3,0)-1,4)),6))&lt;&gt;(DOLLAR(VLOOKUP("PCS-OzTL44",[2]ARBOR!$A:$C,3,0),6)),-TRUNC(ET14/VLOOKUP("PCS-OzTL44",[2]ARBOR!$A:$C,3,0)-1,4)+0.0001,-TRUNC(ET14/VLOOKUP("PCS-OzTL44",[2]ARBOR!$A:$C,3,0)-1,4)))))</f>
        <v/>
      </c>
      <c r="EV14" s="178" t="str">
        <f>IF(ISERROR(IF(EU14="","",VLOOKUP(($AY14&amp;EU14&amp;"Template desconto FLAT Plano Principal Oi TV nível conta"),[2]BENEFICIOS!$A:$G,5,0))),"Criar",IF(EU14="","",VLOOKUP(($AY14&amp;EU14&amp;"Template desconto FLAT Plano Principal Oi TV nível conta"),[2]BENEFICIOS!$A:$G,5,0)))</f>
        <v/>
      </c>
      <c r="EW14" s="103"/>
      <c r="EX14" s="101" t="str">
        <f>IF(EW14=0,"",IF(EW14=VLOOKUP("PCS-OzTL43",[2]ARBOR!$A:$C,3,0),0.0001,IF(EW14&gt;VLOOKUP("PCS-OzTL43",[2]ARBOR!$A:$C,3,0),"Maior que CAP!",IF((DOLLAR(EW14+(VLOOKUP("PCS-OzTL43",[2]ARBOR!$A:$C,3,0)*-TRUNC(EW14/VLOOKUP("PCS-OzTL43",[2]ARBOR!$A:$C,3,0)-1,4)),6))&lt;&gt;(DOLLAR(VLOOKUP("PCS-OzTL43",[2]ARBOR!$A:$C,3,0),6)),-TRUNC(EW14/VLOOKUP("PCS-OzTL43",[2]ARBOR!$A:$C,3,0)-1,4)+0.0001,-TRUNC(EW14/VLOOKUP("PCS-OzTL43",[2]ARBOR!$A:$C,3,0)-1,4)))))</f>
        <v/>
      </c>
      <c r="EY14" s="178" t="str">
        <f>IF(ISERROR(IF(EX14="","",VLOOKUP(($AY14&amp;EX14&amp;"Template desconto FLAT Plano Principal Oi TV nível conta"),[2]BENEFICIOS!$A:$G,5,0))),"Criar",IF(EX14="","",VLOOKUP(($AY14&amp;EX14&amp;"Template desconto FLAT Plano Principal Oi TV nível conta"),[2]BENEFICIOS!$A:$G,5,0)))</f>
        <v/>
      </c>
      <c r="EZ14" s="103"/>
      <c r="FA14" s="101" t="str">
        <f>IF(EZ14=0,"",IF(EZ14=VLOOKUP("PCS-OzTL45",[2]ARBOR!$A:$C,3,0),0.0001,IF(EZ14&gt;VLOOKUP("PCS-OzTL45",[2]ARBOR!$A:$C,3,0),"Maior que CAP!",IF((DOLLAR(EZ14+(VLOOKUP("PCS-OzTL45",[2]ARBOR!$A:$C,3,0)*-TRUNC(EZ14/VLOOKUP("PCS-OzTL45",[2]ARBOR!$A:$C,3,0)-1,4)),6))&lt;&gt;(DOLLAR(VLOOKUP("PCS-OzTL45",[2]ARBOR!$A:$C,3,0),6)),-TRUNC(EZ14/VLOOKUP("PCS-OzTL45",[2]ARBOR!$A:$C,3,0)-1,4)+0.0001,-TRUNC(EZ14/VLOOKUP("PCS-OzTL45",[2]ARBOR!$A:$C,3,0)-1,4)))))</f>
        <v/>
      </c>
      <c r="FB14" s="178" t="str">
        <f>IF(ISERROR(IF(FA14="","",VLOOKUP(($AY14&amp;FA14&amp;"Template desconto FLAT Plano Principal Oi TV nível conta"),[2]BENEFICIOS!$A:$G,5,0))),"Criar",IF(FA14="","",VLOOKUP(($AY14&amp;FA14&amp;"Template desconto FLAT Plano Principal Oi TV nível conta"),[2]BENEFICIOS!$A:$G,5,0)))</f>
        <v/>
      </c>
      <c r="FC14" s="103"/>
      <c r="FD14" s="101" t="str">
        <f>IF(FC14=0,"",IF(FC14=VLOOKUP("PCS-OzTL741",[2]ARBOR!$A:$C,3,0),0.0001,IF(FC14&gt;VLOOKUP("PCS-OzTL741",[2]ARBOR!$A:$C,3,0),"Maior que CAP!",IF((DOLLAR(FC14+(VLOOKUP("PCS-OzTL741",[2]ARBOR!$A:$C,3,0)*-TRUNC(FC14/VLOOKUP("PCS-OzTL741",[2]ARBOR!$A:$C,3,0)-1,4)),6))&lt;&gt;(DOLLAR(VLOOKUP("PCS-OzTL741",[2]ARBOR!$A:$C,3,0),6)),-TRUNC(FC14/VLOOKUP("PCS-OzTL741",[2]ARBOR!$A:$C,3,0)-1,4)+0.0001,-TRUNC(FC14/VLOOKUP("PCS-OzTL741",[2]ARBOR!$A:$C,3,0)-1,4)))))</f>
        <v/>
      </c>
      <c r="FE14" s="178" t="str">
        <f>IF(ISERROR(IF(FD14="","",VLOOKUP(($AY14&amp;FD14&amp;"Template desconto FLAT Plano Principal Oi TV nível conta"),[2]BENEFICIOS!$A:$G,5,0))),"Criar",IF(FD14="","",VLOOKUP(($AY14&amp;FD14&amp;"Template desconto FLAT Plano Principal Oi TV nível conta"),[2]BENEFICIOS!$A:$G,5,0)))</f>
        <v/>
      </c>
      <c r="FF14" s="103"/>
      <c r="FG14" s="101" t="str">
        <f>IF(FF14=0,"",IF(FF14=VLOOKUP("PCS-OzTL744",[2]ARBOR!$A:$C,3,0),0.0001,IF(FF14&gt;VLOOKUP("PCS-OzTL744",[2]ARBOR!$A:$C,3,0),"Maior que CAP!",IF((DOLLAR(FF14+(VLOOKUP("PCS-OzTL744",[2]ARBOR!$A:$C,3,0)*-TRUNC(FF14/VLOOKUP("PCS-OzTL744",[2]ARBOR!$A:$C,3,0)-1,4)),6))&lt;&gt;(DOLLAR(VLOOKUP("PCS-OzTL744",[2]ARBOR!$A:$C,3,0),6)),-TRUNC(FF14/VLOOKUP("PCS-OzTL744",[2]ARBOR!$A:$C,3,0)-1,4)+0.0001,-TRUNC(FF14/VLOOKUP("PCS-OzTL744",[2]ARBOR!$A:$C,3,0)-1,4)))))</f>
        <v/>
      </c>
      <c r="FH14" s="178" t="str">
        <f>IF(ISERROR(IF(FG14="","",VLOOKUP(($AY14&amp;FG14&amp;"Template desconto FLAT Plano Principal Oi TV nível conta"),[2]BENEFICIOS!$A:$G,5,0))),"Criar",IF(FG14="","",VLOOKUP(($AY14&amp;FG14&amp;"Template desconto FLAT Plano Principal Oi TV nível conta"),[2]BENEFICIOS!$A:$G,5,0)))</f>
        <v/>
      </c>
      <c r="FI14" s="103"/>
      <c r="FJ14" s="101" t="str">
        <f>IF(FI14=0,"",IF(FI14=VLOOKUP("PCS-OzTL743",[2]ARBOR!$A:$C,3,0),0.0001,IF(FI14&gt;VLOOKUP("PCS-OzTL743",[2]ARBOR!$A:$C,3,0),"Maior que CAP!",IF((DOLLAR(FI14+(VLOOKUP("PCS-OzTL743",[2]ARBOR!$A:$C,3,0)*-TRUNC(FI14/VLOOKUP("PCS-OzTL743",[2]ARBOR!$A:$C,3,0)-1,4)),6))&lt;&gt;(DOLLAR(VLOOKUP("PCS-OzTL743",[2]ARBOR!$A:$C,3,0),6)),-TRUNC(FI14/VLOOKUP("PCS-OzTL743",[2]ARBOR!$A:$C,3,0)-1,4)+0.0001,-TRUNC(FI14/VLOOKUP("PCS-OzTL743",[2]ARBOR!$A:$C,3,0)-1,4)))))</f>
        <v/>
      </c>
      <c r="FK14" s="178" t="str">
        <f>IF(ISERROR(IF(FJ14="","",VLOOKUP(($AY14&amp;FJ14&amp;"Template desconto FLAT Plano Principal Oi TV nível conta"),[2]BENEFICIOS!$A:$G,5,0))),"Criar",IF(FJ14="","",VLOOKUP(($AY14&amp;FJ14&amp;"Template desconto FLAT Plano Principal Oi TV nível conta"),[2]BENEFICIOS!$A:$G,5,0)))</f>
        <v/>
      </c>
      <c r="FL14" s="103"/>
      <c r="FM14" s="101" t="str">
        <f>IF(FL14=0,"",IF(FL14=VLOOKUP("PCS-OzTL745",[2]ARBOR!$A:$C,3,0),0.0001,IF(FL14&gt;VLOOKUP("PCS-OzTL745",[2]ARBOR!$A:$C,3,0),"Maior que CAP!",IF((DOLLAR(FL14+(VLOOKUP("PCS-OzTL745",[2]ARBOR!$A:$C,3,0)*-TRUNC(FL14/VLOOKUP("PCS-OzTL745",[2]ARBOR!$A:$C,3,0)-1,4)),6))&lt;&gt;(DOLLAR(VLOOKUP("PCS-OzTL745",[2]ARBOR!$A:$C,3,0),6)),-TRUNC(FL14/VLOOKUP("PCS-OzTL745",[2]ARBOR!$A:$C,3,0)-1,4)+0.0001,-TRUNC(FL14/VLOOKUP("PCS-OzTL745",[2]ARBOR!$A:$C,3,0)-1,4)))))</f>
        <v/>
      </c>
      <c r="FN14" s="178" t="str">
        <f>IF(ISERROR(IF(FM14="","",VLOOKUP(($AY14&amp;FM14&amp;"Template desconto FLAT Plano Principal Oi TV nível conta"),[2]BENEFICIOS!$A:$G,5,0))),"Criar",IF(FM14="","",VLOOKUP(($AY14&amp;FM14&amp;"Template desconto FLAT Plano Principal Oi TV nível conta"),[2]BENEFICIOS!$A:$G,5,0)))</f>
        <v/>
      </c>
      <c r="FO14" s="103"/>
      <c r="FP14" s="101" t="str">
        <f>IF(FO14=0,"",IF(FO14=VLOOKUP("PCS-OzTL42",[2]ARBOR!$A:$C,3,0),0.0001,IF(FO14&gt;VLOOKUP("PCS-OzTL42",[2]ARBOR!$A:$C,3,0),"Maior que CAP!",IF((DOLLAR(FO14+(VLOOKUP("PCS-OzTL42",[2]ARBOR!$A:$C,3,0)*-TRUNC(FO14/VLOOKUP("PCS-OzTL42",[2]ARBOR!$A:$C,3,0)-1,4)),6))&lt;&gt;(DOLLAR(VLOOKUP("PCS-OzTL42",[2]ARBOR!$A:$C,3,0),6)),-TRUNC(FO14/VLOOKUP("PCS-OzTL42",[2]ARBOR!$A:$C,3,0)-1,4)+0.0001,-TRUNC(FO14/VLOOKUP("PCS-OzTL42",[2]ARBOR!$A:$C,3,0)-1,4)))))</f>
        <v/>
      </c>
      <c r="FQ14" s="178" t="str">
        <f>IF(ISERROR(IF(FP14="","",VLOOKUP(($AY14&amp;FP14&amp;"Template desconto FLAT Plano Principal Oi TV nível conta"),[2]BENEFICIOS!$A:$G,5,0))),"Criar",IF(FP14="","",VLOOKUP(($AY14&amp;FP14&amp;"Template desconto FLAT Plano Principal Oi TV nível conta"),[2]BENEFICIOS!$A:$G,5,0)))</f>
        <v/>
      </c>
      <c r="FR14" s="103"/>
      <c r="FS14" s="101" t="str">
        <f>IF(FR14=0,"",IF(FR14=VLOOKUP("PCS-OzTL47",[2]ARBOR!$A:$C,3,0),0.0001,IF(FR14&gt;VLOOKUP("PCS-OzTL47",[2]ARBOR!$A:$C,3,0),"Maior que CAP!",IF((DOLLAR(FR14+(VLOOKUP("PCS-OzTL47",[2]ARBOR!$A:$C,3,0)*-TRUNC(FR14/VLOOKUP("PCS-OzTL47",[2]ARBOR!$A:$C,3,0)-1,4)),6))&lt;&gt;(DOLLAR(VLOOKUP("PCS-OzTL47",[2]ARBOR!$A:$C,3,0),6)),-TRUNC(FR14/VLOOKUP("PCS-OzTL47",[2]ARBOR!$A:$C,3,0)-1,4)+0.0001,-TRUNC(FR14/VLOOKUP("PCS-OzTL47",[2]ARBOR!$A:$C,3,0)-1,4)))))</f>
        <v/>
      </c>
      <c r="FT14" s="178" t="str">
        <f>IF(ISERROR(IF(FS14="","",VLOOKUP(($AY14&amp;FS14&amp;"Template desconto FLAT Plano Principal Oi TV nível conta"),[2]BENEFICIOS!$A:$G,5,0))),"Criar",IF(FS14="","",VLOOKUP(($AY14&amp;FS14&amp;"Template desconto FLAT Plano Principal Oi TV nível conta"),[2]BENEFICIOS!$A:$G,5,0)))</f>
        <v/>
      </c>
      <c r="FU14" s="103"/>
      <c r="FV14" s="101" t="str">
        <f>IF(FU14=0,"",IF(FU14=VLOOKUP("PCS-OzTL46",[2]ARBOR!$A:$C,3,0),0.0001,IF(FU14&gt;VLOOKUP("PCS-OzTL46",[2]ARBOR!$A:$C,3,0),"Maior que CAP!",IF((DOLLAR(FU14+(VLOOKUP("PCS-OzTL46",[2]ARBOR!$A:$C,3,0)*-TRUNC(FU14/VLOOKUP("PCS-OzTL46",[2]ARBOR!$A:$C,3,0)-1,4)),6))&lt;&gt;(DOLLAR(VLOOKUP("PCS-OzTL46",[2]ARBOR!$A:$C,3,0),6)),-TRUNC(FU14/VLOOKUP("PCS-OzTL46",[2]ARBOR!$A:$C,3,0)-1,4)+0.0001,-TRUNC(FU14/VLOOKUP("PCS-OzTL46",[2]ARBOR!$A:$C,3,0)-1,4)))))</f>
        <v/>
      </c>
      <c r="FW14" s="178" t="str">
        <f>IF(ISERROR(IF(FV14="","",VLOOKUP(($AY14&amp;FV14&amp;"Template desconto FLAT Plano Principal Oi TV nível conta"),[2]BENEFICIOS!$A:$G,5,0))),"Criar",IF(FV14="","",VLOOKUP(($AY14&amp;FV14&amp;"Template desconto FLAT Plano Principal Oi TV nível conta"),[2]BENEFICIOS!$A:$G,5,0)))</f>
        <v/>
      </c>
      <c r="FX14" s="103"/>
      <c r="FY14" s="101" t="str">
        <f>IF(FX14=0,"",IF(FX14=VLOOKUP("PCS-OzTL48",[2]ARBOR!$A:$C,3,0),0.0001,IF(FX14&gt;VLOOKUP("PCS-OzTL48",[2]ARBOR!$A:$C,3,0),"Maior que CAP!",IF((DOLLAR(FX14+(VLOOKUP("PCS-OzTL48",[2]ARBOR!$A:$C,3,0)*-TRUNC(FX14/VLOOKUP("PCS-OzTL48",[2]ARBOR!$A:$C,3,0)-1,4)),6))&lt;&gt;(DOLLAR(VLOOKUP("PCS-OzTL48",[2]ARBOR!$A:$C,3,0),6)),-TRUNC(FX14/VLOOKUP("PCS-OzTL48",[2]ARBOR!$A:$C,3,0)-1,4)+0.0001,-TRUNC(FX14/VLOOKUP("PCS-OzTL48",[2]ARBOR!$A:$C,3,0)-1,4)))))</f>
        <v/>
      </c>
      <c r="FZ14" s="178" t="str">
        <f>IF(ISERROR(IF(FY14="","",VLOOKUP(($AY14&amp;FY14&amp;"Template desconto FLAT Plano Principal Oi TV nível conta"),[2]BENEFICIOS!$A:$G,5,0))),"Criar",IF(FY14="","",VLOOKUP(($AY14&amp;FY14&amp;"Template desconto FLAT Plano Principal Oi TV nível conta"),[2]BENEFICIOS!$A:$G,5,0)))</f>
        <v/>
      </c>
      <c r="GA14" s="103"/>
      <c r="GB14" s="101" t="str">
        <f>IF(GA14=0,"",IF(GA14=VLOOKUP("PCS-OzTL742",[2]ARBOR!$A:$C,3,0),0.0001,IF(GA14&gt;VLOOKUP("PCS-OzTL742",[2]ARBOR!$A:$C,3,0),"Maior que CAP!",IF((DOLLAR(GA14+(VLOOKUP("PCS-OzTL742",[2]ARBOR!$A:$C,3,0)*-TRUNC(GA14/VLOOKUP("PCS-OzTL742",[2]ARBOR!$A:$C,3,0)-1,4)),6))&lt;&gt;(DOLLAR(VLOOKUP("PCS-OzTL742",[2]ARBOR!$A:$C,3,0),6)),-TRUNC(GA14/VLOOKUP("PCS-OzTL742",[2]ARBOR!$A:$C,3,0)-1,4)+0.0001,-TRUNC(GA14/VLOOKUP("PCS-OzTL742",[2]ARBOR!$A:$C,3,0)-1,4)))))</f>
        <v/>
      </c>
      <c r="GC14" s="178" t="str">
        <f>IF(ISERROR(IF(GB14="","",VLOOKUP(($AY14&amp;GB14&amp;"Template desconto FLAT Plano Principal Oi TV nível conta"),[2]BENEFICIOS!$A:$G,5,0))),"Criar",IF(GB14="","",VLOOKUP(($AY14&amp;GB14&amp;"Template desconto FLAT Plano Principal Oi TV nível conta"),[2]BENEFICIOS!$A:$G,5,0)))</f>
        <v/>
      </c>
      <c r="GD14" s="103"/>
      <c r="GE14" s="101" t="str">
        <f>IF(GD14=0,"",IF(GD14=VLOOKUP("PCS-OzTL747",[2]ARBOR!$A:$C,3,0),0.0001,IF(GD14&gt;VLOOKUP("PCS-OzTL747",[2]ARBOR!$A:$C,3,0),"Maior que CAP!",IF((DOLLAR(GD14+(VLOOKUP("PCS-OzTL747",[2]ARBOR!$A:$C,3,0)*-TRUNC(GD14/VLOOKUP("PCS-OzTL747",[2]ARBOR!$A:$C,3,0)-1,4)),6))&lt;&gt;(DOLLAR(VLOOKUP("PCS-OzTL747",[2]ARBOR!$A:$C,3,0),6)),-TRUNC(GD14/VLOOKUP("PCS-OzTL747",[2]ARBOR!$A:$C,3,0)-1,4)+0.0001,-TRUNC(GD14/VLOOKUP("PCS-OzTL747",[2]ARBOR!$A:$C,3,0)-1,4)))))</f>
        <v/>
      </c>
      <c r="GF14" s="178" t="str">
        <f>IF(ISERROR(IF(GE14="","",VLOOKUP(($AY14&amp;GE14&amp;"Template desconto FLAT Plano Principal Oi TV nível conta"),[2]BENEFICIOS!$A:$G,5,0))),"Criar",IF(GE14="","",VLOOKUP(($AY14&amp;GE14&amp;"Template desconto FLAT Plano Principal Oi TV nível conta"),[2]BENEFICIOS!$A:$G,5,0)))</f>
        <v/>
      </c>
      <c r="GG14" s="103"/>
      <c r="GH14" s="101" t="str">
        <f>IF(GG14=0,"",IF(GG14=VLOOKUP("PCS-OzTL746",[2]ARBOR!$A:$C,3,0),0.0001,IF(GG14&gt;VLOOKUP("PCS-OzTL746",[2]ARBOR!$A:$C,3,0),"Maior que CAP!",IF((DOLLAR(GG14+(VLOOKUP("PCS-OzTL746",[2]ARBOR!$A:$C,3,0)*-TRUNC(GG14/VLOOKUP("PCS-OzTL746",[2]ARBOR!$A:$C,3,0)-1,4)),6))&lt;&gt;(DOLLAR(VLOOKUP("PCS-OzTL746",[2]ARBOR!$A:$C,3,0),6)),-TRUNC(GG14/VLOOKUP("PCS-OzTL746",[2]ARBOR!$A:$C,3,0)-1,4)+0.0001,-TRUNC(GG14/VLOOKUP("PCS-OzTL746",[2]ARBOR!$A:$C,3,0)-1,4)))))</f>
        <v/>
      </c>
      <c r="GI14" s="178" t="str">
        <f>IF(ISERROR(IF(GH14="","",VLOOKUP(($AY14&amp;GH14&amp;"Template desconto FLAT Plano Principal Oi TV nível conta"),[2]BENEFICIOS!$A:$G,5,0))),"Criar",IF(GH14="","",VLOOKUP(($AY14&amp;GH14&amp;"Template desconto FLAT Plano Principal Oi TV nível conta"),[2]BENEFICIOS!$A:$G,5,0)))</f>
        <v/>
      </c>
      <c r="GJ14" s="103">
        <v>189.9</v>
      </c>
      <c r="GK14" s="101">
        <f>IF(GJ14=0,"",IF(GJ14=VLOOKUP("PCS-OzTL748",[2]ARBOR!$A:$C,3,0),0.0001,IF(GJ14&gt;VLOOKUP("PCS-OzTL748",[2]ARBOR!$A:$C,3,0),"Maior que CAP!",IF((DOLLAR(GJ14+(VLOOKUP("PCS-OzTL748",[2]ARBOR!$A:$C,3,0)*-TRUNC(GJ14/VLOOKUP("PCS-OzTL748",[2]ARBOR!$A:$C,3,0)-1,4)),6))&lt;&gt;(DOLLAR(VLOOKUP("PCS-OzTL748",[2]ARBOR!$A:$C,3,0),6)),-TRUNC(GJ14/VLOOKUP("PCS-OzTL748",[2]ARBOR!$A:$C,3,0)-1,4)+0.0001,-TRUNC(GJ14/VLOOKUP("PCS-OzTL748",[2]ARBOR!$A:$C,3,0)-1,4)))))</f>
        <v>0.38400000000000001</v>
      </c>
      <c r="GL14" s="178" t="str">
        <f>IF(ISERROR(IF(GK14="","",VLOOKUP(($AY14&amp;GK14&amp;"Template desconto FLAT Plano Principal Oi TV nível conta"),[2]BENEFICIOS!$A:$G,5,0))),"Criar",IF(GK14="","",VLOOKUP(($AY14&amp;GK14&amp;"Template desconto FLAT Plano Principal Oi TV nível conta"),[2]BENEFICIOS!$A:$G,5,0)))</f>
        <v>MKT-1-9827464097</v>
      </c>
      <c r="GM14" s="103">
        <v>75</v>
      </c>
      <c r="GN14" s="101">
        <f>IF(GM14=0,"",IF(GM14=VLOOKUP("PCS-OzTL34",[2]ARBOR!$A:$C,3,0),0.0001,IF(GM14&gt;VLOOKUP("PCS-OzTL34",[2]ARBOR!$A:$C,3,0),"Maior que CAP!",IF((DOLLAR(GM14+(VLOOKUP("PCS-OzTL34",[2]ARBOR!$A:$C,3,0)*-TRUNC(GM14/VLOOKUP("PCS-OzTL34",[2]ARBOR!$A:$C,3,0)-1,4)),6))&lt;&gt;(DOLLAR(VLOOKUP("PCS-OzTL34",[2]ARBOR!$A:$C,3,0),6)),-TRUNC(GM14/VLOOKUP("PCS-OzTL34",[2]ARBOR!$A:$C,3,0)-1,4)+0.0001,-TRUNC(GM14/VLOOKUP("PCS-OzTL34",[2]ARBOR!$A:$C,3,0)-1,4)))))</f>
        <v>0.31900000000000001</v>
      </c>
      <c r="GO14" s="178" t="s">
        <v>178</v>
      </c>
      <c r="GP14" s="103">
        <v>19.899999999999999</v>
      </c>
      <c r="GQ14" s="101">
        <f>IF(GP14=0,"",IF(GP14=VLOOKUP("PCS-OzTL31",[2]ARBOR!$A:$C,3,0),0.0001,IF(GP14&gt;VLOOKUP("PCS-OzTL31",[2]ARBOR!$A:$C,3,0),"Maior que CAP!",IF((DOLLAR(GP14+(VLOOKUP("PCS-OzTL31",[2]ARBOR!$A:$C,3,0)*-TRUNC(GP14/VLOOKUP("PCS-OzTL31",[2]ARBOR!$A:$C,3,0)-1,4)),6))&lt;&gt;(DOLLAR(VLOOKUP("PCS-OzTL31",[2]ARBOR!$A:$C,3,0),6)),-TRUNC(GP14/VLOOKUP("PCS-OzTL31",[2]ARBOR!$A:$C,3,0)-1,4)+0.0001,-TRUNC(GP14/VLOOKUP("PCS-OzTL31",[2]ARBOR!$A:$C,3,0)-1,4)))))</f>
        <v>9.1800000000000007E-2</v>
      </c>
      <c r="GR14" s="178" t="s">
        <v>179</v>
      </c>
      <c r="GS14" s="103">
        <v>19.899999999999999</v>
      </c>
      <c r="GT14" s="101">
        <f>IF(GS14=0,"",IF(GS14=VLOOKUP("PCS-OzTL32",[2]ARBOR!$A:$C,3,0),0.0001,IF(GS14&gt;VLOOKUP("PCS-OzTL32",[2]ARBOR!$A:$C,3,0),"Maior que CAP!",IF((DOLLAR(GS14+(VLOOKUP("PCS-OzTL32",[2]ARBOR!$A:$C,3,0)*-TRUNC(GS14/VLOOKUP("PCS-OzTL32",[2]ARBOR!$A:$C,3,0)-1,4)),6))&lt;&gt;(DOLLAR(VLOOKUP("PCS-OzTL32",[2]ARBOR!$A:$C,3,0),6)),-TRUNC(GS14/VLOOKUP("PCS-OzTL32",[2]ARBOR!$A:$C,3,0)-1,4)+0.0001,-TRUNC(GS14/VLOOKUP("PCS-OzTL32",[2]ARBOR!$A:$C,3,0)-1,4)))))</f>
        <v>9.1800000000000007E-2</v>
      </c>
      <c r="GU14" s="178" t="s">
        <v>180</v>
      </c>
      <c r="GV14" s="103">
        <v>29.9</v>
      </c>
      <c r="GW14" s="101">
        <f>IF(GV14=0,"",IF(GV14=VLOOKUP("PCS-OzTL33",[2]ARBOR!$A:$C,3,0),0.0001,IF(GV14&gt;VLOOKUP("PCS-OzTL33",[2]ARBOR!$A:$C,3,0),"Maior que CAP!",IF((DOLLAR(GV14+(VLOOKUP("PCS-OzTL33",[2]ARBOR!$A:$C,3,0)*-TRUNC(GV14/VLOOKUP("PCS-OzTL33",[2]ARBOR!$A:$C,3,0)-1,4)),6))&lt;&gt;(DOLLAR(VLOOKUP("PCS-OzTL33",[2]ARBOR!$A:$C,3,0),6)),-TRUNC(GV14/VLOOKUP("PCS-OzTL33",[2]ARBOR!$A:$C,3,0)-1,4)+0.0001,-TRUNC(GV14/VLOOKUP("PCS-OzTL33",[2]ARBOR!$A:$C,3,0)-1,4)))))</f>
        <v>9.1800000000000007E-2</v>
      </c>
      <c r="GX14" s="178" t="s">
        <v>181</v>
      </c>
      <c r="GY14" s="103">
        <v>14.9</v>
      </c>
      <c r="GZ14" s="101">
        <f>IF(GY14=0,"",IF(GY14=VLOOKUP("PCS-OzTL503",[2]ARBOR!$A:$C,3,0),0.0001,IF(GY14&gt;VLOOKUP("PCS-OzTL503",[2]ARBOR!$A:$C,3,0),"Maior que CAP!",IF((DOLLAR(GY14+(VLOOKUP("PCS-OzTL503",[2]ARBOR!$A:$C,3,0)*-TRUNC(GY14/VLOOKUP("PCS-OzTL503",[2]ARBOR!$A:$C,3,0)-1,4)),6))&lt;&gt;(DOLLAR(VLOOKUP("PCS-OzTL503",[2]ARBOR!$A:$C,3,0),6)),-TRUNC(GY14/VLOOKUP("PCS-OzTL503",[2]ARBOR!$A:$C,3,0)-1,4)+0.0001,-TRUNC(GY14/VLOOKUP("PCS-OzTL503",[2]ARBOR!$A:$C,3,0)-1,4)))))</f>
        <v>9.1499999999999998E-2</v>
      </c>
      <c r="HA14" s="178" t="s">
        <v>182</v>
      </c>
      <c r="HB14" s="103">
        <v>10</v>
      </c>
      <c r="HC14" s="101">
        <f>IF(HB14=0,"",IF(HB14=VLOOKUP("PCS-OzTL500",[2]ARBOR!$A:$C,3,0),0.0001,IF(HB14&gt;VLOOKUP("PCS-OzTL500",[2]ARBOR!$A:$C,3,0),"Maior que CAP!",IF((DOLLAR(HB14+(VLOOKUP("PCS-OzTL500",[2]ARBOR!$A:$C,3,0)*-TRUNC(HB14/VLOOKUP("PCS-OzTL500",[2]ARBOR!$A:$C,3,0)-1,4)),6))&lt;&gt;(DOLLAR(VLOOKUP("PCS-OzTL500",[2]ARBOR!$A:$C,3,0),6)),-TRUNC(HB14/VLOOKUP("PCS-OzTL500",[2]ARBOR!$A:$C,3,0)-1,4)+0.0001,-TRUNC(HB14/VLOOKUP("PCS-OzTL500",[2]ARBOR!$A:$C,3,0)-1,4)))))</f>
        <v>9.1800000000000007E-2</v>
      </c>
      <c r="HD14" s="178" t="s">
        <v>183</v>
      </c>
      <c r="HE14" s="103" t="s">
        <v>184</v>
      </c>
      <c r="HF14" s="101"/>
      <c r="HG14" s="178"/>
      <c r="HH14" s="103" t="s">
        <v>185</v>
      </c>
      <c r="HI14" s="101"/>
      <c r="HJ14" s="178"/>
      <c r="HK14" s="103" t="s">
        <v>186</v>
      </c>
      <c r="HL14" s="101"/>
      <c r="HM14" s="178"/>
      <c r="HN14" s="103" t="s">
        <v>187</v>
      </c>
      <c r="HO14" s="101"/>
      <c r="HP14" s="178"/>
      <c r="HQ14" s="103" t="s">
        <v>188</v>
      </c>
      <c r="HR14" s="101"/>
      <c r="HS14" s="178"/>
      <c r="HT14" s="103">
        <v>24.9</v>
      </c>
      <c r="HU14" s="101">
        <f>IF(HT14=0,"",IF(HT14=VLOOKUP("PCS-OzTL99",[2]ARBOR!$A:$C,3,0),0.0001,IF(HT14&gt;VLOOKUP("PCS-OzTL99",[2]ARBOR!$A:$C,3,0),"Maior que CAP!",IF((DOLLAR(HT14+(VLOOKUP("PCS-OzTL99",[2]ARBOR!$A:$C,3,0)*-TRUNC(HT14/VLOOKUP("PCS-OzTL99",[2]ARBOR!$A:$C,3,0)-1,4)),6))&lt;&gt;(DOLLAR(VLOOKUP("PCS-OzTL99",[2]ARBOR!$A:$C,3,0),6)),-TRUNC(HT14/VLOOKUP("PCS-OzTL99",[2]ARBOR!$A:$C,3,0)-1,4)+0.0001,-TRUNC(HT14/VLOOKUP("PCS-OzTL99",[2]ARBOR!$A:$C,3,0)-1,4)))))</f>
        <v>0.16729999999999998</v>
      </c>
      <c r="HV14" s="179" t="s">
        <v>189</v>
      </c>
      <c r="HW14" s="170" t="s">
        <v>167</v>
      </c>
      <c r="HX14" s="178" t="str">
        <f t="shared" si="4"/>
        <v>PCS-34704</v>
      </c>
      <c r="HY14" s="180" t="str">
        <f>IFERROR((IF(AZ14="","",VLOOKUP(AZ14,[2]ARBOR!A:C,3,0))),"")</f>
        <v/>
      </c>
      <c r="HZ14" s="181"/>
      <c r="IA14" s="158" t="str">
        <f>IF(HZ14="","",ROUND(1-(HZ14/VLOOKUP(AZ14&amp;"ASS",[2]ARBOR!A:C,3,0)),4))</f>
        <v/>
      </c>
      <c r="IB14" s="158"/>
      <c r="IC14" s="182"/>
      <c r="ID14" s="183"/>
      <c r="IE14" s="101" t="str">
        <f>IF(ID14="","",ROUND(IF(ID14=0,"",IF(ID14=HY14,0.0001,1-((ID14+(VLOOKUP(AZ14&amp;"ASS",[2]ARBOR!A:C,3,0)-HZ14))/HY14))),4))</f>
        <v/>
      </c>
      <c r="IF14" s="101" t="str">
        <f>IF(ISERROR(IF(IE14="","",VLOOKUP(($AY14&amp;IE14&amp;"Template de desconto percentual FLAT Móvel - Conta Total - Varejo - Ganho Tributário Cross"),[2]BENEFICIOS!$A:$E,5,0))),"Criar",IF(IE14="","",VLOOKUP(($AY14&amp;IE14&amp;"Template de desconto percentual FLAT Móvel - Conta Total - Varejo - Ganho Tributário Cross"),[2]BENEFICIOS!$A:$E,5,0)))</f>
        <v/>
      </c>
      <c r="IG14" s="167"/>
      <c r="IH14" s="101"/>
      <c r="II14" s="184"/>
      <c r="IJ14" s="185"/>
      <c r="IK14" s="101"/>
      <c r="IL14" s="101"/>
      <c r="IM14" s="186"/>
      <c r="IN14" s="186"/>
      <c r="IO14" s="187"/>
      <c r="IP14" s="188" t="str">
        <f>IF(IO14=0,"",IF(IO14=VLOOKUP("PCS-813566",[2]ARBOR!$A:$C,3,0),0.0001,IF(IO14&gt;VLOOKUP("PCS-813566",[2]ARBOR!$A:$C,3,0),"Maior que CAP!",ROUND(-1*(IO14/VLOOKUP("PCS-813566",[2]ARBOR!$A:$C,3,0)-1),4))))</f>
        <v/>
      </c>
      <c r="IQ14" s="189" t="str">
        <f>IF(ISERROR(IF(IP14="","",VLOOKUP(("Oi Internet Pra Celular 300MB"&amp;IP14&amp;"Template Flat Instância Dados"),[2]BENEFICIOS!$A:$E,5,0))),"Criar",IF(IP14="","",VLOOKUP(("Oi Internet Pra Celular 300MB"&amp;IP14&amp;"Template Flat Instância Dados"),[2]BENEFICIOS!$A:$E,5,0)))</f>
        <v/>
      </c>
      <c r="IR14" s="190"/>
      <c r="IS14" s="191" t="str">
        <f>IF(IR14=0,"",IF(IR14=VLOOKUP("sva_bancas",[2]ARBOR!$A:$C,3,0),0.0001,IF(IR14&gt;VLOOKUP("sva_livros",[2]ARBOR!$A:$C,3,0),"Maior que CAP!",ROUND(-1*(IR14/VLOOKUP("sva_bancas",[2]ARBOR!$A:$C,3,0)-1),4))))</f>
        <v/>
      </c>
      <c r="IT14" s="192" t="str">
        <f>IF(ISERROR(IF(IS14="","",VLOOKUP(("Oi Internet Pra Celular 300MB"&amp;IS14&amp;"Template Desconto % SVA DADOS B2C"),[2]BENEFICIOS!$A:$E,5,0))),"Criar",IF(IS14="","",VLOOKUP(("Oi Internet Pra Celular 300MB"&amp;IS14&amp;"Template Desconto % SVA DADOS B2C"),[2]BENEFICIOS!$A:$E,5,0)))</f>
        <v/>
      </c>
      <c r="IU14" s="187"/>
      <c r="IV14" s="188" t="str">
        <f>IF(IU14=0,"",IF(IU14=VLOOKUP("PCS-813564",[2]ARBOR!$A:$C,3,0),0.0001,IF(IU14&gt;VLOOKUP("PCS-813564",[2]ARBOR!$A:$C,3,0),"Maior que CAP!",ROUND(-1*(IU14/VLOOKUP("PCS-813564",[2]ARBOR!$A:$C,3,0)-1),4))))</f>
        <v/>
      </c>
      <c r="IW14" s="189" t="str">
        <f>IF(ISERROR(IF(IV14="","",VLOOKUP(("Oi Internet Pra Celular 500MB"&amp;IV14&amp;"Template Flat Instância Dados"),[2]BENEFICIOS!$A:$E,5,0))),"Criar",IF(IV14="","",VLOOKUP(("Oi Internet Pra Celular 500MB"&amp;IV14&amp;"Template Flat Instância Dados"),[2]BENEFICIOS!$A:$E,5,0)))</f>
        <v/>
      </c>
      <c r="IX14" s="190"/>
      <c r="IY14" s="191" t="str">
        <f>IF(IX14=0,"",IF(IX14=VLOOKUP("sva_livros",[2]ARBOR!$A:$C,3,0),0.0001,IF(IX14&gt;VLOOKUP("sva_livros",[2]ARBOR!$A:$C,3,0),"Maior que CAP!",ROUND(-1*(IX14/VLOOKUP("sva_livros",[2]ARBOR!$A:$C,3,0)-1),4))))</f>
        <v/>
      </c>
      <c r="IZ14" s="192" t="str">
        <f>IF(ISERROR(IF(IY14="","",VLOOKUP(("Oi Internet Pra Celular 500MB"&amp;IY14&amp;"Template Desconto % SVA DADOS B2C"),[2]BENEFICIOS!$A:$E,5,0))),"Criar",IF(IY14="","",VLOOKUP(("Oi Internet Pra Celular 500MB"&amp;IY14&amp;"Template Desconto % SVA DADOS B2C"),[2]BENEFICIOS!$A:$E,5,0)))</f>
        <v/>
      </c>
      <c r="JA14" s="187"/>
      <c r="JB14" s="188" t="str">
        <f>IF(JA14=0,"",IF(JA14=VLOOKUP("PCS-10357",[2]ARBOR!$A:$C,3,0),0.0001,IF(JA14&gt;VLOOKUP("PCS-10357",[2]ARBOR!$A:$C,3,0),"Maior que CAP!",ROUND(-1*(JA14/VLOOKUP("PCS-10357",[2]ARBOR!$A:$C,3,0)-1),4))))</f>
        <v/>
      </c>
      <c r="JC14" s="189" t="str">
        <f>IF(ISERROR(IF(JB14="","",VLOOKUP(("Oi Internet Pra Celular 1GB"&amp;JB14&amp;"Template Flat Instância Dados"),[2]BENEFICIOS!$A:$E,5,0))),"Criar",IF(JB14="","",VLOOKUP(("Oi Internet Pra Celular 1GB"&amp;JB14&amp;"Template Flat Instância Dados"),[2]BENEFICIOS!$A:$E,5,0)))</f>
        <v/>
      </c>
      <c r="JD14" s="190"/>
      <c r="JE14" s="191" t="str">
        <f>IF(JD14=0,"",IF(JD14=VLOOKUP("sva_livros",[2]ARBOR!$A:$C,3,0),0.0001,IF(JD14&gt;VLOOKUP("sva_livros",[2]ARBOR!$A:$C,3,0),"Maior que CAP!",ROUND(-1*(JD14/VLOOKUP("sva_livros",[2]ARBOR!$A:$C,3,0)-1),4))))</f>
        <v/>
      </c>
      <c r="JF14" s="192" t="str">
        <f>IF(ISERROR(IF(JE14="","",VLOOKUP(("Oi Internet Pra Celular 1GB"&amp;JE14&amp;"Template Desconto % SVA DADOS B2C"),[2]BENEFICIOS!$A:$E,5,0))),"Criar",IF(JE14="","",VLOOKUP(("Oi Internet Pra Celular 1GB"&amp;JE14&amp;"Template Desconto % SVA DADOS B2C"),[2]BENEFICIOS!$A:$E,5,0)))</f>
        <v/>
      </c>
      <c r="JG14" s="187"/>
      <c r="JH14" s="188" t="str">
        <f>IF(JG14=0,"",IF(JG14=VLOOKUP("PCS-813565",[2]ARBOR!$A:$C,3,0),0.0001,IF(JG14&gt;VLOOKUP("PCS-813565",[2]ARBOR!$A:$C,3,0),"Maior que CAP!",ROUND(-1*(JG14/VLOOKUP("PCS-813565",[2]ARBOR!$A:$C,3,0)-1),4))))</f>
        <v/>
      </c>
      <c r="JI14" s="189" t="str">
        <f>IF(ISERROR(IF(JH14="","",VLOOKUP(("Oi Internet Pra Celular 2GB"&amp;JH14&amp;"Template Flat Instância Dados"),[2]BENEFICIOS!$A:$E,5,0))),"Criar",IF(JH14="","",VLOOKUP(("Oi Internet Pra Celular 2GB"&amp;JH14&amp;"Template Flat Instância Dados"),[2]BENEFICIOS!$A:$E,5,0)))</f>
        <v/>
      </c>
      <c r="JJ14" s="190"/>
      <c r="JK14" s="191" t="str">
        <f>IF(JJ14=0,"",IF(JJ14=VLOOKUP("sva_livros",[2]ARBOR!$A:$C,3,0),0.0001,IF(JJ14&gt;VLOOKUP("sva_livros",[2]ARBOR!$A:$C,3,0),"Maior que CAP!",ROUND(-1*(JJ14/VLOOKUP("sva_livros",[2]ARBOR!$A:$C,3,0)-1),4))))</f>
        <v/>
      </c>
      <c r="JL14" s="192" t="str">
        <f>IF(ISERROR(IF(JK14="","",VLOOKUP(("Oi Internet Pra Celular 2GB"&amp;JK14&amp;"Template Desconto % SVA DADOS B2C"),[2]BENEFICIOS!$A:$E,5,0))),"Criar",IF(JK14="","",VLOOKUP(("Oi Internet Pra Celular 2GB"&amp;JK14&amp;"Template Desconto % SVA DADOS B2C"),[2]BENEFICIOS!$A:$E,5,0)))</f>
        <v/>
      </c>
      <c r="JM14" s="187"/>
      <c r="JN14" s="188" t="str">
        <f>IF(JM14=0,"",IF(JM14=VLOOKUP("PCS-7171B",[2]ARBOR!$A:$C,3,0),0.0001,IF(JM14&gt;VLOOKUP("PCS-7171B",[2]ARBOR!$A:$C,3,0),"Maior que CAP!",ROUND(-1*(JM14/VLOOKUP("PCS-7171B",[2]ARBOR!$A:$C,3,0)-1),4))))</f>
        <v/>
      </c>
      <c r="JO14" s="189" t="str">
        <f>IF(ISERROR(IF(JN14="","",VLOOKUP(("Oi Internet Pra Celular 3GB"&amp;JN14&amp;"Template Flat Instância Dados"),[2]BENEFICIOS!$A:$E,5,0))),"Criar",IF(JN14="","",VLOOKUP(("Oi Internet Pra Celular 3GB"&amp;JN14&amp;"Template Flat Instância Dados"),[2]BENEFICIOS!$A:$E,5,0)))</f>
        <v/>
      </c>
      <c r="JP14" s="190"/>
      <c r="JQ14" s="191" t="str">
        <f>IF(JP14=0,"",IF(JP14=VLOOKUP("sva_livros",[2]ARBOR!$A:$C,3,0),0.0001,IF(JP14&gt;VLOOKUP("sva_livros",[2]ARBOR!$A:$C,3,0),"Maior que CAP!",ROUND(-1*(JP14/VLOOKUP("sva_livros",[2]ARBOR!$A:$C,3,0)-1),4))))</f>
        <v/>
      </c>
      <c r="JR14" s="192" t="str">
        <f>IF(ISERROR(IF(JQ14="","",VLOOKUP(("Oi Internet Pra Celular 3GB"&amp;JQ14&amp;"Template Desconto % SVA DADOS B2C"),[2]BENEFICIOS!$A:$E,5,0))),"Criar",IF(JQ14="","",VLOOKUP(("Oi Internet Pra Celular 3GB"&amp;JQ14&amp;"Template Desconto % SVA DADOS B2C"),[2]BENEFICIOS!$A:$E,5,0)))</f>
        <v/>
      </c>
      <c r="JS14" s="187"/>
      <c r="JT14" s="188" t="str">
        <f>IF(JS14=0,"",IF(JS14=VLOOKUP("PCS-51793o08",[2]ARBOR!$A:$C,3,0),0.0001,IF(JS14&gt;VLOOKUP("PCS-51793o08",[2]ARBOR!$A:$C,3,0),"Maior que CAP!",ROUND(-1*(JS14/VLOOKUP("PCS-51793o08",[2]ARBOR!$A:$C,3,0)-1),4))))</f>
        <v/>
      </c>
      <c r="JU14" s="189" t="str">
        <f>IF(ISERROR(IF(JT14="","",VLOOKUP(("Oi Internet Pra Celular 5GB"&amp;JT14&amp;"Template Flat Instância Dados"),[2]BENEFICIOS!$A:$E,5,0))),"Criar",IF(JT14="","",VLOOKUP(("Oi Internet Pra Celular 5GB"&amp;JT14&amp;"Template Flat Instância Dados"),[2]BENEFICIOS!$A:$E,5,0)))</f>
        <v/>
      </c>
      <c r="JV14" s="190"/>
      <c r="JW14" s="191" t="str">
        <f>IF(JV14=0,"",IF(JV14=VLOOKUP("sva_curtas",[2]ARBOR!$A:$C,3,0),0.0001,IF(JV14&gt;VLOOKUP("sva_curtas",[2]ARBOR!$A:$C,3,0),"Maior que CAP!",ROUND(-1*(JV14/VLOOKUP("sva_curtas",[2]ARBOR!$A:$C,3,0)-1),4))))</f>
        <v/>
      </c>
      <c r="JX14" s="192" t="str">
        <f>IF(ISERROR(IF(JW14="","",VLOOKUP(("Oi Internet Pra Celular 5GB"&amp;JW14&amp;"Template Desconto % SVA DADOS B2C"),[2]BENEFICIOS!$A:$E,5,0))),"Criar",IF(JW14="","",VLOOKUP(("Oi Internet Pra Celular 5GB"&amp;JW14&amp;"Template Desconto % SVA DADOS B2C"),[2]BENEFICIOS!$A:$E,5,0)))</f>
        <v/>
      </c>
      <c r="JY14" s="187"/>
      <c r="JZ14" s="188" t="str">
        <f>IF(JY14=0,"",IF(JY14=VLOOKUP("PCS-7171A",[2]ARBOR!$A:$C,3,0),0.0001,IF(JY14&gt;VLOOKUP("PCS-7171A",[2]ARBOR!$A:$C,3,0),"Maior que CAP!",ROUND(-1*(JY14/VLOOKUP("PCS-7171A",[2]ARBOR!$A:$C,3,0)-1),4))))</f>
        <v/>
      </c>
      <c r="KA14" s="193" t="str">
        <f>IF(ISERROR(IF(JZ14="","",VLOOKUP(("Oi Internet Pra Celular 10GB"&amp;JZ14&amp;"Template Flat Instância Dados"),[2]BENEFICIOS!$A:$E,5,0))),"Criar",IF(JZ14="","",VLOOKUP(("Oi Internet Pra Celular 10GB"&amp;JZ14&amp;"Template Flat Instância Dados"),[2]BENEFICIOS!$A:$E,5,0)))</f>
        <v/>
      </c>
      <c r="KB14" s="190"/>
      <c r="KC14" s="191" t="str">
        <f>IF(KB14=0,"",IF(KB14=VLOOKUP("sva_curtas",[2]ARBOR!$A:$C,3,0),0.0001,IF(KB14&gt;VLOOKUP("sva_curtas",[2]ARBOR!$A:$C,3,0),"Maior que CAP!",ROUND(-1*(KB14/VLOOKUP("sva_curtas",[2]ARBOR!$A:$C,3,0)-1),4))))</f>
        <v/>
      </c>
      <c r="KD14" s="192" t="str">
        <f>IF(ISERROR(IF(KC14="","",VLOOKUP(("Oi Internet Pra Celular 10GB"&amp;KC14&amp;"Template Desconto % SVA DADOS B2C"),[2]BENEFICIOS!$A:$E,5,0))),"Criar",IF(KC14="","",VLOOKUP(("Oi Internet Pra Celular 10GB"&amp;KC14&amp;"Template Desconto % SVA DADOS B2C"),[2]BENEFICIOS!$A:$E,5,0)))</f>
        <v/>
      </c>
      <c r="KE14" s="194"/>
      <c r="KF14" s="195"/>
      <c r="KG14" s="196" t="s">
        <v>167</v>
      </c>
      <c r="KH14" s="197" t="s">
        <v>190</v>
      </c>
      <c r="KI14" s="198">
        <v>899</v>
      </c>
      <c r="KJ14" s="197">
        <v>12</v>
      </c>
      <c r="KK14" s="199" t="str">
        <f t="shared" si="5"/>
        <v>Oi benefício fidelização Multiprodutos</v>
      </c>
      <c r="KL14" s="200" t="str">
        <f t="shared" si="6"/>
        <v>PCS-Fk83324</v>
      </c>
      <c r="KM14" s="200" t="str">
        <f t="shared" si="7"/>
        <v>PCS-SBL553142</v>
      </c>
      <c r="KN14" s="201" t="s">
        <v>191</v>
      </c>
      <c r="KO14" s="202" t="s">
        <v>192</v>
      </c>
      <c r="KP14" s="202" t="s">
        <v>193</v>
      </c>
      <c r="KQ14" s="201" t="s">
        <v>194</v>
      </c>
      <c r="KR14" s="199" t="s">
        <v>195</v>
      </c>
      <c r="KS14" s="200" t="s">
        <v>196</v>
      </c>
      <c r="KT14" s="203" t="s">
        <v>197</v>
      </c>
      <c r="KU14" s="129" t="s">
        <v>198</v>
      </c>
      <c r="KV14" s="129" t="s">
        <v>198</v>
      </c>
      <c r="KW14" s="129" t="s">
        <v>198</v>
      </c>
      <c r="KX14" s="129" t="s">
        <v>198</v>
      </c>
      <c r="KY14" s="129" t="s">
        <v>198</v>
      </c>
      <c r="KZ14" s="129" t="s">
        <v>198</v>
      </c>
      <c r="LA14" s="129" t="s">
        <v>198</v>
      </c>
      <c r="LB14" s="129" t="s">
        <v>198</v>
      </c>
      <c r="LC14" s="129" t="s">
        <v>198</v>
      </c>
      <c r="LD14" s="129" t="s">
        <v>198</v>
      </c>
      <c r="LE14" s="129" t="s">
        <v>198</v>
      </c>
      <c r="LF14" s="129" t="s">
        <v>198</v>
      </c>
      <c r="LG14" s="129" t="s">
        <v>198</v>
      </c>
      <c r="LH14" s="129" t="s">
        <v>198</v>
      </c>
      <c r="LI14" s="129" t="s">
        <v>198</v>
      </c>
      <c r="LJ14" s="129" t="s">
        <v>198</v>
      </c>
      <c r="LK14" s="204">
        <v>289.90999999999997</v>
      </c>
      <c r="LL14" s="212"/>
      <c r="LM14" s="213"/>
      <c r="LN14" s="213"/>
      <c r="LO14" s="213"/>
      <c r="LP14" s="213"/>
      <c r="LQ14" s="213"/>
      <c r="LR14" s="213"/>
      <c r="LS14" s="213"/>
      <c r="LT14" s="213"/>
      <c r="LU14" s="214"/>
      <c r="LV14" t="s">
        <v>218</v>
      </c>
      <c r="LW14" t="s">
        <v>200</v>
      </c>
    </row>
    <row r="15" spans="1:335" x14ac:dyDescent="0.25">
      <c r="A15" s="134" t="s">
        <v>164</v>
      </c>
      <c r="B15" s="135" t="s">
        <v>165</v>
      </c>
      <c r="C15" s="135" t="s">
        <v>166</v>
      </c>
      <c r="D15" s="136" t="s">
        <v>167</v>
      </c>
      <c r="E15" s="137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9"/>
      <c r="Q15" s="139"/>
      <c r="R15" s="139"/>
      <c r="S15" s="140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41"/>
      <c r="AF15" s="138"/>
      <c r="AG15" s="138"/>
      <c r="AH15" s="142"/>
      <c r="AI15" s="209" t="s">
        <v>14</v>
      </c>
      <c r="AJ15" s="59" t="s">
        <v>168</v>
      </c>
      <c r="AK15" s="60" t="s">
        <v>209</v>
      </c>
      <c r="AL15" s="143">
        <v>43039</v>
      </c>
      <c r="AM15" s="144">
        <v>43159</v>
      </c>
      <c r="AN15" s="63" t="s">
        <v>170</v>
      </c>
      <c r="AO15" s="64" t="s">
        <v>170</v>
      </c>
      <c r="AP15" s="145"/>
      <c r="AQ15" s="145" t="s">
        <v>171</v>
      </c>
      <c r="AR15" s="145">
        <v>20</v>
      </c>
      <c r="AS15" s="145">
        <v>10000</v>
      </c>
      <c r="AT15" s="146" t="s">
        <v>172</v>
      </c>
      <c r="AU15" s="147" t="s">
        <v>167</v>
      </c>
      <c r="AV15" s="148" t="s">
        <v>173</v>
      </c>
      <c r="AW15" s="149" t="s">
        <v>173</v>
      </c>
      <c r="AX15" s="150" t="s">
        <v>14</v>
      </c>
      <c r="AY15" s="151" t="s">
        <v>201</v>
      </c>
      <c r="AZ15" s="152" t="str">
        <f>IF(ISERROR(VLOOKUP(AY15,[2]PLANOS!B:C,2,0)),"",VLOOKUP(AY15,[2]PLANOS!B:C,2,0))</f>
        <v>PCS-3PMepi</v>
      </c>
      <c r="BA15" s="153" t="s">
        <v>173</v>
      </c>
      <c r="BB15" s="154" t="str">
        <f t="shared" si="1"/>
        <v/>
      </c>
      <c r="BC15" s="155"/>
      <c r="BD15" s="156"/>
      <c r="BE15" s="157">
        <v>50.11</v>
      </c>
      <c r="BF15" s="101">
        <f>IF(BE15=0,"",IF(BE15=VLOOKUP("FIXO",[2]ARBOR!$A:$C,3,0),0.0001,IF(BE15&gt;VLOOKUP("FIXO",[2]ARBOR!$A:$C,3,0),"Maior que CAP!",IF((DOLLAR(BE15+(VLOOKUP("FIXO",[2]ARBOR!$A:$C,3,0)*-TRUNC(BE15/VLOOKUP("FIXO",[2]ARBOR!$A:$C,3,0)-1,4)),6))&lt;&gt;(DOLLAR(VLOOKUP("FIXO",[2]ARBOR!$A:$C,3,0),6)),-TRUNC(BE15/VLOOKUP("FIXO",[2]ARBOR!$A:$C,3,0)-1,4)+0.0001,-TRUNC(BE15/VLOOKUP("FIXO",[2]ARBOR!$A:$C,3,0)-1,4)))))</f>
        <v>0.33929999999999999</v>
      </c>
      <c r="BG15" s="158"/>
      <c r="BH15" s="101" t="str">
        <f>IF(BG15=0,"",IF(BG15=VLOOKUP("FIXO",[2]ARBOR!$A:$C,3,0),0.0001,IF(BG15&gt;VLOOKUP("FIXO",[2]ARBOR!$A:$C,3,0),"Maior que CAP!",IF((DOLLAR(BG15+(VLOOKUP("FIXO",[2]ARBOR!$A:$C,3,0)*-TRUNC(BG15/VLOOKUP("FIXO",[2]ARBOR!$A:$C,3,0)-1,4)),6))&lt;&gt;(DOLLAR(VLOOKUP("FIXO",[2]ARBOR!$A:$C,3,0),6)),-TRUNC(BG15/VLOOKUP("FIXO",[2]ARBOR!$A:$C,3,0)-1,4)+0.0001,-TRUNC(BG15/VLOOKUP("FIXO",[2]ARBOR!$A:$C,3,0)-1,4)))))</f>
        <v/>
      </c>
      <c r="BI15" s="101" t="str">
        <f>IF(ISERROR(IF(BF15="","",VLOOKUP(($AY15&amp;BF15&amp;"Template de desconto FLAT bundle - Fixo - Varejo - Ganho Tributário Cross"),[2]BENEFICIOS!$A:$E,5,0))),"Criar",IF(BF15="","",VLOOKUP(($AY15&amp;BF15&amp;"Template de desconto FLAT bundle - Fixo - Varejo - Ganho Tributário Cross"),[2]BENEFICIOS!$A:$E,5,0)))</f>
        <v>MKT-1-9825718835</v>
      </c>
      <c r="BJ15" s="159"/>
      <c r="BK15" s="101" t="str">
        <f t="shared" si="2"/>
        <v/>
      </c>
      <c r="BL15" s="160"/>
      <c r="BM15" s="101" t="str">
        <f>IF(BL15=0,"",IF(BL15=VLOOKUP("FIXO",[2]ARBOR!$A:$C,3,0),0.0001,IF(BL15&gt;VLOOKUP("FIXO",[2]ARBOR!$A:$C,3,0),"Maior que CAP!",IF(BF15&lt;&gt;"",-ROUND(BL15/VLOOKUP("FIXO",[2]ARBOR!$A:$C,3,0)-1,4)-BF15,-ROUND(BL15/VLOOKUP("FIXO",[2]ARBOR!$A:$C,3,0)-1,4)))))</f>
        <v/>
      </c>
      <c r="BN15" s="161"/>
      <c r="BO15" s="101" t="str">
        <f>IF(ISERROR(IF(BK15="","",VLOOKUP(($AY15&amp;BK15&amp;"Template de desconto FLAT bundle - Fixo - Varejo - Ganho Tributário Cross"),[2]BENEFICIOS!$A:$E,5,0))),"Criar",IF(BK15="","",VLOOKUP(($AY15&amp;BK15&amp;"Template de desconto FLAT bundle - Fixo - Varejo - Ganho Tributário Cross"),[2]BENEFICIOS!$A:$E,5,0)))</f>
        <v/>
      </c>
      <c r="BP15" s="162" t="s">
        <v>175</v>
      </c>
      <c r="BQ15" s="163" t="s">
        <v>176</v>
      </c>
      <c r="BR15" s="164" t="s">
        <v>173</v>
      </c>
      <c r="BS15" s="165" t="str">
        <f t="shared" si="0"/>
        <v/>
      </c>
      <c r="BT15" s="155"/>
      <c r="BU15" s="166"/>
      <c r="BV15" s="167" t="s">
        <v>210</v>
      </c>
      <c r="BW15" s="168">
        <v>44.9</v>
      </c>
      <c r="BX15" s="101">
        <f>IF(BW15=0,"",IF(BW15=VLOOKUP("PCS-30874g",[2]ARBOR!$A:$C,3,0),0.0001,IF(BW15&gt;VLOOKUP("PCS-30874g",[2]ARBOR!$A:$C,3,0),"Maior que CAP!",IF((DOLLAR(BW15+(VLOOKUP("PCS-30874g",[2]ARBOR!$A:$C,3,0)*-TRUNC(BW15/VLOOKUP("PCS-30874g",[2]ARBOR!$A:$C,3,0)-1,4)),6))&lt;&gt;(DOLLAR(VLOOKUP("PCS-30874g",[2]ARBOR!$A:$C,3,0),6)),-TRUNC(BW15/VLOOKUP("PCS-30874g",[2]ARBOR!$A:$C,3,0)-1,4)+0.0001,-TRUNC(BW15/VLOOKUP("PCS-30874g",[2]ARBOR!$A:$C,3,0)-1,4)))))</f>
        <v>0.53679999999999994</v>
      </c>
      <c r="BY15" s="163" t="str">
        <f>IF(ISERROR(IF(BX15="","",VLOOKUP(($AY15&amp;BX15&amp;"Template de desconto FLAT bundle - Velox XDSL - Varejo"),[2]BENEFICIOS!$A:$E,5,0))),"Criar",IF(BX15="","",VLOOKUP(($AY15&amp;BX15&amp;"Template de desconto FLAT bundle - Velox XDSL - Varejo"),[2]BENEFICIOS!$A:$E,5,0)))</f>
        <v>MKT-1-9828849818</v>
      </c>
      <c r="BZ15" s="167" t="s">
        <v>210</v>
      </c>
      <c r="CA15" s="168">
        <v>44.9</v>
      </c>
      <c r="CB15" s="101">
        <f>IF(CA15=0,"",IF(CA15=VLOOKUP("PCS-30577g",[2]ARBOR!$A:$C,3,0),0.0001,IF(CA15&gt;VLOOKUP("PCS-30577g",[2]ARBOR!$A:$C,3,0),"Maior que CAP!",IF((DOLLAR(CA15+(VLOOKUP("PCS-30577g",[2]ARBOR!$A:$C,3,0)*-TRUNC(CA15/VLOOKUP("PCS-30577g",[2]ARBOR!$A:$C,3,0)-1,4)),6))&lt;&gt;(DOLLAR(VLOOKUP("PCS-30577g",[2]ARBOR!$A:$C,3,0),6)),-TRUNC(CA15/VLOOKUP("PCS-30577g",[2]ARBOR!$A:$C,3,0)-1,4)+0.0001,-TRUNC(CA15/VLOOKUP("PCS-30577g",[2]ARBOR!$A:$C,3,0)-1,4)))))</f>
        <v>0.53679999999999994</v>
      </c>
      <c r="CC15" s="163" t="str">
        <f>IF(ISERROR(IF(CB15="","",VLOOKUP(($AY15&amp;CB15&amp;"Template de desconto FLAT bundle - Velox XDSL - Varejo"),[2]BENEFICIOS!$A:$E,5,0))),"Criar",IF(CB15="","",VLOOKUP(($AY15&amp;CB15&amp;"Template de desconto FLAT bundle - Velox XDSL - Varejo"),[2]BENEFICIOS!$A:$E,5,0)))</f>
        <v>MKT-1-9828849818</v>
      </c>
      <c r="CD15" s="167" t="s">
        <v>210</v>
      </c>
      <c r="CE15" s="168">
        <v>44.9</v>
      </c>
      <c r="CF15" s="101">
        <f>IF(CE15=0,"",IF(CE15=VLOOKUP("PCS-30604g",[2]ARBOR!$A:$C,3,0),0.0001,IF(CE15&gt;VLOOKUP("PCS-30604g",[2]ARBOR!$A:$C,3,0),"Maior que CAP!",IF((DOLLAR(CE15+(VLOOKUP("PCS-30604g",[2]ARBOR!$A:$C,3,0)*-TRUNC(CE15/VLOOKUP("PCS-30604g",[2]ARBOR!$A:$C,3,0)-1,4)),6))&lt;&gt;(DOLLAR(VLOOKUP("PCS-30604g",[2]ARBOR!$A:$C,3,0),6)),-TRUNC(CE15/VLOOKUP("PCS-30604g",[2]ARBOR!$A:$C,3,0)-1,4)+0.0001,-TRUNC(CE15/VLOOKUP("PCS-30604g",[2]ARBOR!$A:$C,3,0)-1,4)))))</f>
        <v>0.53679999999999994</v>
      </c>
      <c r="CG15" s="163" t="str">
        <f>IF(ISERROR(IF(CF15="","",VLOOKUP(($AY15&amp;CF15&amp;"Template de desconto FLAT bundle - Velox XDSL - Varejo"),[2]BENEFICIOS!$A:$E,5,0))),"Criar",IF(CF15="","",VLOOKUP(($AY15&amp;CF15&amp;"Template de desconto FLAT bundle - Velox XDSL - Varejo"),[2]BENEFICIOS!$A:$E,5,0)))</f>
        <v>MKT-1-9828849818</v>
      </c>
      <c r="CH15" s="167" t="s">
        <v>210</v>
      </c>
      <c r="CI15" s="168">
        <v>44.9</v>
      </c>
      <c r="CJ15" s="101">
        <f>IF(CI15=0,"",IF(CI15=VLOOKUP("PCS-30631g",[2]ARBOR!$A:$C,3,0),0.0001,IF(CI15&gt;VLOOKUP("PCS-30631g",[2]ARBOR!$A:$C,3,0),"Maior que CAP!",IF((DOLLAR(CI15+(VLOOKUP("PCS-30631g",[2]ARBOR!$A:$C,3,0)*-TRUNC(CI15/VLOOKUP("PCS-30631g",[2]ARBOR!$A:$C,3,0)-1,4)),6))&lt;&gt;(DOLLAR(VLOOKUP("PCS-30631g",[2]ARBOR!$A:$C,3,0),6)),-TRUNC(CI15/VLOOKUP("PCS-30631g",[2]ARBOR!$A:$C,3,0)-1,4)+0.0001,-TRUNC(CI15/VLOOKUP("PCS-30631g",[2]ARBOR!$A:$C,3,0)-1,4)))))</f>
        <v>0.54310000000000003</v>
      </c>
      <c r="CK15" s="163" t="str">
        <f>IF(ISERROR(IF(CJ15="","",VLOOKUP(($AY15&amp;CJ15&amp;"Template de desconto FLAT bundle - Velox XDSL - Varejo"),[2]BENEFICIOS!$A:$E,5,0))),"Criar",IF(CJ15="","",VLOOKUP(($AY15&amp;CJ15&amp;"Template de desconto FLAT bundle - Velox XDSL - Varejo"),[2]BENEFICIOS!$A:$E,5,0)))</f>
        <v>MKT-1-9828191916</v>
      </c>
      <c r="CL15" s="167" t="s">
        <v>104</v>
      </c>
      <c r="CM15" s="168">
        <v>49.9</v>
      </c>
      <c r="CN15" s="101">
        <f>IF(CM15=0,"",IF(CM15=VLOOKUP("PCS-30658g",[2]ARBOR!$A:$C,3,0),0.0001,IF(CM15&gt;VLOOKUP("PCS-30658g",[2]ARBOR!$A:$C,3,0),"Maior que CAP!",IF((DOLLAR(CM15+(VLOOKUP("PCS-30658g",[2]ARBOR!$A:$C,3,0)*-TRUNC(CM15/VLOOKUP("PCS-30658g",[2]ARBOR!$A:$C,3,0)-1,4)),6))&lt;&gt;(DOLLAR(VLOOKUP("PCS-30658g",[2]ARBOR!$A:$C,3,0),6)),-TRUNC(CM15/VLOOKUP("PCS-30658g",[2]ARBOR!$A:$C,3,0)-1,4)+0.0001,-TRUNC(CM15/VLOOKUP("PCS-30658g",[2]ARBOR!$A:$C,3,0)-1,4)))))</f>
        <v>0.55569999999999997</v>
      </c>
      <c r="CO15" s="163" t="str">
        <f>IF(ISERROR(IF(CN15="","",VLOOKUP(($AY15&amp;CN15&amp;"Template de desconto FLAT bundle - Velox XDSL - Varejo"),[2]BENEFICIOS!$A:$E,5,0))),"Criar",IF(CN15="","",VLOOKUP(($AY15&amp;CN15&amp;"Template de desconto FLAT bundle - Velox XDSL - Varejo"),[2]BENEFICIOS!$A:$E,5,0)))</f>
        <v>MKT-1-9828235005</v>
      </c>
      <c r="CP15" s="167" t="s">
        <v>104</v>
      </c>
      <c r="CQ15" s="168">
        <v>49.9</v>
      </c>
      <c r="CR15" s="101">
        <f>IF(CQ15=0,"",IF(CQ15=VLOOKUP("PCS-30685g",[2]ARBOR!$A:$C,3,0),0.0001,IF(CQ15&gt;VLOOKUP("PCS-30685g",[2]ARBOR!$A:$C,3,0),"Maior que CAP!",IF((DOLLAR(CQ15+(VLOOKUP("PCS-30685g",[2]ARBOR!$A:$C,3,0)*-TRUNC(CQ15/VLOOKUP("PCS-30685g",[2]ARBOR!$A:$C,3,0)-1,4)),6))&lt;&gt;(DOLLAR(VLOOKUP("PCS-30685g",[2]ARBOR!$A:$C,3,0),6)),-TRUNC(CQ15/VLOOKUP("PCS-30685g",[2]ARBOR!$A:$C,3,0)-1,4)+0.0001,-TRUNC(CQ15/VLOOKUP("PCS-30685g",[2]ARBOR!$A:$C,3,0)-1,4)))))</f>
        <v>0.60509999999999997</v>
      </c>
      <c r="CS15" s="163" t="str">
        <f>IF(ISERROR(IF(CR15="","",VLOOKUP(($AY15&amp;CR15&amp;"Template de desconto FLAT bundle - Velox XDSL - Varejo"),[2]BENEFICIOS!$A:$E,5,0))),"Criar",IF(CR15="","",VLOOKUP(($AY15&amp;CR15&amp;"Template de desconto FLAT bundle - Velox XDSL - Varejo"),[2]BENEFICIOS!$A:$E,5,0)))</f>
        <v>MKT-1-9828260224</v>
      </c>
      <c r="CT15" s="167" t="s">
        <v>104</v>
      </c>
      <c r="CU15" s="168">
        <v>49.9</v>
      </c>
      <c r="CV15" s="101">
        <f>IF(CU15=0,"",IF(CU15=VLOOKUP("PCS-30712g",[2]ARBOR!$A:$C,3,0),0.0001,IF(CU15&gt;VLOOKUP("PCS-30712g",[2]ARBOR!$A:$C,3,0),"Maior que CAP!",IF((DOLLAR(CU15+(VLOOKUP("PCS-30712g",[2]ARBOR!$A:$C,3,0)*-TRUNC(CU15/VLOOKUP("PCS-30712g",[2]ARBOR!$A:$C,3,0)-1,4)),6))&lt;&gt;(DOLLAR(VLOOKUP("PCS-30712g",[2]ARBOR!$A:$C,3,0),6)),-TRUNC(CU15/VLOOKUP("PCS-30712g",[2]ARBOR!$A:$C,3,0)-1,4)+0.0001,-TRUNC(CU15/VLOOKUP("PCS-30712g",[2]ARBOR!$A:$C,3,0)-1,4)))))</f>
        <v>0.64459999999999995</v>
      </c>
      <c r="CW15" s="163" t="str">
        <f>IF(ISERROR(IF(CV15="","",VLOOKUP(($AY15&amp;CV15&amp;"Template de desconto FLAT bundle - Velox XDSL - Varejo"),[2]BENEFICIOS!$A:$E,5,0))),"Criar",IF(CV15="","",VLOOKUP(($AY15&amp;CV15&amp;"Template de desconto FLAT bundle - Velox XDSL - Varejo"),[2]BENEFICIOS!$A:$E,5,0)))</f>
        <v>MKT-1-9828260833</v>
      </c>
      <c r="CX15" s="167" t="s">
        <v>104</v>
      </c>
      <c r="CY15" s="168">
        <v>59.9</v>
      </c>
      <c r="CZ15" s="101">
        <f>IF(CY15=0,"",IF(CY15=VLOOKUP("PCS-30739g",[2]ARBOR!$A:$C,3,0),0.0001,IF(CY15&gt;VLOOKUP("PCS-30739g",[2]ARBOR!$A:$C,3,0),"Maior que CAP!",IF((DOLLAR(CY15+(VLOOKUP("PCS-30739g",[2]ARBOR!$A:$C,3,0)*-TRUNC(CY15/VLOOKUP("PCS-30739g",[2]ARBOR!$A:$C,3,0)-1,4)),6))&lt;&gt;(DOLLAR(VLOOKUP("PCS-30739g",[2]ARBOR!$A:$C,3,0),6)),-TRUNC(CY15/VLOOKUP("PCS-30739g",[2]ARBOR!$A:$C,3,0)-1,4)+0.0001,-TRUNC(CY15/VLOOKUP("PCS-30739g",[2]ARBOR!$A:$C,3,0)-1,4)))))</f>
        <v>0.71560000000000001</v>
      </c>
      <c r="DA15" s="169" t="str">
        <f>IF(ISERROR(IF(CZ15="","",VLOOKUP(($AY15&amp;CZ15&amp;"Template de desconto FLAT bundle - Velox XDSL - Varejo"),[2]BENEFICIOS!$A:$E,5,0))),"Criar",IF(CZ15="","",VLOOKUP(($AY15&amp;CZ15&amp;"Template de desconto FLAT bundle - Velox XDSL - Varejo"),[2]BENEFICIOS!$A:$E,5,0)))</f>
        <v>MKT-1-9828272112</v>
      </c>
      <c r="DB15" s="170">
        <v>29.95</v>
      </c>
      <c r="DC15" s="215">
        <v>6</v>
      </c>
      <c r="DD15" s="101">
        <f>IF(DB15=0,"",IF(DB15=VLOOKUP("PCS-30739g",[2]ARBOR!$A:$C,3,0),0.0001,IF(DB15&gt;VLOOKUP("PCS-30739g",[2]ARBOR!$A:$C,3,0),"Maior que CAP!",IF((DOLLAR(DB15+(VLOOKUP("PCS-30739g",[2]ARBOR!$A:$C,3,0)*-TRUNC(DB15/VLOOKUP("PCS-30739g",[2]ARBOR!$A:$C,3,0)-1,4)),6))&lt;&gt;(DOLLAR(VLOOKUP("PCS-30739g",[2]ARBOR!$A:$C,3,0),6)),(-TRUNC(DB15/VLOOKUP("PCS-30739g",[2]ARBOR!$A:$C,3,0)-1,4)+0.0001)-CZ15,-TRUNC(DB15/VLOOKUP("PCS-30739g",[2]ARBOR!$A:$C,3,0)-1,4)-CZ15))))</f>
        <v>0.14219999999999999</v>
      </c>
      <c r="DE15" s="163" t="str">
        <f>IF(ISERROR(IF(DD15="","",VLOOKUP(($AY15&amp;DD15&amp;"Template de desconto percentual Bundle - Velox XDSL - Varejo"),[2]BENEFICIOS!$A:$E,5,0))),"Criar",IF(DD15="","",VLOOKUP(($AY15&amp;DD15&amp;"Template de desconto percentual Bundle - Velox XDSL - Varejo"),[2]BENEFICIOS!$A:$E,5,0)))</f>
        <v>MKT-1-9832066441</v>
      </c>
      <c r="DF15" s="167" t="s">
        <v>104</v>
      </c>
      <c r="DG15" s="168">
        <v>59.9</v>
      </c>
      <c r="DH15" s="101">
        <f>IF(DG15=0,"",IF(DG15=VLOOKUP("PCS-30766g",[2]ARBOR!$A:$C,3,0),0.0001,IF(DG15&gt;VLOOKUP("PCS-30766g",[2]ARBOR!$A:$C,3,0),"Maior que CAP!",IF((DOLLAR(DG15+(VLOOKUP("PCS-30766g",[2]ARBOR!$A:$C,3,0)*-TRUNC(DG15/VLOOKUP("PCS-30766g",[2]ARBOR!$A:$C,3,0)-1,4)),6))&lt;&gt;(DOLLAR(VLOOKUP("PCS-30766g",[2]ARBOR!$A:$C,3,0),6)),-TRUNC(DG15/VLOOKUP("PCS-30766g",[2]ARBOR!$A:$C,3,0)-1,4)+0.0001,-TRUNC(DG15/VLOOKUP("PCS-30766g",[2]ARBOR!$A:$C,3,0)-1,4)))))</f>
        <v>0.78669999999999995</v>
      </c>
      <c r="DI15" s="169" t="str">
        <f>IF(ISERROR(IF(DH15="","",VLOOKUP(($AY15&amp;DH15&amp;"Template de desconto FLAT bundle - Velox XDSL - Varejo"),[2]BENEFICIOS!$A:$E,5,0))),"Criar",IF(DH15="","",VLOOKUP(($AY15&amp;DH15&amp;"Template de desconto FLAT bundle - Velox XDSL - Varejo"),[2]BENEFICIOS!$A:$E,5,0)))</f>
        <v>MKT-1-9828278651</v>
      </c>
      <c r="DJ15" s="170">
        <v>29.95</v>
      </c>
      <c r="DK15" s="215">
        <v>6</v>
      </c>
      <c r="DL15" s="101">
        <f>IF(DJ15=0,"",IF(DJ15=VLOOKUP("PCS-30766g",[2]ARBOR!$A:$C,3,0),0.0001,IF(DJ15&gt;VLOOKUP("PCS-30766g",[2]ARBOR!$A:$C,3,0),"Maior que CAP!",IF((DOLLAR(DJ15+(VLOOKUP("PCS-30766g",[2]ARBOR!$A:$C,3,0)*-TRUNC(DJ15/VLOOKUP("PCS-30766g",[2]ARBOR!$A:$C,3,0)-1,4)),6))&lt;&gt;(DOLLAR(VLOOKUP("PCS-30766g",[2]ARBOR!$A:$C,3,0),6)),(-TRUNC(DJ15/VLOOKUP("PCS-30766g",[2]ARBOR!$A:$C,3,0)-1,4)+0.0001)-DH15,-TRUNC(DJ15/VLOOKUP("PCS-30766g",[2]ARBOR!$A:$C,3,0)-1,4)-DH15))))</f>
        <v>0.10670000000000002</v>
      </c>
      <c r="DM15" s="163" t="str">
        <f>IF(ISERROR(IF(DL15="","",VLOOKUP(($AY15&amp;DL15&amp;"Template de desconto percentual Bundle - Velox XDSL - Varejo"),[2]BENEFICIOS!$A:$E,5,0))),"Criar",IF(DL15="","",VLOOKUP(($AY15&amp;DL15&amp;"Template de desconto percentual Bundle - Velox XDSL - Varejo"),[2]BENEFICIOS!$A:$E,5,0)))</f>
        <v>MKT-1-9832066629</v>
      </c>
      <c r="DN15" s="167" t="s">
        <v>210</v>
      </c>
      <c r="DO15" s="168">
        <v>69.900000000000006</v>
      </c>
      <c r="DP15" s="101">
        <f>IF(DO15=0,"",IF(DO15=VLOOKUP("PCS-30793g",[2]ARBOR!$A:$C,3,0),0.0001,IF(DO15&gt;VLOOKUP("PCS-30793g",[2]ARBOR!$A:$C,3,0),"Maior que CAP!",IF((DOLLAR(DO15+(VLOOKUP("PCS-30793g",[2]ARBOR!$A:$C,3,0)*-TRUNC(DO15/VLOOKUP("PCS-30793g",[2]ARBOR!$A:$C,3,0)-1,4)),6))&lt;&gt;(DOLLAR(VLOOKUP("PCS-30793g",[2]ARBOR!$A:$C,3,0),6)),-TRUNC(DO15/VLOOKUP("PCS-30793g",[2]ARBOR!$A:$C,3,0)-1,4)+0.0001,-TRUNC(DO15/VLOOKUP("PCS-30793g",[2]ARBOR!$A:$C,3,0)-1,4)))))</f>
        <v>0.75109999999999999</v>
      </c>
      <c r="DQ15" s="169" t="str">
        <f>IF(ISERROR(IF(DP15="","",VLOOKUP(($AY15&amp;DP15&amp;"Template de desconto FLAT bundle - Velox XDSL - Varejo"),[2]BENEFICIOS!$A:$E,5,0))),"Criar",IF(DP15="","",VLOOKUP(($AY15&amp;DP15&amp;"Template de desconto FLAT bundle - Velox XDSL - Varejo"),[2]BENEFICIOS!$A:$E,5,0)))</f>
        <v>MKT-1-9828296896</v>
      </c>
      <c r="DR15" s="170">
        <v>34.950000000000003</v>
      </c>
      <c r="DS15" s="215">
        <v>6</v>
      </c>
      <c r="DT15" s="101">
        <f>IF(DR15=0,"",IF(DR15=VLOOKUP("PCS-30793g",[2]ARBOR!$A:$C,3,0),0.0001,IF(DR15&gt;VLOOKUP("PCS-30793g",[2]ARBOR!$A:$C,3,0),"Maior que CAP!",IF((DOLLAR(DR15+(VLOOKUP("PCS-30793g",[2]ARBOR!$A:$C,3,0)*-TRUNC(DR15/VLOOKUP("PCS-30793g",[2]ARBOR!$A:$C,3,0)-1,4)),6))&lt;&gt;(DOLLAR(VLOOKUP("PCS-30793g",[2]ARBOR!$A:$C,3,0),6)),(-TRUNC(DR15/VLOOKUP("PCS-30793g",[2]ARBOR!$A:$C,3,0)-1,4)+0.0001)-DP15,-TRUNC(DR15/VLOOKUP("PCS-30793g",[2]ARBOR!$A:$C,3,0)-1,4)-DP15))))</f>
        <v>0.12449999999999994</v>
      </c>
      <c r="DU15" s="163" t="str">
        <f>IF(ISERROR(IF(DT15="","",VLOOKUP(($AY15&amp;DT15&amp;"Template de desconto percentual Bundle - Velox XDSL - Varejo"),[2]BENEFICIOS!$A:$E,5,0))),"Criar",IF(DT15="","",VLOOKUP(($AY15&amp;DT15&amp;"Template de desconto percentual Bundle - Velox XDSL - Varejo"),[2]BENEFICIOS!$A:$E,5,0)))</f>
        <v>MKT-1-9826046173</v>
      </c>
      <c r="DV15" s="167" t="s">
        <v>104</v>
      </c>
      <c r="DW15" s="168">
        <v>69.900000000000006</v>
      </c>
      <c r="DX15" s="101">
        <f>IF(DW15=0,"",IF(DW15=VLOOKUP("PCS-30820g",[2]ARBOR!$A:$C,3,0),0.0001,IF(DW15&gt;VLOOKUP("PCS-30820g",[2]ARBOR!$A:$C,3,0),"Maior que CAP!",IF((DOLLAR(DW15+(VLOOKUP("PCS-30820g",[2]ARBOR!$A:$C,3,0)*-TRUNC(DW15/VLOOKUP("PCS-30820g",[2]ARBOR!$A:$C,3,0)-1,4)),6))&lt;&gt;(DOLLAR(VLOOKUP("PCS-30820g",[2]ARBOR!$A:$C,3,0),6)),-TRUNC(DW15/VLOOKUP("PCS-30820g",[2]ARBOR!$A:$C,3,0)-1,4)+0.0001,-TRUNC(DW15/VLOOKUP("PCS-30820g",[2]ARBOR!$A:$C,3,0)-1,4)))))</f>
        <v>0.75109999999999999</v>
      </c>
      <c r="DY15" s="169" t="str">
        <f>IF(ISERROR(IF(DX15="","",VLOOKUP(($AY15&amp;DX15&amp;"Template de desconto FLAT bundle - Velox XDSL - Varejo"),[2]BENEFICIOS!$A:$E,5,0))),"Criar",IF(DX15="","",VLOOKUP(($AY15&amp;DX15&amp;"Template de desconto FLAT bundle - Velox XDSL - Varejo"),[2]BENEFICIOS!$A:$E,5,0)))</f>
        <v>MKT-1-9828296896</v>
      </c>
      <c r="DZ15" s="170">
        <v>34.950000000000003</v>
      </c>
      <c r="EA15" s="215">
        <v>6</v>
      </c>
      <c r="EB15" s="101">
        <f>IF(DZ15=0,"",IF(DZ15=VLOOKUP("PCS-30820g",[2]ARBOR!$A:$C,3,0),0.0001,IF(DZ15&gt;VLOOKUP("PCS-30820g",[2]ARBOR!$A:$C,3,0),"Maior que CAP!",IF((DOLLAR(DZ15+(VLOOKUP("PCS-30820g",[2]ARBOR!$A:$C,3,0)*-TRUNC(DZ15/VLOOKUP("PCS-30820g",[2]ARBOR!$A:$C,3,0)-1,4)),6))&lt;&gt;(DOLLAR(VLOOKUP("PCS-30820g",[2]ARBOR!$A:$C,3,0),6)),(-TRUNC(DZ15/VLOOKUP("PCS-30820g",[2]ARBOR!$A:$C,3,0)-1,4)+0.0001)-DX15,-TRUNC(DZ15/VLOOKUP("PCS-30820g",[2]ARBOR!$A:$C,3,0)-1,4)-DX15))))</f>
        <v>0.12449999999999994</v>
      </c>
      <c r="EC15" s="163" t="str">
        <f>IF(ISERROR(IF(EB15="","",VLOOKUP(($AY15&amp;EB15&amp;"Template de desconto percentual Bundle - Velox XDSL - Varejo"),[2]BENEFICIOS!$A:$E,5,0))),"Criar",IF(EB15="","",VLOOKUP(($AY15&amp;EB15&amp;"Template de desconto percentual Bundle - Velox XDSL - Varejo"),[2]BENEFICIOS!$A:$E,5,0)))</f>
        <v>MKT-1-9826046173</v>
      </c>
      <c r="ED15" s="172"/>
      <c r="EE15" s="101" t="str">
        <f>IF(ED15=0,"",IF(ED15=VLOOKUP("PCS-21448p2",[2]ARBOR!$A:$C,3,0),0.0001,IF(ED15&gt;VLOOKUP("PCS-21448p2",[2]ARBOR!$A:$C,3,0),"Maior que CAP!",IF((DOLLAR(ED15+(VLOOKUP("PCS-21448p2",[2]ARBOR!$A:$C,3,0)*-TRUNC(ED15/VLOOKUP("PCS-21448p2",[2]ARBOR!$A:$C,3,0)-1,4)),6))&lt;&gt;(DOLLAR(VLOOKUP("PCS-21448p2",[2]ARBOR!$A:$C,3,0),6)),-TRUNC(ED15/VLOOKUP("PCS-21448p2",[2]ARBOR!$A:$C,3,0)-1,4)+0.0001,-TRUNC(ED15/VLOOKUP("PCS-21448p2",[2]ARBOR!$A:$C,3,0)-1,4)))))</f>
        <v/>
      </c>
      <c r="EF15" s="101" t="str">
        <f>IF(ISERROR(IF(EE15="","",VLOOKUP(("Oi Conta Total Plug 10GB Downgrade"&amp;EE15&amp;"Template de desconto percentual BL Móvel - Internet Total - Varejo"),[2]BENEFICIOS!$A:$E,5,0))),"Criar",IF(EE15="","",VLOOKUP(("Oi Conta Total Plug 10GB Downgrade"&amp;EE15&amp;"Template de desconto percentual BL Móvel - Internet Total - Varejo"),[2]BENEFICIOS!$A:$E,5,0)))</f>
        <v/>
      </c>
      <c r="EG15" s="173">
        <v>19.899999999999999</v>
      </c>
      <c r="EH15" s="174">
        <f>IF(EG15=0,"",IF(EG15=VLOOKUP("SVA",[2]ARBOR!$A:$C,3,0),0.0001,IF(EG15&gt;VLOOKUP("SVA",[2]ARBOR!$A:$C,3,0),"Maior que CAP!",IF((DOLLAR(EG15+(VLOOKUP("SVA",[2]ARBOR!$A:$C,3,0)*-TRUNC(EG15/VLOOKUP("SVA",[2]ARBOR!$A:$C,3,0)-1,4)),6))&lt;&gt;(DOLLAR(VLOOKUP("SVA",[2]ARBOR!$A:$C,3,0),6)),-TRUNC(EG15/VLOOKUP("SVA",[2]ARBOR!$A:$C,3,0)-1,4)+0.0001,-TRUNC(EG15/VLOOKUP("SVA",[2]ARBOR!$A:$C,3,0)-1,4)))))</f>
        <v>7.1400000000000005E-2</v>
      </c>
      <c r="EI15" s="174" t="s">
        <v>211</v>
      </c>
      <c r="EJ15" s="175" t="s">
        <v>219</v>
      </c>
      <c r="EK15" s="176">
        <v>6</v>
      </c>
      <c r="EL15" s="177">
        <f t="shared" si="3"/>
        <v>0.92859999999999998</v>
      </c>
      <c r="EM15" s="174" t="s">
        <v>220</v>
      </c>
      <c r="EN15" s="103"/>
      <c r="EO15" s="101" t="str">
        <f>IF(EN15=0,"",IF(EN15=VLOOKUP("PCS-OzTL40",[2]ARBOR!$A:$C,3,0),0.0001,IF(EN15&gt;VLOOKUP("PCS-OzTL40",[2]ARBOR!$A:$C,3,0),"Maior que CAP!",IF((DOLLAR(EN15+(VLOOKUP("PCS-OzTL40",[2]ARBOR!$A:$C,3,0)*-TRUNC(EN15/VLOOKUP("PCS-OzTL40",[2]ARBOR!$A:$C,3,0)-1,4)),6))&lt;&gt;(DOLLAR(VLOOKUP("PCS-OzTL40",[2]ARBOR!$A:$C,3,0),6)),-TRUNC(EN15/VLOOKUP("PCS-OzTL40",[2]ARBOR!$A:$C,3,0)-1,4)+0.0001,-TRUNC(EN15/VLOOKUP("PCS-OzTL40",[2]ARBOR!$A:$C,3,0)-1,4)))))</f>
        <v/>
      </c>
      <c r="EP15" s="163" t="str">
        <f>IF(ISERROR(IF(EO15="","",VLOOKUP(($AY15&amp;EO15&amp;"Template desconto FLAT Plano Principal Oi TV nível conta"),[2]BENEFICIOS!$A:$G,5,0))),"Criar",IF(EO15="","",VLOOKUP(($AY15&amp;EO15&amp;"Template desconto FLAT Plano Principal Oi TV nível conta"),[2]BENEFICIOS!$A:$G,5,0)))</f>
        <v/>
      </c>
      <c r="EQ15" s="103">
        <v>99.9</v>
      </c>
      <c r="ER15" s="101">
        <f>IF(EQ15=0,"",IF(EQ15=VLOOKUP("PCS-OzTL41",[2]ARBOR!$A:$C,3,0),0.0001,IF(EQ15&gt;VLOOKUP("PCS-OzTL41",[2]ARBOR!$A:$C,3,0),"Maior que CAP!",IF((DOLLAR(EQ15+(VLOOKUP("PCS-OzTL41",[2]ARBOR!$A:$C,3,0)*-TRUNC(EQ15/VLOOKUP("PCS-OzTL41",[2]ARBOR!$A:$C,3,0)-1,4)),6))&lt;&gt;(DOLLAR(VLOOKUP("PCS-OzTL41",[2]ARBOR!$A:$C,3,0),6)),-TRUNC(EQ15/VLOOKUP("PCS-OzTL41",[2]ARBOR!$A:$C,3,0)-1,4)+0.0001,-TRUNC(EQ15/VLOOKUP("PCS-OzTL41",[2]ARBOR!$A:$C,3,0)-1,4)))))</f>
        <v>0.17459999999999998</v>
      </c>
      <c r="ES15" s="178" t="str">
        <f>IF(ISERROR(IF(ER15="","",VLOOKUP(($AY15&amp;ER15&amp;"Template desconto FLAT Plano Principal Oi TV nível conta"),[2]BENEFICIOS!$A:$G,5,0))),"Criar",IF(ER15="","",VLOOKUP(($AY15&amp;ER15&amp;"Template desconto FLAT Plano Principal Oi TV nível conta"),[2]BENEFICIOS!$A:$G,5,0)))</f>
        <v>MKT-1-9827346410</v>
      </c>
      <c r="ET15" s="103"/>
      <c r="EU15" s="101" t="str">
        <f>IF(ET15=0,"",IF(ET15=VLOOKUP("PCS-OzTL44",[2]ARBOR!$A:$C,3,0),0.0001,IF(ET15&gt;VLOOKUP("PCS-OzTL44",[2]ARBOR!$A:$C,3,0),"Maior que CAP!",IF((DOLLAR(ET15+(VLOOKUP("PCS-OzTL44",[2]ARBOR!$A:$C,3,0)*-TRUNC(ET15/VLOOKUP("PCS-OzTL44",[2]ARBOR!$A:$C,3,0)-1,4)),6))&lt;&gt;(DOLLAR(VLOOKUP("PCS-OzTL44",[2]ARBOR!$A:$C,3,0),6)),-TRUNC(ET15/VLOOKUP("PCS-OzTL44",[2]ARBOR!$A:$C,3,0)-1,4)+0.0001,-TRUNC(ET15/VLOOKUP("PCS-OzTL44",[2]ARBOR!$A:$C,3,0)-1,4)))))</f>
        <v/>
      </c>
      <c r="EV15" s="178" t="str">
        <f>IF(ISERROR(IF(EU15="","",VLOOKUP(($AY15&amp;EU15&amp;"Template desconto FLAT Plano Principal Oi TV nível conta"),[2]BENEFICIOS!$A:$G,5,0))),"Criar",IF(EU15="","",VLOOKUP(($AY15&amp;EU15&amp;"Template desconto FLAT Plano Principal Oi TV nível conta"),[2]BENEFICIOS!$A:$G,5,0)))</f>
        <v/>
      </c>
      <c r="EW15" s="103"/>
      <c r="EX15" s="101" t="str">
        <f>IF(EW15=0,"",IF(EW15=VLOOKUP("PCS-OzTL43",[2]ARBOR!$A:$C,3,0),0.0001,IF(EW15&gt;VLOOKUP("PCS-OzTL43",[2]ARBOR!$A:$C,3,0),"Maior que CAP!",IF((DOLLAR(EW15+(VLOOKUP("PCS-OzTL43",[2]ARBOR!$A:$C,3,0)*-TRUNC(EW15/VLOOKUP("PCS-OzTL43",[2]ARBOR!$A:$C,3,0)-1,4)),6))&lt;&gt;(DOLLAR(VLOOKUP("PCS-OzTL43",[2]ARBOR!$A:$C,3,0),6)),-TRUNC(EW15/VLOOKUP("PCS-OzTL43",[2]ARBOR!$A:$C,3,0)-1,4)+0.0001,-TRUNC(EW15/VLOOKUP("PCS-OzTL43",[2]ARBOR!$A:$C,3,0)-1,4)))))</f>
        <v/>
      </c>
      <c r="EY15" s="178" t="str">
        <f>IF(ISERROR(IF(EX15="","",VLOOKUP(($AY15&amp;EX15&amp;"Template desconto FLAT Plano Principal Oi TV nível conta"),[2]BENEFICIOS!$A:$G,5,0))),"Criar",IF(EX15="","",VLOOKUP(($AY15&amp;EX15&amp;"Template desconto FLAT Plano Principal Oi TV nível conta"),[2]BENEFICIOS!$A:$G,5,0)))</f>
        <v/>
      </c>
      <c r="EZ15" s="103"/>
      <c r="FA15" s="101" t="str">
        <f>IF(EZ15=0,"",IF(EZ15=VLOOKUP("PCS-OzTL45",[2]ARBOR!$A:$C,3,0),0.0001,IF(EZ15&gt;VLOOKUP("PCS-OzTL45",[2]ARBOR!$A:$C,3,0),"Maior que CAP!",IF((DOLLAR(EZ15+(VLOOKUP("PCS-OzTL45",[2]ARBOR!$A:$C,3,0)*-TRUNC(EZ15/VLOOKUP("PCS-OzTL45",[2]ARBOR!$A:$C,3,0)-1,4)),6))&lt;&gt;(DOLLAR(VLOOKUP("PCS-OzTL45",[2]ARBOR!$A:$C,3,0),6)),-TRUNC(EZ15/VLOOKUP("PCS-OzTL45",[2]ARBOR!$A:$C,3,0)-1,4)+0.0001,-TRUNC(EZ15/VLOOKUP("PCS-OzTL45",[2]ARBOR!$A:$C,3,0)-1,4)))))</f>
        <v/>
      </c>
      <c r="FB15" s="178" t="str">
        <f>IF(ISERROR(IF(FA15="","",VLOOKUP(($AY15&amp;FA15&amp;"Template desconto FLAT Plano Principal Oi TV nível conta"),[2]BENEFICIOS!$A:$G,5,0))),"Criar",IF(FA15="","",VLOOKUP(($AY15&amp;FA15&amp;"Template desconto FLAT Plano Principal Oi TV nível conta"),[2]BENEFICIOS!$A:$G,5,0)))</f>
        <v/>
      </c>
      <c r="FC15" s="103"/>
      <c r="FD15" s="101" t="str">
        <f>IF(FC15=0,"",IF(FC15=VLOOKUP("PCS-OzTL741",[2]ARBOR!$A:$C,3,0),0.0001,IF(FC15&gt;VLOOKUP("PCS-OzTL741",[2]ARBOR!$A:$C,3,0),"Maior que CAP!",IF((DOLLAR(FC15+(VLOOKUP("PCS-OzTL741",[2]ARBOR!$A:$C,3,0)*-TRUNC(FC15/VLOOKUP("PCS-OzTL741",[2]ARBOR!$A:$C,3,0)-1,4)),6))&lt;&gt;(DOLLAR(VLOOKUP("PCS-OzTL741",[2]ARBOR!$A:$C,3,0),6)),-TRUNC(FC15/VLOOKUP("PCS-OzTL741",[2]ARBOR!$A:$C,3,0)-1,4)+0.0001,-TRUNC(FC15/VLOOKUP("PCS-OzTL741",[2]ARBOR!$A:$C,3,0)-1,4)))))</f>
        <v/>
      </c>
      <c r="FE15" s="178" t="str">
        <f>IF(ISERROR(IF(FD15="","",VLOOKUP(($AY15&amp;FD15&amp;"Template desconto FLAT Plano Principal Oi TV nível conta"),[2]BENEFICIOS!$A:$G,5,0))),"Criar",IF(FD15="","",VLOOKUP(($AY15&amp;FD15&amp;"Template desconto FLAT Plano Principal Oi TV nível conta"),[2]BENEFICIOS!$A:$G,5,0)))</f>
        <v/>
      </c>
      <c r="FF15" s="103"/>
      <c r="FG15" s="101" t="str">
        <f>IF(FF15=0,"",IF(FF15=VLOOKUP("PCS-OzTL744",[2]ARBOR!$A:$C,3,0),0.0001,IF(FF15&gt;VLOOKUP("PCS-OzTL744",[2]ARBOR!$A:$C,3,0),"Maior que CAP!",IF((DOLLAR(FF15+(VLOOKUP("PCS-OzTL744",[2]ARBOR!$A:$C,3,0)*-TRUNC(FF15/VLOOKUP("PCS-OzTL744",[2]ARBOR!$A:$C,3,0)-1,4)),6))&lt;&gt;(DOLLAR(VLOOKUP("PCS-OzTL744",[2]ARBOR!$A:$C,3,0),6)),-TRUNC(FF15/VLOOKUP("PCS-OzTL744",[2]ARBOR!$A:$C,3,0)-1,4)+0.0001,-TRUNC(FF15/VLOOKUP("PCS-OzTL744",[2]ARBOR!$A:$C,3,0)-1,4)))))</f>
        <v/>
      </c>
      <c r="FH15" s="178" t="str">
        <f>IF(ISERROR(IF(FG15="","",VLOOKUP(($AY15&amp;FG15&amp;"Template desconto FLAT Plano Principal Oi TV nível conta"),[2]BENEFICIOS!$A:$G,5,0))),"Criar",IF(FG15="","",VLOOKUP(($AY15&amp;FG15&amp;"Template desconto FLAT Plano Principal Oi TV nível conta"),[2]BENEFICIOS!$A:$G,5,0)))</f>
        <v/>
      </c>
      <c r="FI15" s="103"/>
      <c r="FJ15" s="101" t="str">
        <f>IF(FI15=0,"",IF(FI15=VLOOKUP("PCS-OzTL743",[2]ARBOR!$A:$C,3,0),0.0001,IF(FI15&gt;VLOOKUP("PCS-OzTL743",[2]ARBOR!$A:$C,3,0),"Maior que CAP!",IF((DOLLAR(FI15+(VLOOKUP("PCS-OzTL743",[2]ARBOR!$A:$C,3,0)*-TRUNC(FI15/VLOOKUP("PCS-OzTL743",[2]ARBOR!$A:$C,3,0)-1,4)),6))&lt;&gt;(DOLLAR(VLOOKUP("PCS-OzTL743",[2]ARBOR!$A:$C,3,0),6)),-TRUNC(FI15/VLOOKUP("PCS-OzTL743",[2]ARBOR!$A:$C,3,0)-1,4)+0.0001,-TRUNC(FI15/VLOOKUP("PCS-OzTL743",[2]ARBOR!$A:$C,3,0)-1,4)))))</f>
        <v/>
      </c>
      <c r="FK15" s="178" t="str">
        <f>IF(ISERROR(IF(FJ15="","",VLOOKUP(($AY15&amp;FJ15&amp;"Template desconto FLAT Plano Principal Oi TV nível conta"),[2]BENEFICIOS!$A:$G,5,0))),"Criar",IF(FJ15="","",VLOOKUP(($AY15&amp;FJ15&amp;"Template desconto FLAT Plano Principal Oi TV nível conta"),[2]BENEFICIOS!$A:$G,5,0)))</f>
        <v/>
      </c>
      <c r="FL15" s="103"/>
      <c r="FM15" s="101" t="str">
        <f>IF(FL15=0,"",IF(FL15=VLOOKUP("PCS-OzTL745",[2]ARBOR!$A:$C,3,0),0.0001,IF(FL15&gt;VLOOKUP("PCS-OzTL745",[2]ARBOR!$A:$C,3,0),"Maior que CAP!",IF((DOLLAR(FL15+(VLOOKUP("PCS-OzTL745",[2]ARBOR!$A:$C,3,0)*-TRUNC(FL15/VLOOKUP("PCS-OzTL745",[2]ARBOR!$A:$C,3,0)-1,4)),6))&lt;&gt;(DOLLAR(VLOOKUP("PCS-OzTL745",[2]ARBOR!$A:$C,3,0),6)),-TRUNC(FL15/VLOOKUP("PCS-OzTL745",[2]ARBOR!$A:$C,3,0)-1,4)+0.0001,-TRUNC(FL15/VLOOKUP("PCS-OzTL745",[2]ARBOR!$A:$C,3,0)-1,4)))))</f>
        <v/>
      </c>
      <c r="FN15" s="178" t="str">
        <f>IF(ISERROR(IF(FM15="","",VLOOKUP(($AY15&amp;FM15&amp;"Template desconto FLAT Plano Principal Oi TV nível conta"),[2]BENEFICIOS!$A:$G,5,0))),"Criar",IF(FM15="","",VLOOKUP(($AY15&amp;FM15&amp;"Template desconto FLAT Plano Principal Oi TV nível conta"),[2]BENEFICIOS!$A:$G,5,0)))</f>
        <v/>
      </c>
      <c r="FO15" s="103"/>
      <c r="FP15" s="101" t="str">
        <f>IF(FO15=0,"",IF(FO15=VLOOKUP("PCS-OzTL42",[2]ARBOR!$A:$C,3,0),0.0001,IF(FO15&gt;VLOOKUP("PCS-OzTL42",[2]ARBOR!$A:$C,3,0),"Maior que CAP!",IF((DOLLAR(FO15+(VLOOKUP("PCS-OzTL42",[2]ARBOR!$A:$C,3,0)*-TRUNC(FO15/VLOOKUP("PCS-OzTL42",[2]ARBOR!$A:$C,3,0)-1,4)),6))&lt;&gt;(DOLLAR(VLOOKUP("PCS-OzTL42",[2]ARBOR!$A:$C,3,0),6)),-TRUNC(FO15/VLOOKUP("PCS-OzTL42",[2]ARBOR!$A:$C,3,0)-1,4)+0.0001,-TRUNC(FO15/VLOOKUP("PCS-OzTL42",[2]ARBOR!$A:$C,3,0)-1,4)))))</f>
        <v/>
      </c>
      <c r="FQ15" s="178" t="str">
        <f>IF(ISERROR(IF(FP15="","",VLOOKUP(($AY15&amp;FP15&amp;"Template desconto FLAT Plano Principal Oi TV nível conta"),[2]BENEFICIOS!$A:$G,5,0))),"Criar",IF(FP15="","",VLOOKUP(($AY15&amp;FP15&amp;"Template desconto FLAT Plano Principal Oi TV nível conta"),[2]BENEFICIOS!$A:$G,5,0)))</f>
        <v/>
      </c>
      <c r="FR15" s="103"/>
      <c r="FS15" s="101" t="str">
        <f>IF(FR15=0,"",IF(FR15=VLOOKUP("PCS-OzTL47",[2]ARBOR!$A:$C,3,0),0.0001,IF(FR15&gt;VLOOKUP("PCS-OzTL47",[2]ARBOR!$A:$C,3,0),"Maior que CAP!",IF((DOLLAR(FR15+(VLOOKUP("PCS-OzTL47",[2]ARBOR!$A:$C,3,0)*-TRUNC(FR15/VLOOKUP("PCS-OzTL47",[2]ARBOR!$A:$C,3,0)-1,4)),6))&lt;&gt;(DOLLAR(VLOOKUP("PCS-OzTL47",[2]ARBOR!$A:$C,3,0),6)),-TRUNC(FR15/VLOOKUP("PCS-OzTL47",[2]ARBOR!$A:$C,3,0)-1,4)+0.0001,-TRUNC(FR15/VLOOKUP("PCS-OzTL47",[2]ARBOR!$A:$C,3,0)-1,4)))))</f>
        <v/>
      </c>
      <c r="FT15" s="178" t="str">
        <f>IF(ISERROR(IF(FS15="","",VLOOKUP(($AY15&amp;FS15&amp;"Template desconto FLAT Plano Principal Oi TV nível conta"),[2]BENEFICIOS!$A:$G,5,0))),"Criar",IF(FS15="","",VLOOKUP(($AY15&amp;FS15&amp;"Template desconto FLAT Plano Principal Oi TV nível conta"),[2]BENEFICIOS!$A:$G,5,0)))</f>
        <v/>
      </c>
      <c r="FU15" s="103"/>
      <c r="FV15" s="101" t="str">
        <f>IF(FU15=0,"",IF(FU15=VLOOKUP("PCS-OzTL46",[2]ARBOR!$A:$C,3,0),0.0001,IF(FU15&gt;VLOOKUP("PCS-OzTL46",[2]ARBOR!$A:$C,3,0),"Maior que CAP!",IF((DOLLAR(FU15+(VLOOKUP("PCS-OzTL46",[2]ARBOR!$A:$C,3,0)*-TRUNC(FU15/VLOOKUP("PCS-OzTL46",[2]ARBOR!$A:$C,3,0)-1,4)),6))&lt;&gt;(DOLLAR(VLOOKUP("PCS-OzTL46",[2]ARBOR!$A:$C,3,0),6)),-TRUNC(FU15/VLOOKUP("PCS-OzTL46",[2]ARBOR!$A:$C,3,0)-1,4)+0.0001,-TRUNC(FU15/VLOOKUP("PCS-OzTL46",[2]ARBOR!$A:$C,3,0)-1,4)))))</f>
        <v/>
      </c>
      <c r="FW15" s="178" t="str">
        <f>IF(ISERROR(IF(FV15="","",VLOOKUP(($AY15&amp;FV15&amp;"Template desconto FLAT Plano Principal Oi TV nível conta"),[2]BENEFICIOS!$A:$G,5,0))),"Criar",IF(FV15="","",VLOOKUP(($AY15&amp;FV15&amp;"Template desconto FLAT Plano Principal Oi TV nível conta"),[2]BENEFICIOS!$A:$G,5,0)))</f>
        <v/>
      </c>
      <c r="FX15" s="103"/>
      <c r="FY15" s="101" t="str">
        <f>IF(FX15=0,"",IF(FX15=VLOOKUP("PCS-OzTL48",[2]ARBOR!$A:$C,3,0),0.0001,IF(FX15&gt;VLOOKUP("PCS-OzTL48",[2]ARBOR!$A:$C,3,0),"Maior que CAP!",IF((DOLLAR(FX15+(VLOOKUP("PCS-OzTL48",[2]ARBOR!$A:$C,3,0)*-TRUNC(FX15/VLOOKUP("PCS-OzTL48",[2]ARBOR!$A:$C,3,0)-1,4)),6))&lt;&gt;(DOLLAR(VLOOKUP("PCS-OzTL48",[2]ARBOR!$A:$C,3,0),6)),-TRUNC(FX15/VLOOKUP("PCS-OzTL48",[2]ARBOR!$A:$C,3,0)-1,4)+0.0001,-TRUNC(FX15/VLOOKUP("PCS-OzTL48",[2]ARBOR!$A:$C,3,0)-1,4)))))</f>
        <v/>
      </c>
      <c r="FZ15" s="178" t="str">
        <f>IF(ISERROR(IF(FY15="","",VLOOKUP(($AY15&amp;FY15&amp;"Template desconto FLAT Plano Principal Oi TV nível conta"),[2]BENEFICIOS!$A:$G,5,0))),"Criar",IF(FY15="","",VLOOKUP(($AY15&amp;FY15&amp;"Template desconto FLAT Plano Principal Oi TV nível conta"),[2]BENEFICIOS!$A:$G,5,0)))</f>
        <v/>
      </c>
      <c r="GA15" s="103"/>
      <c r="GB15" s="101" t="str">
        <f>IF(GA15=0,"",IF(GA15=VLOOKUP("PCS-OzTL742",[2]ARBOR!$A:$C,3,0),0.0001,IF(GA15&gt;VLOOKUP("PCS-OzTL742",[2]ARBOR!$A:$C,3,0),"Maior que CAP!",IF((DOLLAR(GA15+(VLOOKUP("PCS-OzTL742",[2]ARBOR!$A:$C,3,0)*-TRUNC(GA15/VLOOKUP("PCS-OzTL742",[2]ARBOR!$A:$C,3,0)-1,4)),6))&lt;&gt;(DOLLAR(VLOOKUP("PCS-OzTL742",[2]ARBOR!$A:$C,3,0),6)),-TRUNC(GA15/VLOOKUP("PCS-OzTL742",[2]ARBOR!$A:$C,3,0)-1,4)+0.0001,-TRUNC(GA15/VLOOKUP("PCS-OzTL742",[2]ARBOR!$A:$C,3,0)-1,4)))))</f>
        <v/>
      </c>
      <c r="GC15" s="178" t="str">
        <f>IF(ISERROR(IF(GB15="","",VLOOKUP(($AY15&amp;GB15&amp;"Template desconto FLAT Plano Principal Oi TV nível conta"),[2]BENEFICIOS!$A:$G,5,0))),"Criar",IF(GB15="","",VLOOKUP(($AY15&amp;GB15&amp;"Template desconto FLAT Plano Principal Oi TV nível conta"),[2]BENEFICIOS!$A:$G,5,0)))</f>
        <v/>
      </c>
      <c r="GD15" s="103"/>
      <c r="GE15" s="101" t="str">
        <f>IF(GD15=0,"",IF(GD15=VLOOKUP("PCS-OzTL747",[2]ARBOR!$A:$C,3,0),0.0001,IF(GD15&gt;VLOOKUP("PCS-OzTL747",[2]ARBOR!$A:$C,3,0),"Maior que CAP!",IF((DOLLAR(GD15+(VLOOKUP("PCS-OzTL747",[2]ARBOR!$A:$C,3,0)*-TRUNC(GD15/VLOOKUP("PCS-OzTL747",[2]ARBOR!$A:$C,3,0)-1,4)),6))&lt;&gt;(DOLLAR(VLOOKUP("PCS-OzTL747",[2]ARBOR!$A:$C,3,0),6)),-TRUNC(GD15/VLOOKUP("PCS-OzTL747",[2]ARBOR!$A:$C,3,0)-1,4)+0.0001,-TRUNC(GD15/VLOOKUP("PCS-OzTL747",[2]ARBOR!$A:$C,3,0)-1,4)))))</f>
        <v/>
      </c>
      <c r="GF15" s="178" t="str">
        <f>IF(ISERROR(IF(GE15="","",VLOOKUP(($AY15&amp;GE15&amp;"Template desconto FLAT Plano Principal Oi TV nível conta"),[2]BENEFICIOS!$A:$G,5,0))),"Criar",IF(GE15="","",VLOOKUP(($AY15&amp;GE15&amp;"Template desconto FLAT Plano Principal Oi TV nível conta"),[2]BENEFICIOS!$A:$G,5,0)))</f>
        <v/>
      </c>
      <c r="GG15" s="103"/>
      <c r="GH15" s="101" t="str">
        <f>IF(GG15=0,"",IF(GG15=VLOOKUP("PCS-OzTL746",[2]ARBOR!$A:$C,3,0),0.0001,IF(GG15&gt;VLOOKUP("PCS-OzTL746",[2]ARBOR!$A:$C,3,0),"Maior que CAP!",IF((DOLLAR(GG15+(VLOOKUP("PCS-OzTL746",[2]ARBOR!$A:$C,3,0)*-TRUNC(GG15/VLOOKUP("PCS-OzTL746",[2]ARBOR!$A:$C,3,0)-1,4)),6))&lt;&gt;(DOLLAR(VLOOKUP("PCS-OzTL746",[2]ARBOR!$A:$C,3,0),6)),-TRUNC(GG15/VLOOKUP("PCS-OzTL746",[2]ARBOR!$A:$C,3,0)-1,4)+0.0001,-TRUNC(GG15/VLOOKUP("PCS-OzTL746",[2]ARBOR!$A:$C,3,0)-1,4)))))</f>
        <v/>
      </c>
      <c r="GI15" s="178" t="str">
        <f>IF(ISERROR(IF(GH15="","",VLOOKUP(($AY15&amp;GH15&amp;"Template desconto FLAT Plano Principal Oi TV nível conta"),[2]BENEFICIOS!$A:$G,5,0))),"Criar",IF(GH15="","",VLOOKUP(($AY15&amp;GH15&amp;"Template desconto FLAT Plano Principal Oi TV nível conta"),[2]BENEFICIOS!$A:$G,5,0)))</f>
        <v/>
      </c>
      <c r="GJ15" s="103"/>
      <c r="GK15" s="101" t="str">
        <f>IF(GJ15=0,"",IF(GJ15=VLOOKUP("PCS-OzTL748",[2]ARBOR!$A:$C,3,0),0.0001,IF(GJ15&gt;VLOOKUP("PCS-OzTL748",[2]ARBOR!$A:$C,3,0),"Maior que CAP!",IF((DOLLAR(GJ15+(VLOOKUP("PCS-OzTL748",[2]ARBOR!$A:$C,3,0)*-TRUNC(GJ15/VLOOKUP("PCS-OzTL748",[2]ARBOR!$A:$C,3,0)-1,4)),6))&lt;&gt;(DOLLAR(VLOOKUP("PCS-OzTL748",[2]ARBOR!$A:$C,3,0),6)),-TRUNC(GJ15/VLOOKUP("PCS-OzTL748",[2]ARBOR!$A:$C,3,0)-1,4)+0.0001,-TRUNC(GJ15/VLOOKUP("PCS-OzTL748",[2]ARBOR!$A:$C,3,0)-1,4)))))</f>
        <v/>
      </c>
      <c r="GL15" s="178" t="str">
        <f>IF(ISERROR(IF(GK15="","",VLOOKUP(($AY15&amp;GK15&amp;"Template desconto FLAT Plano Principal Oi TV nível conta"),[2]BENEFICIOS!$A:$G,5,0))),"Criar",IF(GK15="","",VLOOKUP(($AY15&amp;GK15&amp;"Template desconto FLAT Plano Principal Oi TV nível conta"),[2]BENEFICIOS!$A:$G,5,0)))</f>
        <v/>
      </c>
      <c r="GM15" s="103">
        <v>75</v>
      </c>
      <c r="GN15" s="101">
        <f>IF(GM15=0,"",IF(GM15=VLOOKUP("PCS-OzTL34",[2]ARBOR!$A:$C,3,0),0.0001,IF(GM15&gt;VLOOKUP("PCS-OzTL34",[2]ARBOR!$A:$C,3,0),"Maior que CAP!",IF((DOLLAR(GM15+(VLOOKUP("PCS-OzTL34",[2]ARBOR!$A:$C,3,0)*-TRUNC(GM15/VLOOKUP("PCS-OzTL34",[2]ARBOR!$A:$C,3,0)-1,4)),6))&lt;&gt;(DOLLAR(VLOOKUP("PCS-OzTL34",[2]ARBOR!$A:$C,3,0),6)),-TRUNC(GM15/VLOOKUP("PCS-OzTL34",[2]ARBOR!$A:$C,3,0)-1,4)+0.0001,-TRUNC(GM15/VLOOKUP("PCS-OzTL34",[2]ARBOR!$A:$C,3,0)-1,4)))))</f>
        <v>0.31900000000000001</v>
      </c>
      <c r="GO15" s="178" t="s">
        <v>178</v>
      </c>
      <c r="GP15" s="103">
        <v>19.899999999999999</v>
      </c>
      <c r="GQ15" s="101">
        <f>IF(GP15=0,"",IF(GP15=VLOOKUP("PCS-OzTL31",[2]ARBOR!$A:$C,3,0),0.0001,IF(GP15&gt;VLOOKUP("PCS-OzTL31",[2]ARBOR!$A:$C,3,0),"Maior que CAP!",IF((DOLLAR(GP15+(VLOOKUP("PCS-OzTL31",[2]ARBOR!$A:$C,3,0)*-TRUNC(GP15/VLOOKUP("PCS-OzTL31",[2]ARBOR!$A:$C,3,0)-1,4)),6))&lt;&gt;(DOLLAR(VLOOKUP("PCS-OzTL31",[2]ARBOR!$A:$C,3,0),6)),-TRUNC(GP15/VLOOKUP("PCS-OzTL31",[2]ARBOR!$A:$C,3,0)-1,4)+0.0001,-TRUNC(GP15/VLOOKUP("PCS-OzTL31",[2]ARBOR!$A:$C,3,0)-1,4)))))</f>
        <v>9.1800000000000007E-2</v>
      </c>
      <c r="GR15" s="178" t="s">
        <v>179</v>
      </c>
      <c r="GS15" s="103">
        <v>19.899999999999999</v>
      </c>
      <c r="GT15" s="101">
        <f>IF(GS15=0,"",IF(GS15=VLOOKUP("PCS-OzTL32",[2]ARBOR!$A:$C,3,0),0.0001,IF(GS15&gt;VLOOKUP("PCS-OzTL32",[2]ARBOR!$A:$C,3,0),"Maior que CAP!",IF((DOLLAR(GS15+(VLOOKUP("PCS-OzTL32",[2]ARBOR!$A:$C,3,0)*-TRUNC(GS15/VLOOKUP("PCS-OzTL32",[2]ARBOR!$A:$C,3,0)-1,4)),6))&lt;&gt;(DOLLAR(VLOOKUP("PCS-OzTL32",[2]ARBOR!$A:$C,3,0),6)),-TRUNC(GS15/VLOOKUP("PCS-OzTL32",[2]ARBOR!$A:$C,3,0)-1,4)+0.0001,-TRUNC(GS15/VLOOKUP("PCS-OzTL32",[2]ARBOR!$A:$C,3,0)-1,4)))))</f>
        <v>9.1800000000000007E-2</v>
      </c>
      <c r="GU15" s="178" t="s">
        <v>180</v>
      </c>
      <c r="GV15" s="103">
        <v>29.9</v>
      </c>
      <c r="GW15" s="101">
        <f>IF(GV15=0,"",IF(GV15=VLOOKUP("PCS-OzTL33",[2]ARBOR!$A:$C,3,0),0.0001,IF(GV15&gt;VLOOKUP("PCS-OzTL33",[2]ARBOR!$A:$C,3,0),"Maior que CAP!",IF((DOLLAR(GV15+(VLOOKUP("PCS-OzTL33",[2]ARBOR!$A:$C,3,0)*-TRUNC(GV15/VLOOKUP("PCS-OzTL33",[2]ARBOR!$A:$C,3,0)-1,4)),6))&lt;&gt;(DOLLAR(VLOOKUP("PCS-OzTL33",[2]ARBOR!$A:$C,3,0),6)),-TRUNC(GV15/VLOOKUP("PCS-OzTL33",[2]ARBOR!$A:$C,3,0)-1,4)+0.0001,-TRUNC(GV15/VLOOKUP("PCS-OzTL33",[2]ARBOR!$A:$C,3,0)-1,4)))))</f>
        <v>9.1800000000000007E-2</v>
      </c>
      <c r="GX15" s="178" t="s">
        <v>181</v>
      </c>
      <c r="GY15" s="103">
        <v>14.9</v>
      </c>
      <c r="GZ15" s="101">
        <f>IF(GY15=0,"",IF(GY15=VLOOKUP("PCS-OzTL503",[2]ARBOR!$A:$C,3,0),0.0001,IF(GY15&gt;VLOOKUP("PCS-OzTL503",[2]ARBOR!$A:$C,3,0),"Maior que CAP!",IF((DOLLAR(GY15+(VLOOKUP("PCS-OzTL503",[2]ARBOR!$A:$C,3,0)*-TRUNC(GY15/VLOOKUP("PCS-OzTL503",[2]ARBOR!$A:$C,3,0)-1,4)),6))&lt;&gt;(DOLLAR(VLOOKUP("PCS-OzTL503",[2]ARBOR!$A:$C,3,0),6)),-TRUNC(GY15/VLOOKUP("PCS-OzTL503",[2]ARBOR!$A:$C,3,0)-1,4)+0.0001,-TRUNC(GY15/VLOOKUP("PCS-OzTL503",[2]ARBOR!$A:$C,3,0)-1,4)))))</f>
        <v>9.1499999999999998E-2</v>
      </c>
      <c r="HA15" s="178" t="s">
        <v>182</v>
      </c>
      <c r="HB15" s="103">
        <v>10</v>
      </c>
      <c r="HC15" s="101">
        <f>IF(HB15=0,"",IF(HB15=VLOOKUP("PCS-OzTL500",[2]ARBOR!$A:$C,3,0),0.0001,IF(HB15&gt;VLOOKUP("PCS-OzTL500",[2]ARBOR!$A:$C,3,0),"Maior que CAP!",IF((DOLLAR(HB15+(VLOOKUP("PCS-OzTL500",[2]ARBOR!$A:$C,3,0)*-TRUNC(HB15/VLOOKUP("PCS-OzTL500",[2]ARBOR!$A:$C,3,0)-1,4)),6))&lt;&gt;(DOLLAR(VLOOKUP("PCS-OzTL500",[2]ARBOR!$A:$C,3,0),6)),-TRUNC(HB15/VLOOKUP("PCS-OzTL500",[2]ARBOR!$A:$C,3,0)-1,4)+0.0001,-TRUNC(HB15/VLOOKUP("PCS-OzTL500",[2]ARBOR!$A:$C,3,0)-1,4)))))</f>
        <v>9.1800000000000007E-2</v>
      </c>
      <c r="HD15" s="178" t="s">
        <v>183</v>
      </c>
      <c r="HE15" s="103" t="s">
        <v>184</v>
      </c>
      <c r="HF15" s="101"/>
      <c r="HG15" s="178"/>
      <c r="HH15" s="103" t="s">
        <v>185</v>
      </c>
      <c r="HI15" s="101"/>
      <c r="HJ15" s="178"/>
      <c r="HK15" s="103" t="s">
        <v>186</v>
      </c>
      <c r="HL15" s="101"/>
      <c r="HM15" s="178"/>
      <c r="HN15" s="103" t="s">
        <v>187</v>
      </c>
      <c r="HO15" s="101"/>
      <c r="HP15" s="178"/>
      <c r="HQ15" s="103" t="s">
        <v>188</v>
      </c>
      <c r="HR15" s="101"/>
      <c r="HS15" s="178"/>
      <c r="HT15" s="103">
        <v>24.9</v>
      </c>
      <c r="HU15" s="101">
        <f>IF(HT15=0,"",IF(HT15=VLOOKUP("PCS-OzTL99",[2]ARBOR!$A:$C,3,0),0.0001,IF(HT15&gt;VLOOKUP("PCS-OzTL99",[2]ARBOR!$A:$C,3,0),"Maior que CAP!",IF((DOLLAR(HT15+(VLOOKUP("PCS-OzTL99",[2]ARBOR!$A:$C,3,0)*-TRUNC(HT15/VLOOKUP("PCS-OzTL99",[2]ARBOR!$A:$C,3,0)-1,4)),6))&lt;&gt;(DOLLAR(VLOOKUP("PCS-OzTL99",[2]ARBOR!$A:$C,3,0),6)),-TRUNC(HT15/VLOOKUP("PCS-OzTL99",[2]ARBOR!$A:$C,3,0)-1,4)+0.0001,-TRUNC(HT15/VLOOKUP("PCS-OzTL99",[2]ARBOR!$A:$C,3,0)-1,4)))))</f>
        <v>0.16729999999999998</v>
      </c>
      <c r="HV15" s="179" t="s">
        <v>189</v>
      </c>
      <c r="HW15" s="170" t="s">
        <v>167</v>
      </c>
      <c r="HX15" s="178" t="str">
        <f t="shared" si="4"/>
        <v>PCS-34704</v>
      </c>
      <c r="HY15" s="180" t="str">
        <f>IFERROR((IF(AZ15="","",VLOOKUP(AZ15,[2]ARBOR!A:C,3,0))),"")</f>
        <v/>
      </c>
      <c r="HZ15" s="181"/>
      <c r="IA15" s="158" t="str">
        <f>IF(HZ15="","",ROUND(1-(HZ15/VLOOKUP(AZ15&amp;"ASS",[2]ARBOR!A:C,3,0)),4))</f>
        <v/>
      </c>
      <c r="IB15" s="158"/>
      <c r="IC15" s="182"/>
      <c r="ID15" s="183"/>
      <c r="IE15" s="101" t="str">
        <f>IF(ID15="","",ROUND(IF(ID15=0,"",IF(ID15=HY15,0.0001,1-((ID15+(VLOOKUP(AZ15&amp;"ASS",[2]ARBOR!A:C,3,0)-HZ15))/HY15))),4))</f>
        <v/>
      </c>
      <c r="IF15" s="101" t="str">
        <f>IF(ISERROR(IF(IE15="","",VLOOKUP(($AY15&amp;IE15&amp;"Template de desconto percentual FLAT Móvel - Conta Total - Varejo - Ganho Tributário Cross"),[2]BENEFICIOS!$A:$E,5,0))),"Criar",IF(IE15="","",VLOOKUP(($AY15&amp;IE15&amp;"Template de desconto percentual FLAT Móvel - Conta Total - Varejo - Ganho Tributário Cross"),[2]BENEFICIOS!$A:$E,5,0)))</f>
        <v/>
      </c>
      <c r="IG15" s="167"/>
      <c r="IH15" s="101"/>
      <c r="II15" s="184"/>
      <c r="IJ15" s="185"/>
      <c r="IK15" s="101"/>
      <c r="IL15" s="101"/>
      <c r="IM15" s="186"/>
      <c r="IN15" s="186"/>
      <c r="IO15" s="187"/>
      <c r="IP15" s="188" t="str">
        <f>IF(IO15=0,"",IF(IO15=VLOOKUP("PCS-813566",[2]ARBOR!$A:$C,3,0),0.0001,IF(IO15&gt;VLOOKUP("PCS-813566",[2]ARBOR!$A:$C,3,0),"Maior que CAP!",ROUND(-1*(IO15/VLOOKUP("PCS-813566",[2]ARBOR!$A:$C,3,0)-1),4))))</f>
        <v/>
      </c>
      <c r="IQ15" s="189" t="str">
        <f>IF(ISERROR(IF(IP15="","",VLOOKUP(("Oi Internet Pra Celular 300MB"&amp;IP15&amp;"Template Flat Instância Dados"),[2]BENEFICIOS!$A:$E,5,0))),"Criar",IF(IP15="","",VLOOKUP(("Oi Internet Pra Celular 300MB"&amp;IP15&amp;"Template Flat Instância Dados"),[2]BENEFICIOS!$A:$E,5,0)))</f>
        <v/>
      </c>
      <c r="IR15" s="190"/>
      <c r="IS15" s="191" t="str">
        <f>IF(IR15=0,"",IF(IR15=VLOOKUP("sva_bancas",[2]ARBOR!$A:$C,3,0),0.0001,IF(IR15&gt;VLOOKUP("sva_livros",[2]ARBOR!$A:$C,3,0),"Maior que CAP!",ROUND(-1*(IR15/VLOOKUP("sva_bancas",[2]ARBOR!$A:$C,3,0)-1),4))))</f>
        <v/>
      </c>
      <c r="IT15" s="192" t="str">
        <f>IF(ISERROR(IF(IS15="","",VLOOKUP(("Oi Internet Pra Celular 300MB"&amp;IS15&amp;"Template Desconto % SVA DADOS B2C"),[2]BENEFICIOS!$A:$E,5,0))),"Criar",IF(IS15="","",VLOOKUP(("Oi Internet Pra Celular 300MB"&amp;IS15&amp;"Template Desconto % SVA DADOS B2C"),[2]BENEFICIOS!$A:$E,5,0)))</f>
        <v/>
      </c>
      <c r="IU15" s="187"/>
      <c r="IV15" s="188" t="str">
        <f>IF(IU15=0,"",IF(IU15=VLOOKUP("PCS-813564",[2]ARBOR!$A:$C,3,0),0.0001,IF(IU15&gt;VLOOKUP("PCS-813564",[2]ARBOR!$A:$C,3,0),"Maior que CAP!",ROUND(-1*(IU15/VLOOKUP("PCS-813564",[2]ARBOR!$A:$C,3,0)-1),4))))</f>
        <v/>
      </c>
      <c r="IW15" s="189" t="str">
        <f>IF(ISERROR(IF(IV15="","",VLOOKUP(("Oi Internet Pra Celular 500MB"&amp;IV15&amp;"Template Flat Instância Dados"),[2]BENEFICIOS!$A:$E,5,0))),"Criar",IF(IV15="","",VLOOKUP(("Oi Internet Pra Celular 500MB"&amp;IV15&amp;"Template Flat Instância Dados"),[2]BENEFICIOS!$A:$E,5,0)))</f>
        <v/>
      </c>
      <c r="IX15" s="190"/>
      <c r="IY15" s="191" t="str">
        <f>IF(IX15=0,"",IF(IX15=VLOOKUP("sva_livros",[2]ARBOR!$A:$C,3,0),0.0001,IF(IX15&gt;VLOOKUP("sva_livros",[2]ARBOR!$A:$C,3,0),"Maior que CAP!",ROUND(-1*(IX15/VLOOKUP("sva_livros",[2]ARBOR!$A:$C,3,0)-1),4))))</f>
        <v/>
      </c>
      <c r="IZ15" s="192" t="str">
        <f>IF(ISERROR(IF(IY15="","",VLOOKUP(("Oi Internet Pra Celular 500MB"&amp;IY15&amp;"Template Desconto % SVA DADOS B2C"),[2]BENEFICIOS!$A:$E,5,0))),"Criar",IF(IY15="","",VLOOKUP(("Oi Internet Pra Celular 500MB"&amp;IY15&amp;"Template Desconto % SVA DADOS B2C"),[2]BENEFICIOS!$A:$E,5,0)))</f>
        <v/>
      </c>
      <c r="JA15" s="187"/>
      <c r="JB15" s="188" t="str">
        <f>IF(JA15=0,"",IF(JA15=VLOOKUP("PCS-10357",[2]ARBOR!$A:$C,3,0),0.0001,IF(JA15&gt;VLOOKUP("PCS-10357",[2]ARBOR!$A:$C,3,0),"Maior que CAP!",ROUND(-1*(JA15/VLOOKUP("PCS-10357",[2]ARBOR!$A:$C,3,0)-1),4))))</f>
        <v/>
      </c>
      <c r="JC15" s="189" t="str">
        <f>IF(ISERROR(IF(JB15="","",VLOOKUP(("Oi Internet Pra Celular 1GB"&amp;JB15&amp;"Template Flat Instância Dados"),[2]BENEFICIOS!$A:$E,5,0))),"Criar",IF(JB15="","",VLOOKUP(("Oi Internet Pra Celular 1GB"&amp;JB15&amp;"Template Flat Instância Dados"),[2]BENEFICIOS!$A:$E,5,0)))</f>
        <v/>
      </c>
      <c r="JD15" s="190"/>
      <c r="JE15" s="191" t="str">
        <f>IF(JD15=0,"",IF(JD15=VLOOKUP("sva_livros",[2]ARBOR!$A:$C,3,0),0.0001,IF(JD15&gt;VLOOKUP("sva_livros",[2]ARBOR!$A:$C,3,0),"Maior que CAP!",ROUND(-1*(JD15/VLOOKUP("sva_livros",[2]ARBOR!$A:$C,3,0)-1),4))))</f>
        <v/>
      </c>
      <c r="JF15" s="192" t="str">
        <f>IF(ISERROR(IF(JE15="","",VLOOKUP(("Oi Internet Pra Celular 1GB"&amp;JE15&amp;"Template Desconto % SVA DADOS B2C"),[2]BENEFICIOS!$A:$E,5,0))),"Criar",IF(JE15="","",VLOOKUP(("Oi Internet Pra Celular 1GB"&amp;JE15&amp;"Template Desconto % SVA DADOS B2C"),[2]BENEFICIOS!$A:$E,5,0)))</f>
        <v/>
      </c>
      <c r="JG15" s="187"/>
      <c r="JH15" s="188" t="str">
        <f>IF(JG15=0,"",IF(JG15=VLOOKUP("PCS-813565",[2]ARBOR!$A:$C,3,0),0.0001,IF(JG15&gt;VLOOKUP("PCS-813565",[2]ARBOR!$A:$C,3,0),"Maior que CAP!",ROUND(-1*(JG15/VLOOKUP("PCS-813565",[2]ARBOR!$A:$C,3,0)-1),4))))</f>
        <v/>
      </c>
      <c r="JI15" s="189" t="str">
        <f>IF(ISERROR(IF(JH15="","",VLOOKUP(("Oi Internet Pra Celular 2GB"&amp;JH15&amp;"Template Flat Instância Dados"),[2]BENEFICIOS!$A:$E,5,0))),"Criar",IF(JH15="","",VLOOKUP(("Oi Internet Pra Celular 2GB"&amp;JH15&amp;"Template Flat Instância Dados"),[2]BENEFICIOS!$A:$E,5,0)))</f>
        <v/>
      </c>
      <c r="JJ15" s="190"/>
      <c r="JK15" s="191" t="str">
        <f>IF(JJ15=0,"",IF(JJ15=VLOOKUP("sva_livros",[2]ARBOR!$A:$C,3,0),0.0001,IF(JJ15&gt;VLOOKUP("sva_livros",[2]ARBOR!$A:$C,3,0),"Maior que CAP!",ROUND(-1*(JJ15/VLOOKUP("sva_livros",[2]ARBOR!$A:$C,3,0)-1),4))))</f>
        <v/>
      </c>
      <c r="JL15" s="192" t="str">
        <f>IF(ISERROR(IF(JK15="","",VLOOKUP(("Oi Internet Pra Celular 2GB"&amp;JK15&amp;"Template Desconto % SVA DADOS B2C"),[2]BENEFICIOS!$A:$E,5,0))),"Criar",IF(JK15="","",VLOOKUP(("Oi Internet Pra Celular 2GB"&amp;JK15&amp;"Template Desconto % SVA DADOS B2C"),[2]BENEFICIOS!$A:$E,5,0)))</f>
        <v/>
      </c>
      <c r="JM15" s="187"/>
      <c r="JN15" s="188" t="str">
        <f>IF(JM15=0,"",IF(JM15=VLOOKUP("PCS-7171B",[2]ARBOR!$A:$C,3,0),0.0001,IF(JM15&gt;VLOOKUP("PCS-7171B",[2]ARBOR!$A:$C,3,0),"Maior que CAP!",ROUND(-1*(JM15/VLOOKUP("PCS-7171B",[2]ARBOR!$A:$C,3,0)-1),4))))</f>
        <v/>
      </c>
      <c r="JO15" s="189" t="str">
        <f>IF(ISERROR(IF(JN15="","",VLOOKUP(("Oi Internet Pra Celular 3GB"&amp;JN15&amp;"Template Flat Instância Dados"),[2]BENEFICIOS!$A:$E,5,0))),"Criar",IF(JN15="","",VLOOKUP(("Oi Internet Pra Celular 3GB"&amp;JN15&amp;"Template Flat Instância Dados"),[2]BENEFICIOS!$A:$E,5,0)))</f>
        <v/>
      </c>
      <c r="JP15" s="190"/>
      <c r="JQ15" s="191" t="str">
        <f>IF(JP15=0,"",IF(JP15=VLOOKUP("sva_livros",[2]ARBOR!$A:$C,3,0),0.0001,IF(JP15&gt;VLOOKUP("sva_livros",[2]ARBOR!$A:$C,3,0),"Maior que CAP!",ROUND(-1*(JP15/VLOOKUP("sva_livros",[2]ARBOR!$A:$C,3,0)-1),4))))</f>
        <v/>
      </c>
      <c r="JR15" s="192" t="str">
        <f>IF(ISERROR(IF(JQ15="","",VLOOKUP(("Oi Internet Pra Celular 3GB"&amp;JQ15&amp;"Template Desconto % SVA DADOS B2C"),[2]BENEFICIOS!$A:$E,5,0))),"Criar",IF(JQ15="","",VLOOKUP(("Oi Internet Pra Celular 3GB"&amp;JQ15&amp;"Template Desconto % SVA DADOS B2C"),[2]BENEFICIOS!$A:$E,5,0)))</f>
        <v/>
      </c>
      <c r="JS15" s="187"/>
      <c r="JT15" s="188" t="str">
        <f>IF(JS15=0,"",IF(JS15=VLOOKUP("PCS-51793o08",[2]ARBOR!$A:$C,3,0),0.0001,IF(JS15&gt;VLOOKUP("PCS-51793o08",[2]ARBOR!$A:$C,3,0),"Maior que CAP!",ROUND(-1*(JS15/VLOOKUP("PCS-51793o08",[2]ARBOR!$A:$C,3,0)-1),4))))</f>
        <v/>
      </c>
      <c r="JU15" s="189" t="str">
        <f>IF(ISERROR(IF(JT15="","",VLOOKUP(("Oi Internet Pra Celular 5GB"&amp;JT15&amp;"Template Flat Instância Dados"),[2]BENEFICIOS!$A:$E,5,0))),"Criar",IF(JT15="","",VLOOKUP(("Oi Internet Pra Celular 5GB"&amp;JT15&amp;"Template Flat Instância Dados"),[2]BENEFICIOS!$A:$E,5,0)))</f>
        <v/>
      </c>
      <c r="JV15" s="190"/>
      <c r="JW15" s="191" t="str">
        <f>IF(JV15=0,"",IF(JV15=VLOOKUP("sva_curtas",[2]ARBOR!$A:$C,3,0),0.0001,IF(JV15&gt;VLOOKUP("sva_curtas",[2]ARBOR!$A:$C,3,0),"Maior que CAP!",ROUND(-1*(JV15/VLOOKUP("sva_curtas",[2]ARBOR!$A:$C,3,0)-1),4))))</f>
        <v/>
      </c>
      <c r="JX15" s="192" t="str">
        <f>IF(ISERROR(IF(JW15="","",VLOOKUP(("Oi Internet Pra Celular 5GB"&amp;JW15&amp;"Template Desconto % SVA DADOS B2C"),[2]BENEFICIOS!$A:$E,5,0))),"Criar",IF(JW15="","",VLOOKUP(("Oi Internet Pra Celular 5GB"&amp;JW15&amp;"Template Desconto % SVA DADOS B2C"),[2]BENEFICIOS!$A:$E,5,0)))</f>
        <v/>
      </c>
      <c r="JY15" s="187"/>
      <c r="JZ15" s="188" t="str">
        <f>IF(JY15=0,"",IF(JY15=VLOOKUP("PCS-7171A",[2]ARBOR!$A:$C,3,0),0.0001,IF(JY15&gt;VLOOKUP("PCS-7171A",[2]ARBOR!$A:$C,3,0),"Maior que CAP!",ROUND(-1*(JY15/VLOOKUP("PCS-7171A",[2]ARBOR!$A:$C,3,0)-1),4))))</f>
        <v/>
      </c>
      <c r="KA15" s="193" t="str">
        <f>IF(ISERROR(IF(JZ15="","",VLOOKUP(("Oi Internet Pra Celular 10GB"&amp;JZ15&amp;"Template Flat Instância Dados"),[2]BENEFICIOS!$A:$E,5,0))),"Criar",IF(JZ15="","",VLOOKUP(("Oi Internet Pra Celular 10GB"&amp;JZ15&amp;"Template Flat Instância Dados"),[2]BENEFICIOS!$A:$E,5,0)))</f>
        <v/>
      </c>
      <c r="KB15" s="190"/>
      <c r="KC15" s="191" t="str">
        <f>IF(KB15=0,"",IF(KB15=VLOOKUP("sva_curtas",[2]ARBOR!$A:$C,3,0),0.0001,IF(KB15&gt;VLOOKUP("sva_curtas",[2]ARBOR!$A:$C,3,0),"Maior que CAP!",ROUND(-1*(KB15/VLOOKUP("sva_curtas",[2]ARBOR!$A:$C,3,0)-1),4))))</f>
        <v/>
      </c>
      <c r="KD15" s="192" t="str">
        <f>IF(ISERROR(IF(KC15="","",VLOOKUP(("Oi Internet Pra Celular 10GB"&amp;KC15&amp;"Template Desconto % SVA DADOS B2C"),[2]BENEFICIOS!$A:$E,5,0))),"Criar",IF(KC15="","",VLOOKUP(("Oi Internet Pra Celular 10GB"&amp;KC15&amp;"Template Desconto % SVA DADOS B2C"),[2]BENEFICIOS!$A:$E,5,0)))</f>
        <v/>
      </c>
      <c r="KE15" s="194"/>
      <c r="KF15" s="195"/>
      <c r="KG15" s="196" t="s">
        <v>167</v>
      </c>
      <c r="KH15" s="197" t="s">
        <v>190</v>
      </c>
      <c r="KI15" s="198">
        <v>699</v>
      </c>
      <c r="KJ15" s="197">
        <v>12</v>
      </c>
      <c r="KK15" s="199" t="str">
        <f t="shared" si="5"/>
        <v>Oi benefício fidelização Multiprodutos</v>
      </c>
      <c r="KL15" s="200" t="str">
        <f t="shared" si="6"/>
        <v>PCS-Fk83324</v>
      </c>
      <c r="KM15" s="200" t="str">
        <f t="shared" si="7"/>
        <v>PCS-SBL553142</v>
      </c>
      <c r="KN15" s="201" t="s">
        <v>191</v>
      </c>
      <c r="KO15" s="202" t="s">
        <v>192</v>
      </c>
      <c r="KP15" s="202" t="s">
        <v>193</v>
      </c>
      <c r="KQ15" s="201" t="s">
        <v>194</v>
      </c>
      <c r="KR15" s="199" t="s">
        <v>195</v>
      </c>
      <c r="KS15" s="200" t="s">
        <v>196</v>
      </c>
      <c r="KT15" s="203" t="s">
        <v>197</v>
      </c>
      <c r="KU15" s="129" t="s">
        <v>198</v>
      </c>
      <c r="KV15" s="129">
        <v>199.91</v>
      </c>
      <c r="KW15" s="129" t="s">
        <v>198</v>
      </c>
      <c r="KX15" s="129" t="s">
        <v>198</v>
      </c>
      <c r="KY15" s="129" t="s">
        <v>198</v>
      </c>
      <c r="KZ15" s="129" t="s">
        <v>198</v>
      </c>
      <c r="LA15" s="129" t="s">
        <v>198</v>
      </c>
      <c r="LB15" s="129" t="s">
        <v>198</v>
      </c>
      <c r="LC15" s="129" t="s">
        <v>198</v>
      </c>
      <c r="LD15" s="129" t="s">
        <v>198</v>
      </c>
      <c r="LE15" s="129" t="s">
        <v>198</v>
      </c>
      <c r="LF15" s="129" t="s">
        <v>198</v>
      </c>
      <c r="LG15" s="129" t="s">
        <v>198</v>
      </c>
      <c r="LH15" s="129" t="s">
        <v>198</v>
      </c>
      <c r="LI15" s="129" t="s">
        <v>198</v>
      </c>
      <c r="LJ15" s="129" t="s">
        <v>198</v>
      </c>
      <c r="LK15" s="204" t="s">
        <v>198</v>
      </c>
      <c r="LL15" s="212"/>
      <c r="LM15" s="213"/>
      <c r="LN15" s="213"/>
      <c r="LO15" s="213"/>
      <c r="LP15" s="213"/>
      <c r="LQ15" s="213"/>
      <c r="LR15" s="213"/>
      <c r="LS15" s="213"/>
      <c r="LT15" s="213"/>
      <c r="LU15" s="214"/>
      <c r="LV15" t="s">
        <v>221</v>
      </c>
      <c r="LW15" t="s">
        <v>200</v>
      </c>
    </row>
    <row r="16" spans="1:335" x14ac:dyDescent="0.25">
      <c r="A16" s="134" t="s">
        <v>164</v>
      </c>
      <c r="B16" s="135" t="s">
        <v>165</v>
      </c>
      <c r="C16" s="135" t="s">
        <v>166</v>
      </c>
      <c r="D16" s="136" t="s">
        <v>167</v>
      </c>
      <c r="E16" s="137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9"/>
      <c r="Q16" s="139"/>
      <c r="R16" s="139"/>
      <c r="S16" s="140"/>
      <c r="T16" s="138"/>
      <c r="U16" s="138"/>
      <c r="V16" s="138"/>
      <c r="W16" s="138"/>
      <c r="X16" s="138"/>
      <c r="Y16" s="138"/>
      <c r="Z16" s="138"/>
      <c r="AA16" s="138"/>
      <c r="AB16" s="138"/>
      <c r="AC16" s="138"/>
      <c r="AD16" s="138"/>
      <c r="AE16" s="141"/>
      <c r="AF16" s="138"/>
      <c r="AG16" s="138"/>
      <c r="AH16" s="142"/>
      <c r="AI16" s="209" t="s">
        <v>15</v>
      </c>
      <c r="AJ16" s="59" t="s">
        <v>168</v>
      </c>
      <c r="AK16" s="60" t="s">
        <v>209</v>
      </c>
      <c r="AL16" s="143">
        <v>43039</v>
      </c>
      <c r="AM16" s="144">
        <v>43159</v>
      </c>
      <c r="AN16" s="63" t="s">
        <v>170</v>
      </c>
      <c r="AO16" s="64" t="s">
        <v>170</v>
      </c>
      <c r="AP16" s="145"/>
      <c r="AQ16" s="145" t="s">
        <v>171</v>
      </c>
      <c r="AR16" s="145">
        <v>20</v>
      </c>
      <c r="AS16" s="145">
        <v>10000</v>
      </c>
      <c r="AT16" s="146" t="s">
        <v>172</v>
      </c>
      <c r="AU16" s="147" t="s">
        <v>167</v>
      </c>
      <c r="AV16" s="148" t="s">
        <v>173</v>
      </c>
      <c r="AW16" s="149" t="s">
        <v>173</v>
      </c>
      <c r="AX16" s="150" t="s">
        <v>15</v>
      </c>
      <c r="AY16" s="151" t="s">
        <v>203</v>
      </c>
      <c r="AZ16" s="152" t="str">
        <f>IF(ISERROR(VLOOKUP(AY16,[2]PLANOS!B:C,2,0)),"",VLOOKUP(AY16,[2]PLANOS!B:C,2,0))</f>
        <v>PCS-3PHipi</v>
      </c>
      <c r="BA16" s="153" t="s">
        <v>173</v>
      </c>
      <c r="BB16" s="154" t="str">
        <f t="shared" si="1"/>
        <v/>
      </c>
      <c r="BC16" s="155"/>
      <c r="BD16" s="156"/>
      <c r="BE16" s="157">
        <v>50.11</v>
      </c>
      <c r="BF16" s="101">
        <f>IF(BE16=0,"",IF(BE16=VLOOKUP("FIXO",[2]ARBOR!$A:$C,3,0),0.0001,IF(BE16&gt;VLOOKUP("FIXO",[2]ARBOR!$A:$C,3,0),"Maior que CAP!",IF((DOLLAR(BE16+(VLOOKUP("FIXO",[2]ARBOR!$A:$C,3,0)*-TRUNC(BE16/VLOOKUP("FIXO",[2]ARBOR!$A:$C,3,0)-1,4)),6))&lt;&gt;(DOLLAR(VLOOKUP("FIXO",[2]ARBOR!$A:$C,3,0),6)),-TRUNC(BE16/VLOOKUP("FIXO",[2]ARBOR!$A:$C,3,0)-1,4)+0.0001,-TRUNC(BE16/VLOOKUP("FIXO",[2]ARBOR!$A:$C,3,0)-1,4)))))</f>
        <v>0.33929999999999999</v>
      </c>
      <c r="BG16" s="158"/>
      <c r="BH16" s="101" t="str">
        <f>IF(BG16=0,"",IF(BG16=VLOOKUP("FIXO",[2]ARBOR!$A:$C,3,0),0.0001,IF(BG16&gt;VLOOKUP("FIXO",[2]ARBOR!$A:$C,3,0),"Maior que CAP!",IF((DOLLAR(BG16+(VLOOKUP("FIXO",[2]ARBOR!$A:$C,3,0)*-TRUNC(BG16/VLOOKUP("FIXO",[2]ARBOR!$A:$C,3,0)-1,4)),6))&lt;&gt;(DOLLAR(VLOOKUP("FIXO",[2]ARBOR!$A:$C,3,0),6)),-TRUNC(BG16/VLOOKUP("FIXO",[2]ARBOR!$A:$C,3,0)-1,4)+0.0001,-TRUNC(BG16/VLOOKUP("FIXO",[2]ARBOR!$A:$C,3,0)-1,4)))))</f>
        <v/>
      </c>
      <c r="BI16" s="101" t="str">
        <f>IF(ISERROR(IF(BF16="","",VLOOKUP(($AY16&amp;BF16&amp;"Template de desconto FLAT bundle - Fixo - Varejo - Ganho Tributário Cross"),[2]BENEFICIOS!$A:$E,5,0))),"Criar",IF(BF16="","",VLOOKUP(($AY16&amp;BF16&amp;"Template de desconto FLAT bundle - Fixo - Varejo - Ganho Tributário Cross"),[2]BENEFICIOS!$A:$E,5,0)))</f>
        <v>MKT-1-9825728196</v>
      </c>
      <c r="BJ16" s="159"/>
      <c r="BK16" s="101" t="str">
        <f t="shared" si="2"/>
        <v/>
      </c>
      <c r="BL16" s="160"/>
      <c r="BM16" s="101" t="str">
        <f>IF(BL16=0,"",IF(BL16=VLOOKUP("FIXO",[2]ARBOR!$A:$C,3,0),0.0001,IF(BL16&gt;VLOOKUP("FIXO",[2]ARBOR!$A:$C,3,0),"Maior que CAP!",IF(BF16&lt;&gt;"",-ROUND(BL16/VLOOKUP("FIXO",[2]ARBOR!$A:$C,3,0)-1,4)-BF16,-ROUND(BL16/VLOOKUP("FIXO",[2]ARBOR!$A:$C,3,0)-1,4)))))</f>
        <v/>
      </c>
      <c r="BN16" s="161"/>
      <c r="BO16" s="101" t="str">
        <f>IF(ISERROR(IF(BK16="","",VLOOKUP(($AY16&amp;BK16&amp;"Template de desconto FLAT bundle - Fixo - Varejo - Ganho Tributário Cross"),[2]BENEFICIOS!$A:$E,5,0))),"Criar",IF(BK16="","",VLOOKUP(($AY16&amp;BK16&amp;"Template de desconto FLAT bundle - Fixo - Varejo - Ganho Tributário Cross"),[2]BENEFICIOS!$A:$E,5,0)))</f>
        <v/>
      </c>
      <c r="BP16" s="162" t="s">
        <v>175</v>
      </c>
      <c r="BQ16" s="163" t="s">
        <v>176</v>
      </c>
      <c r="BR16" s="164" t="s">
        <v>173</v>
      </c>
      <c r="BS16" s="165" t="str">
        <f t="shared" si="0"/>
        <v/>
      </c>
      <c r="BT16" s="155"/>
      <c r="BU16" s="166"/>
      <c r="BV16" s="167" t="s">
        <v>210</v>
      </c>
      <c r="BW16" s="168">
        <v>44.9</v>
      </c>
      <c r="BX16" s="101">
        <f>IF(BW16=0,"",IF(BW16=VLOOKUP("PCS-30874g",[2]ARBOR!$A:$C,3,0),0.0001,IF(BW16&gt;VLOOKUP("PCS-30874g",[2]ARBOR!$A:$C,3,0),"Maior que CAP!",IF((DOLLAR(BW16+(VLOOKUP("PCS-30874g",[2]ARBOR!$A:$C,3,0)*-TRUNC(BW16/VLOOKUP("PCS-30874g",[2]ARBOR!$A:$C,3,0)-1,4)),6))&lt;&gt;(DOLLAR(VLOOKUP("PCS-30874g",[2]ARBOR!$A:$C,3,0),6)),-TRUNC(BW16/VLOOKUP("PCS-30874g",[2]ARBOR!$A:$C,3,0)-1,4)+0.0001,-TRUNC(BW16/VLOOKUP("PCS-30874g",[2]ARBOR!$A:$C,3,0)-1,4)))))</f>
        <v>0.53679999999999994</v>
      </c>
      <c r="BY16" s="163" t="str">
        <f>IF(ISERROR(IF(BX16="","",VLOOKUP(($AY16&amp;BX16&amp;"Template de desconto FLAT bundle - Velox XDSL - Varejo"),[2]BENEFICIOS!$A:$E,5,0))),"Criar",IF(BX16="","",VLOOKUP(($AY16&amp;BX16&amp;"Template de desconto FLAT bundle - Velox XDSL - Varejo"),[2]BENEFICIOS!$A:$E,5,0)))</f>
        <v>MKT-1-9829477373</v>
      </c>
      <c r="BZ16" s="167" t="s">
        <v>210</v>
      </c>
      <c r="CA16" s="168">
        <v>44.9</v>
      </c>
      <c r="CB16" s="101">
        <f>IF(CA16=0,"",IF(CA16=VLOOKUP("PCS-30577g",[2]ARBOR!$A:$C,3,0),0.0001,IF(CA16&gt;VLOOKUP("PCS-30577g",[2]ARBOR!$A:$C,3,0),"Maior que CAP!",IF((DOLLAR(CA16+(VLOOKUP("PCS-30577g",[2]ARBOR!$A:$C,3,0)*-TRUNC(CA16/VLOOKUP("PCS-30577g",[2]ARBOR!$A:$C,3,0)-1,4)),6))&lt;&gt;(DOLLAR(VLOOKUP("PCS-30577g",[2]ARBOR!$A:$C,3,0),6)),-TRUNC(CA16/VLOOKUP("PCS-30577g",[2]ARBOR!$A:$C,3,0)-1,4)+0.0001,-TRUNC(CA16/VLOOKUP("PCS-30577g",[2]ARBOR!$A:$C,3,0)-1,4)))))</f>
        <v>0.53679999999999994</v>
      </c>
      <c r="CC16" s="163" t="str">
        <f>IF(ISERROR(IF(CB16="","",VLOOKUP(($AY16&amp;CB16&amp;"Template de desconto FLAT bundle - Velox XDSL - Varejo"),[2]BENEFICIOS!$A:$E,5,0))),"Criar",IF(CB16="","",VLOOKUP(($AY16&amp;CB16&amp;"Template de desconto FLAT bundle - Velox XDSL - Varejo"),[2]BENEFICIOS!$A:$E,5,0)))</f>
        <v>MKT-1-9829477373</v>
      </c>
      <c r="CD16" s="167" t="s">
        <v>210</v>
      </c>
      <c r="CE16" s="168">
        <v>44.9</v>
      </c>
      <c r="CF16" s="101">
        <f>IF(CE16=0,"",IF(CE16=VLOOKUP("PCS-30604g",[2]ARBOR!$A:$C,3,0),0.0001,IF(CE16&gt;VLOOKUP("PCS-30604g",[2]ARBOR!$A:$C,3,0),"Maior que CAP!",IF((DOLLAR(CE16+(VLOOKUP("PCS-30604g",[2]ARBOR!$A:$C,3,0)*-TRUNC(CE16/VLOOKUP("PCS-30604g",[2]ARBOR!$A:$C,3,0)-1,4)),6))&lt;&gt;(DOLLAR(VLOOKUP("PCS-30604g",[2]ARBOR!$A:$C,3,0),6)),-TRUNC(CE16/VLOOKUP("PCS-30604g",[2]ARBOR!$A:$C,3,0)-1,4)+0.0001,-TRUNC(CE16/VLOOKUP("PCS-30604g",[2]ARBOR!$A:$C,3,0)-1,4)))))</f>
        <v>0.53679999999999994</v>
      </c>
      <c r="CG16" s="163" t="str">
        <f>IF(ISERROR(IF(CF16="","",VLOOKUP(($AY16&amp;CF16&amp;"Template de desconto FLAT bundle - Velox XDSL - Varejo"),[2]BENEFICIOS!$A:$E,5,0))),"Criar",IF(CF16="","",VLOOKUP(($AY16&amp;CF16&amp;"Template de desconto FLAT bundle - Velox XDSL - Varejo"),[2]BENEFICIOS!$A:$E,5,0)))</f>
        <v>MKT-1-9829477373</v>
      </c>
      <c r="CH16" s="167" t="s">
        <v>210</v>
      </c>
      <c r="CI16" s="168">
        <v>44.9</v>
      </c>
      <c r="CJ16" s="101">
        <f>IF(CI16=0,"",IF(CI16=VLOOKUP("PCS-30631g",[2]ARBOR!$A:$C,3,0),0.0001,IF(CI16&gt;VLOOKUP("PCS-30631g",[2]ARBOR!$A:$C,3,0),"Maior que CAP!",IF((DOLLAR(CI16+(VLOOKUP("PCS-30631g",[2]ARBOR!$A:$C,3,0)*-TRUNC(CI16/VLOOKUP("PCS-30631g",[2]ARBOR!$A:$C,3,0)-1,4)),6))&lt;&gt;(DOLLAR(VLOOKUP("PCS-30631g",[2]ARBOR!$A:$C,3,0),6)),-TRUNC(CI16/VLOOKUP("PCS-30631g",[2]ARBOR!$A:$C,3,0)-1,4)+0.0001,-TRUNC(CI16/VLOOKUP("PCS-30631g",[2]ARBOR!$A:$C,3,0)-1,4)))))</f>
        <v>0.54310000000000003</v>
      </c>
      <c r="CK16" s="163" t="str">
        <f>IF(ISERROR(IF(CJ16="","",VLOOKUP(($AY16&amp;CJ16&amp;"Template de desconto FLAT bundle - Velox XDSL - Varejo"),[2]BENEFICIOS!$A:$E,5,0))),"Criar",IF(CJ16="","",VLOOKUP(($AY16&amp;CJ16&amp;"Template de desconto FLAT bundle - Velox XDSL - Varejo"),[2]BENEFICIOS!$A:$E,5,0)))</f>
        <v>MKT-1-9828219079</v>
      </c>
      <c r="CL16" s="167" t="s">
        <v>104</v>
      </c>
      <c r="CM16" s="168">
        <v>49.9</v>
      </c>
      <c r="CN16" s="101">
        <f>IF(CM16=0,"",IF(CM16=VLOOKUP("PCS-30658g",[2]ARBOR!$A:$C,3,0),0.0001,IF(CM16&gt;VLOOKUP("PCS-30658g",[2]ARBOR!$A:$C,3,0),"Maior que CAP!",IF((DOLLAR(CM16+(VLOOKUP("PCS-30658g",[2]ARBOR!$A:$C,3,0)*-TRUNC(CM16/VLOOKUP("PCS-30658g",[2]ARBOR!$A:$C,3,0)-1,4)),6))&lt;&gt;(DOLLAR(VLOOKUP("PCS-30658g",[2]ARBOR!$A:$C,3,0),6)),-TRUNC(CM16/VLOOKUP("PCS-30658g",[2]ARBOR!$A:$C,3,0)-1,4)+0.0001,-TRUNC(CM16/VLOOKUP("PCS-30658g",[2]ARBOR!$A:$C,3,0)-1,4)))))</f>
        <v>0.55569999999999997</v>
      </c>
      <c r="CO16" s="163" t="str">
        <f>IF(ISERROR(IF(CN16="","",VLOOKUP(($AY16&amp;CN16&amp;"Template de desconto FLAT bundle - Velox XDSL - Varejo"),[2]BENEFICIOS!$A:$E,5,0))),"Criar",IF(CN16="","",VLOOKUP(($AY16&amp;CN16&amp;"Template de desconto FLAT bundle - Velox XDSL - Varejo"),[2]BENEFICIOS!$A:$E,5,0)))</f>
        <v>MKT-1-9828243608</v>
      </c>
      <c r="CP16" s="167" t="s">
        <v>104</v>
      </c>
      <c r="CQ16" s="168">
        <v>49.9</v>
      </c>
      <c r="CR16" s="101">
        <f>IF(CQ16=0,"",IF(CQ16=VLOOKUP("PCS-30685g",[2]ARBOR!$A:$C,3,0),0.0001,IF(CQ16&gt;VLOOKUP("PCS-30685g",[2]ARBOR!$A:$C,3,0),"Maior que CAP!",IF((DOLLAR(CQ16+(VLOOKUP("PCS-30685g",[2]ARBOR!$A:$C,3,0)*-TRUNC(CQ16/VLOOKUP("PCS-30685g",[2]ARBOR!$A:$C,3,0)-1,4)),6))&lt;&gt;(DOLLAR(VLOOKUP("PCS-30685g",[2]ARBOR!$A:$C,3,0),6)),-TRUNC(CQ16/VLOOKUP("PCS-30685g",[2]ARBOR!$A:$C,3,0)-1,4)+0.0001,-TRUNC(CQ16/VLOOKUP("PCS-30685g",[2]ARBOR!$A:$C,3,0)-1,4)))))</f>
        <v>0.60509999999999997</v>
      </c>
      <c r="CS16" s="163" t="str">
        <f>IF(ISERROR(IF(CR16="","",VLOOKUP(($AY16&amp;CR16&amp;"Template de desconto FLAT bundle - Velox XDSL - Varejo"),[2]BENEFICIOS!$A:$E,5,0))),"Criar",IF(CR16="","",VLOOKUP(($AY16&amp;CR16&amp;"Template de desconto FLAT bundle - Velox XDSL - Varejo"),[2]BENEFICIOS!$A:$E,5,0)))</f>
        <v>MKT-1-9828260647</v>
      </c>
      <c r="CT16" s="167" t="s">
        <v>104</v>
      </c>
      <c r="CU16" s="168">
        <v>49.9</v>
      </c>
      <c r="CV16" s="101">
        <f>IF(CU16=0,"",IF(CU16=VLOOKUP("PCS-30712g",[2]ARBOR!$A:$C,3,0),0.0001,IF(CU16&gt;VLOOKUP("PCS-30712g",[2]ARBOR!$A:$C,3,0),"Maior que CAP!",IF((DOLLAR(CU16+(VLOOKUP("PCS-30712g",[2]ARBOR!$A:$C,3,0)*-TRUNC(CU16/VLOOKUP("PCS-30712g",[2]ARBOR!$A:$C,3,0)-1,4)),6))&lt;&gt;(DOLLAR(VLOOKUP("PCS-30712g",[2]ARBOR!$A:$C,3,0),6)),-TRUNC(CU16/VLOOKUP("PCS-30712g",[2]ARBOR!$A:$C,3,0)-1,4)+0.0001,-TRUNC(CU16/VLOOKUP("PCS-30712g",[2]ARBOR!$A:$C,3,0)-1,4)))))</f>
        <v>0.64459999999999995</v>
      </c>
      <c r="CW16" s="163" t="str">
        <f>IF(ISERROR(IF(CV16="","",VLOOKUP(($AY16&amp;CV16&amp;"Template de desconto FLAT bundle - Velox XDSL - Varejo"),[2]BENEFICIOS!$A:$E,5,0))),"Criar",IF(CV16="","",VLOOKUP(($AY16&amp;CV16&amp;"Template de desconto FLAT bundle - Velox XDSL - Varejo"),[2]BENEFICIOS!$A:$E,5,0)))</f>
        <v>MKT-1-9828260926</v>
      </c>
      <c r="CX16" s="167" t="s">
        <v>104</v>
      </c>
      <c r="CY16" s="168">
        <v>59.9</v>
      </c>
      <c r="CZ16" s="101">
        <f>IF(CY16=0,"",IF(CY16=VLOOKUP("PCS-30739g",[2]ARBOR!$A:$C,3,0),0.0001,IF(CY16&gt;VLOOKUP("PCS-30739g",[2]ARBOR!$A:$C,3,0),"Maior que CAP!",IF((DOLLAR(CY16+(VLOOKUP("PCS-30739g",[2]ARBOR!$A:$C,3,0)*-TRUNC(CY16/VLOOKUP("PCS-30739g",[2]ARBOR!$A:$C,3,0)-1,4)),6))&lt;&gt;(DOLLAR(VLOOKUP("PCS-30739g",[2]ARBOR!$A:$C,3,0),6)),-TRUNC(CY16/VLOOKUP("PCS-30739g",[2]ARBOR!$A:$C,3,0)-1,4)+0.0001,-TRUNC(CY16/VLOOKUP("PCS-30739g",[2]ARBOR!$A:$C,3,0)-1,4)))))</f>
        <v>0.71560000000000001</v>
      </c>
      <c r="DA16" s="169" t="str">
        <f>IF(ISERROR(IF(CZ16="","",VLOOKUP(($AY16&amp;CZ16&amp;"Template de desconto FLAT bundle - Velox XDSL - Varejo"),[2]BENEFICIOS!$A:$E,5,0))),"Criar",IF(CZ16="","",VLOOKUP(($AY16&amp;CZ16&amp;"Template de desconto FLAT bundle - Velox XDSL - Varejo"),[2]BENEFICIOS!$A:$E,5,0)))</f>
        <v>MKT-1-9828272465</v>
      </c>
      <c r="DB16" s="170">
        <v>29.95</v>
      </c>
      <c r="DC16" s="215">
        <v>6</v>
      </c>
      <c r="DD16" s="101">
        <f>IF(DB16=0,"",IF(DB16=VLOOKUP("PCS-30739g",[2]ARBOR!$A:$C,3,0),0.0001,IF(DB16&gt;VLOOKUP("PCS-30739g",[2]ARBOR!$A:$C,3,0),"Maior que CAP!",IF((DOLLAR(DB16+(VLOOKUP("PCS-30739g",[2]ARBOR!$A:$C,3,0)*-TRUNC(DB16/VLOOKUP("PCS-30739g",[2]ARBOR!$A:$C,3,0)-1,4)),6))&lt;&gt;(DOLLAR(VLOOKUP("PCS-30739g",[2]ARBOR!$A:$C,3,0),6)),(-TRUNC(DB16/VLOOKUP("PCS-30739g",[2]ARBOR!$A:$C,3,0)-1,4)+0.0001)-CZ16,-TRUNC(DB16/VLOOKUP("PCS-30739g",[2]ARBOR!$A:$C,3,0)-1,4)-CZ16))))</f>
        <v>0.14219999999999999</v>
      </c>
      <c r="DE16" s="163" t="str">
        <f>IF(ISERROR(IF(DD16="","",VLOOKUP(($AY16&amp;DD16&amp;"Template de desconto percentual Bundle - Velox XDSL - Varejo"),[2]BENEFICIOS!$A:$E,5,0))),"Criar",IF(DD16="","",VLOOKUP(($AY16&amp;DD16&amp;"Template de desconto percentual Bundle - Velox XDSL - Varejo"),[2]BENEFICIOS!$A:$E,5,0)))</f>
        <v>MKT-1-9832066535</v>
      </c>
      <c r="DF16" s="167" t="s">
        <v>104</v>
      </c>
      <c r="DG16" s="168">
        <v>59.9</v>
      </c>
      <c r="DH16" s="101">
        <f>IF(DG16=0,"",IF(DG16=VLOOKUP("PCS-30766g",[2]ARBOR!$A:$C,3,0),0.0001,IF(DG16&gt;VLOOKUP("PCS-30766g",[2]ARBOR!$A:$C,3,0),"Maior que CAP!",IF((DOLLAR(DG16+(VLOOKUP("PCS-30766g",[2]ARBOR!$A:$C,3,0)*-TRUNC(DG16/VLOOKUP("PCS-30766g",[2]ARBOR!$A:$C,3,0)-1,4)),6))&lt;&gt;(DOLLAR(VLOOKUP("PCS-30766g",[2]ARBOR!$A:$C,3,0),6)),-TRUNC(DG16/VLOOKUP("PCS-30766g",[2]ARBOR!$A:$C,3,0)-1,4)+0.0001,-TRUNC(DG16/VLOOKUP("PCS-30766g",[2]ARBOR!$A:$C,3,0)-1,4)))))</f>
        <v>0.78669999999999995</v>
      </c>
      <c r="DI16" s="169" t="str">
        <f>IF(ISERROR(IF(DH16="","",VLOOKUP(($AY16&amp;DH16&amp;"Template de desconto FLAT bundle - Velox XDSL - Varejo"),[2]BENEFICIOS!$A:$E,5,0))),"Criar",IF(DH16="","",VLOOKUP(($AY16&amp;DH16&amp;"Template de desconto FLAT bundle - Velox XDSL - Varejo"),[2]BENEFICIOS!$A:$E,5,0)))</f>
        <v>MKT-1-9828285890</v>
      </c>
      <c r="DJ16" s="170">
        <v>29.95</v>
      </c>
      <c r="DK16" s="215">
        <v>6</v>
      </c>
      <c r="DL16" s="101">
        <f>IF(DJ16=0,"",IF(DJ16=VLOOKUP("PCS-30766g",[2]ARBOR!$A:$C,3,0),0.0001,IF(DJ16&gt;VLOOKUP("PCS-30766g",[2]ARBOR!$A:$C,3,0),"Maior que CAP!",IF((DOLLAR(DJ16+(VLOOKUP("PCS-30766g",[2]ARBOR!$A:$C,3,0)*-TRUNC(DJ16/VLOOKUP("PCS-30766g",[2]ARBOR!$A:$C,3,0)-1,4)),6))&lt;&gt;(DOLLAR(VLOOKUP("PCS-30766g",[2]ARBOR!$A:$C,3,0),6)),(-TRUNC(DJ16/VLOOKUP("PCS-30766g",[2]ARBOR!$A:$C,3,0)-1,4)+0.0001)-DH16,-TRUNC(DJ16/VLOOKUP("PCS-30766g",[2]ARBOR!$A:$C,3,0)-1,4)-DH16))))</f>
        <v>0.10670000000000002</v>
      </c>
      <c r="DM16" s="163" t="str">
        <f>IF(ISERROR(IF(DL16="","",VLOOKUP(($AY16&amp;DL16&amp;"Template de desconto percentual Bundle - Velox XDSL - Varejo"),[2]BENEFICIOS!$A:$E,5,0))),"Criar",IF(DL16="","",VLOOKUP(($AY16&amp;DL16&amp;"Template de desconto percentual Bundle - Velox XDSL - Varejo"),[2]BENEFICIOS!$A:$E,5,0)))</f>
        <v>MKT-1-9832066763</v>
      </c>
      <c r="DN16" s="167" t="s">
        <v>210</v>
      </c>
      <c r="DO16" s="168">
        <v>69.900000000000006</v>
      </c>
      <c r="DP16" s="101">
        <f>IF(DO16=0,"",IF(DO16=VLOOKUP("PCS-30793g",[2]ARBOR!$A:$C,3,0),0.0001,IF(DO16&gt;VLOOKUP("PCS-30793g",[2]ARBOR!$A:$C,3,0),"Maior que CAP!",IF((DOLLAR(DO16+(VLOOKUP("PCS-30793g",[2]ARBOR!$A:$C,3,0)*-TRUNC(DO16/VLOOKUP("PCS-30793g",[2]ARBOR!$A:$C,3,0)-1,4)),6))&lt;&gt;(DOLLAR(VLOOKUP("PCS-30793g",[2]ARBOR!$A:$C,3,0),6)),-TRUNC(DO16/VLOOKUP("PCS-30793g",[2]ARBOR!$A:$C,3,0)-1,4)+0.0001,-TRUNC(DO16/VLOOKUP("PCS-30793g",[2]ARBOR!$A:$C,3,0)-1,4)))))</f>
        <v>0.75109999999999999</v>
      </c>
      <c r="DQ16" s="169" t="str">
        <f>IF(ISERROR(IF(DP16="","",VLOOKUP(($AY16&amp;DP16&amp;"Template de desconto FLAT bundle - Velox XDSL - Varejo"),[2]BENEFICIOS!$A:$E,5,0))),"Criar",IF(DP16="","",VLOOKUP(($AY16&amp;DP16&amp;"Template de desconto FLAT bundle - Velox XDSL - Varejo"),[2]BENEFICIOS!$A:$E,5,0)))</f>
        <v>MKT-1-9828314259</v>
      </c>
      <c r="DR16" s="170">
        <v>34.950000000000003</v>
      </c>
      <c r="DS16" s="215">
        <v>6</v>
      </c>
      <c r="DT16" s="101">
        <f>IF(DR16=0,"",IF(DR16=VLOOKUP("PCS-30793g",[2]ARBOR!$A:$C,3,0),0.0001,IF(DR16&gt;VLOOKUP("PCS-30793g",[2]ARBOR!$A:$C,3,0),"Maior que CAP!",IF((DOLLAR(DR16+(VLOOKUP("PCS-30793g",[2]ARBOR!$A:$C,3,0)*-TRUNC(DR16/VLOOKUP("PCS-30793g",[2]ARBOR!$A:$C,3,0)-1,4)),6))&lt;&gt;(DOLLAR(VLOOKUP("PCS-30793g",[2]ARBOR!$A:$C,3,0),6)),(-TRUNC(DR16/VLOOKUP("PCS-30793g",[2]ARBOR!$A:$C,3,0)-1,4)+0.0001)-DP16,-TRUNC(DR16/VLOOKUP("PCS-30793g",[2]ARBOR!$A:$C,3,0)-1,4)-DP16))))</f>
        <v>0.12449999999999994</v>
      </c>
      <c r="DU16" s="163" t="str">
        <f>IF(ISERROR(IF(DT16="","",VLOOKUP(($AY16&amp;DT16&amp;"Template de desconto percentual Bundle - Velox XDSL - Varejo"),[2]BENEFICIOS!$A:$E,5,0))),"Criar",IF(DT16="","",VLOOKUP(($AY16&amp;DT16&amp;"Template de desconto percentual Bundle - Velox XDSL - Varejo"),[2]BENEFICIOS!$A:$E,5,0)))</f>
        <v>MKT-1-9826047043</v>
      </c>
      <c r="DV16" s="167" t="s">
        <v>104</v>
      </c>
      <c r="DW16" s="168">
        <v>69.900000000000006</v>
      </c>
      <c r="DX16" s="101">
        <f>IF(DW16=0,"",IF(DW16=VLOOKUP("PCS-30820g",[2]ARBOR!$A:$C,3,0),0.0001,IF(DW16&gt;VLOOKUP("PCS-30820g",[2]ARBOR!$A:$C,3,0),"Maior que CAP!",IF((DOLLAR(DW16+(VLOOKUP("PCS-30820g",[2]ARBOR!$A:$C,3,0)*-TRUNC(DW16/VLOOKUP("PCS-30820g",[2]ARBOR!$A:$C,3,0)-1,4)),6))&lt;&gt;(DOLLAR(VLOOKUP("PCS-30820g",[2]ARBOR!$A:$C,3,0),6)),-TRUNC(DW16/VLOOKUP("PCS-30820g",[2]ARBOR!$A:$C,3,0)-1,4)+0.0001,-TRUNC(DW16/VLOOKUP("PCS-30820g",[2]ARBOR!$A:$C,3,0)-1,4)))))</f>
        <v>0.75109999999999999</v>
      </c>
      <c r="DY16" s="169" t="str">
        <f>IF(ISERROR(IF(DX16="","",VLOOKUP(($AY16&amp;DX16&amp;"Template de desconto FLAT bundle - Velox XDSL - Varejo"),[2]BENEFICIOS!$A:$E,5,0))),"Criar",IF(DX16="","",VLOOKUP(($AY16&amp;DX16&amp;"Template de desconto FLAT bundle - Velox XDSL - Varejo"),[2]BENEFICIOS!$A:$E,5,0)))</f>
        <v>MKT-1-9828314259</v>
      </c>
      <c r="DZ16" s="170">
        <v>34.950000000000003</v>
      </c>
      <c r="EA16" s="215">
        <v>6</v>
      </c>
      <c r="EB16" s="101">
        <f>IF(DZ16=0,"",IF(DZ16=VLOOKUP("PCS-30820g",[2]ARBOR!$A:$C,3,0),0.0001,IF(DZ16&gt;VLOOKUP("PCS-30820g",[2]ARBOR!$A:$C,3,0),"Maior que CAP!",IF((DOLLAR(DZ16+(VLOOKUP("PCS-30820g",[2]ARBOR!$A:$C,3,0)*-TRUNC(DZ16/VLOOKUP("PCS-30820g",[2]ARBOR!$A:$C,3,0)-1,4)),6))&lt;&gt;(DOLLAR(VLOOKUP("PCS-30820g",[2]ARBOR!$A:$C,3,0),6)),(-TRUNC(DZ16/VLOOKUP("PCS-30820g",[2]ARBOR!$A:$C,3,0)-1,4)+0.0001)-DX16,-TRUNC(DZ16/VLOOKUP("PCS-30820g",[2]ARBOR!$A:$C,3,0)-1,4)-DX16))))</f>
        <v>0.12449999999999994</v>
      </c>
      <c r="EC16" s="163" t="str">
        <f>IF(ISERROR(IF(EB16="","",VLOOKUP(($AY16&amp;EB16&amp;"Template de desconto percentual Bundle - Velox XDSL - Varejo"),[2]BENEFICIOS!$A:$E,5,0))),"Criar",IF(EB16="","",VLOOKUP(($AY16&amp;EB16&amp;"Template de desconto percentual Bundle - Velox XDSL - Varejo"),[2]BENEFICIOS!$A:$E,5,0)))</f>
        <v>MKT-1-9826047043</v>
      </c>
      <c r="ED16" s="172"/>
      <c r="EE16" s="101" t="str">
        <f>IF(ED16=0,"",IF(ED16=VLOOKUP("PCS-21448p2",[2]ARBOR!$A:$C,3,0),0.0001,IF(ED16&gt;VLOOKUP("PCS-21448p2",[2]ARBOR!$A:$C,3,0),"Maior que CAP!",IF((DOLLAR(ED16+(VLOOKUP("PCS-21448p2",[2]ARBOR!$A:$C,3,0)*-TRUNC(ED16/VLOOKUP("PCS-21448p2",[2]ARBOR!$A:$C,3,0)-1,4)),6))&lt;&gt;(DOLLAR(VLOOKUP("PCS-21448p2",[2]ARBOR!$A:$C,3,0),6)),-TRUNC(ED16/VLOOKUP("PCS-21448p2",[2]ARBOR!$A:$C,3,0)-1,4)+0.0001,-TRUNC(ED16/VLOOKUP("PCS-21448p2",[2]ARBOR!$A:$C,3,0)-1,4)))))</f>
        <v/>
      </c>
      <c r="EF16" s="101" t="str">
        <f>IF(ISERROR(IF(EE16="","",VLOOKUP(("Oi Conta Total Plug 10GB Downgrade"&amp;EE16&amp;"Template de desconto percentual BL Móvel - Internet Total - Varejo"),[2]BENEFICIOS!$A:$E,5,0))),"Criar",IF(EE16="","",VLOOKUP(("Oi Conta Total Plug 10GB Downgrade"&amp;EE16&amp;"Template de desconto percentual BL Móvel - Internet Total - Varejo"),[2]BENEFICIOS!$A:$E,5,0)))</f>
        <v/>
      </c>
      <c r="EG16" s="173">
        <v>19.899999999999999</v>
      </c>
      <c r="EH16" s="174">
        <f>IF(EG16=0,"",IF(EG16=VLOOKUP("SVA",[2]ARBOR!$A:$C,3,0),0.0001,IF(EG16&gt;VLOOKUP("SVA",[2]ARBOR!$A:$C,3,0),"Maior que CAP!",IF((DOLLAR(EG16+(VLOOKUP("SVA",[2]ARBOR!$A:$C,3,0)*-TRUNC(EG16/VLOOKUP("SVA",[2]ARBOR!$A:$C,3,0)-1,4)),6))&lt;&gt;(DOLLAR(VLOOKUP("SVA",[2]ARBOR!$A:$C,3,0),6)),-TRUNC(EG16/VLOOKUP("SVA",[2]ARBOR!$A:$C,3,0)-1,4)+0.0001,-TRUNC(EG16/VLOOKUP("SVA",[2]ARBOR!$A:$C,3,0)-1,4)))))</f>
        <v>7.1400000000000005E-2</v>
      </c>
      <c r="EI16" s="174" t="s">
        <v>211</v>
      </c>
      <c r="EJ16" s="175" t="s">
        <v>219</v>
      </c>
      <c r="EK16" s="176">
        <v>6</v>
      </c>
      <c r="EL16" s="177">
        <f t="shared" si="3"/>
        <v>0.92859999999999998</v>
      </c>
      <c r="EM16" s="174" t="s">
        <v>220</v>
      </c>
      <c r="EN16" s="103"/>
      <c r="EO16" s="101" t="str">
        <f>IF(EN16=0,"",IF(EN16=VLOOKUP("PCS-OzTL40",[2]ARBOR!$A:$C,3,0),0.0001,IF(EN16&gt;VLOOKUP("PCS-OzTL40",[2]ARBOR!$A:$C,3,0),"Maior que CAP!",IF((DOLLAR(EN16+(VLOOKUP("PCS-OzTL40",[2]ARBOR!$A:$C,3,0)*-TRUNC(EN16/VLOOKUP("PCS-OzTL40",[2]ARBOR!$A:$C,3,0)-1,4)),6))&lt;&gt;(DOLLAR(VLOOKUP("PCS-OzTL40",[2]ARBOR!$A:$C,3,0),6)),-TRUNC(EN16/VLOOKUP("PCS-OzTL40",[2]ARBOR!$A:$C,3,0)-1,4)+0.0001,-TRUNC(EN16/VLOOKUP("PCS-OzTL40",[2]ARBOR!$A:$C,3,0)-1,4)))))</f>
        <v/>
      </c>
      <c r="EP16" s="163" t="str">
        <f>IF(ISERROR(IF(EO16="","",VLOOKUP(($AY16&amp;EO16&amp;"Template desconto FLAT Plano Principal Oi TV nível conta"),[2]BENEFICIOS!$A:$G,5,0))),"Criar",IF(EO16="","",VLOOKUP(($AY16&amp;EO16&amp;"Template desconto FLAT Plano Principal Oi TV nível conta"),[2]BENEFICIOS!$A:$G,5,0)))</f>
        <v/>
      </c>
      <c r="EQ16" s="103"/>
      <c r="ER16" s="101" t="str">
        <f>IF(EQ16=0,"",IF(EQ16=VLOOKUP("PCS-OzTL41",[2]ARBOR!$A:$C,3,0),0.0001,IF(EQ16&gt;VLOOKUP("PCS-OzTL41",[2]ARBOR!$A:$C,3,0),"Maior que CAP!",IF((DOLLAR(EQ16+(VLOOKUP("PCS-OzTL41",[2]ARBOR!$A:$C,3,0)*-TRUNC(EQ16/VLOOKUP("PCS-OzTL41",[2]ARBOR!$A:$C,3,0)-1,4)),6))&lt;&gt;(DOLLAR(VLOOKUP("PCS-OzTL41",[2]ARBOR!$A:$C,3,0),6)),-TRUNC(EQ16/VLOOKUP("PCS-OzTL41",[2]ARBOR!$A:$C,3,0)-1,4)+0.0001,-TRUNC(EQ16/VLOOKUP("PCS-OzTL41",[2]ARBOR!$A:$C,3,0)-1,4)))))</f>
        <v/>
      </c>
      <c r="ES16" s="178" t="str">
        <f>IF(ISERROR(IF(ER16="","",VLOOKUP(($AY16&amp;ER16&amp;"Template desconto FLAT Plano Principal Oi TV nível conta"),[2]BENEFICIOS!$A:$G,5,0))),"Criar",IF(ER16="","",VLOOKUP(($AY16&amp;ER16&amp;"Template desconto FLAT Plano Principal Oi TV nível conta"),[2]BENEFICIOS!$A:$G,5,0)))</f>
        <v/>
      </c>
      <c r="ET16" s="103">
        <v>134.9</v>
      </c>
      <c r="EU16" s="101">
        <f>IF(ET16=0,"",IF(ET16=VLOOKUP("PCS-OzTL44",[2]ARBOR!$A:$C,3,0),0.0001,IF(ET16&gt;VLOOKUP("PCS-OzTL44",[2]ARBOR!$A:$C,3,0),"Maior que CAP!",IF((DOLLAR(ET16+(VLOOKUP("PCS-OzTL44",[2]ARBOR!$A:$C,3,0)*-TRUNC(ET16/VLOOKUP("PCS-OzTL44",[2]ARBOR!$A:$C,3,0)-1,4)),6))&lt;&gt;(DOLLAR(VLOOKUP("PCS-OzTL44",[2]ARBOR!$A:$C,3,0),6)),-TRUNC(ET16/VLOOKUP("PCS-OzTL44",[2]ARBOR!$A:$C,3,0)-1,4)+0.0001,-TRUNC(ET16/VLOOKUP("PCS-OzTL44",[2]ARBOR!$A:$C,3,0)-1,4)))))</f>
        <v>0.29969999999999997</v>
      </c>
      <c r="EV16" s="178" t="str">
        <f>IF(ISERROR(IF(EU16="","",VLOOKUP(($AY16&amp;EU16&amp;"Template desconto FLAT Plano Principal Oi TV nível conta"),[2]BENEFICIOS!$A:$G,5,0))),"Criar",IF(EU16="","",VLOOKUP(($AY16&amp;EU16&amp;"Template desconto FLAT Plano Principal Oi TV nível conta"),[2]BENEFICIOS!$A:$G,5,0)))</f>
        <v>MKT-1-9827358355</v>
      </c>
      <c r="EW16" s="103">
        <v>144.9</v>
      </c>
      <c r="EX16" s="101">
        <f>IF(EW16=0,"",IF(EW16=VLOOKUP("PCS-OzTL43",[2]ARBOR!$A:$C,3,0),0.0001,IF(EW16&gt;VLOOKUP("PCS-OzTL43",[2]ARBOR!$A:$C,3,0),"Maior que CAP!",IF((DOLLAR(EW16+(VLOOKUP("PCS-OzTL43",[2]ARBOR!$A:$C,3,0)*-TRUNC(EW16/VLOOKUP("PCS-OzTL43",[2]ARBOR!$A:$C,3,0)-1,4)),6))&lt;&gt;(DOLLAR(VLOOKUP("PCS-OzTL43",[2]ARBOR!$A:$C,3,0),6)),-TRUNC(EW16/VLOOKUP("PCS-OzTL43",[2]ARBOR!$A:$C,3,0)-1,4)+0.0001,-TRUNC(EW16/VLOOKUP("PCS-OzTL43",[2]ARBOR!$A:$C,3,0)-1,4)))))</f>
        <v>0.28849999999999998</v>
      </c>
      <c r="EY16" s="178" t="str">
        <f>IF(ISERROR(IF(EX16="","",VLOOKUP(($AY16&amp;EX16&amp;"Template desconto FLAT Plano Principal Oi TV nível conta"),[2]BENEFICIOS!$A:$G,5,0))),"Criar",IF(EX16="","",VLOOKUP(($AY16&amp;EX16&amp;"Template desconto FLAT Plano Principal Oi TV nível conta"),[2]BENEFICIOS!$A:$G,5,0)))</f>
        <v>MKT-1-9827358670</v>
      </c>
      <c r="EZ16" s="103">
        <v>179.9</v>
      </c>
      <c r="FA16" s="101">
        <f>IF(EZ16=0,"",IF(EZ16=VLOOKUP("PCS-OzTL45",[2]ARBOR!$A:$C,3,0),0.0001,IF(EZ16&gt;VLOOKUP("PCS-OzTL45",[2]ARBOR!$A:$C,3,0),"Maior que CAP!",IF((DOLLAR(EZ16+(VLOOKUP("PCS-OzTL45",[2]ARBOR!$A:$C,3,0)*-TRUNC(EZ16/VLOOKUP("PCS-OzTL45",[2]ARBOR!$A:$C,3,0)-1,4)),6))&lt;&gt;(DOLLAR(VLOOKUP("PCS-OzTL45",[2]ARBOR!$A:$C,3,0),6)),-TRUNC(EZ16/VLOOKUP("PCS-OzTL45",[2]ARBOR!$A:$C,3,0)-1,4)+0.0001,-TRUNC(EZ16/VLOOKUP("PCS-OzTL45",[2]ARBOR!$A:$C,3,0)-1,4)))))</f>
        <v>0.13979999999999998</v>
      </c>
      <c r="FB16" s="178" t="str">
        <f>IF(ISERROR(IF(FA16="","",VLOOKUP(($AY16&amp;FA16&amp;"Template desconto FLAT Plano Principal Oi TV nível conta"),[2]BENEFICIOS!$A:$G,5,0))),"Criar",IF(FA16="","",VLOOKUP(($AY16&amp;FA16&amp;"Template desconto FLAT Plano Principal Oi TV nível conta"),[2]BENEFICIOS!$A:$G,5,0)))</f>
        <v>MKT-1-9827358935</v>
      </c>
      <c r="FC16" s="103"/>
      <c r="FD16" s="101" t="str">
        <f>IF(FC16=0,"",IF(FC16=VLOOKUP("PCS-OzTL741",[2]ARBOR!$A:$C,3,0),0.0001,IF(FC16&gt;VLOOKUP("PCS-OzTL741",[2]ARBOR!$A:$C,3,0),"Maior que CAP!",IF((DOLLAR(FC16+(VLOOKUP("PCS-OzTL741",[2]ARBOR!$A:$C,3,0)*-TRUNC(FC16/VLOOKUP("PCS-OzTL741",[2]ARBOR!$A:$C,3,0)-1,4)),6))&lt;&gt;(DOLLAR(VLOOKUP("PCS-OzTL741",[2]ARBOR!$A:$C,3,0),6)),-TRUNC(FC16/VLOOKUP("PCS-OzTL741",[2]ARBOR!$A:$C,3,0)-1,4)+0.0001,-TRUNC(FC16/VLOOKUP("PCS-OzTL741",[2]ARBOR!$A:$C,3,0)-1,4)))))</f>
        <v/>
      </c>
      <c r="FE16" s="178" t="str">
        <f>IF(ISERROR(IF(FD16="","",VLOOKUP(($AY16&amp;FD16&amp;"Template desconto FLAT Plano Principal Oi TV nível conta"),[2]BENEFICIOS!$A:$G,5,0))),"Criar",IF(FD16="","",VLOOKUP(($AY16&amp;FD16&amp;"Template desconto FLAT Plano Principal Oi TV nível conta"),[2]BENEFICIOS!$A:$G,5,0)))</f>
        <v/>
      </c>
      <c r="FF16" s="103">
        <v>154.9</v>
      </c>
      <c r="FG16" s="101">
        <f>IF(FF16=0,"",IF(FF16=VLOOKUP("PCS-OzTL744",[2]ARBOR!$A:$C,3,0),0.0001,IF(FF16&gt;VLOOKUP("PCS-OzTL744",[2]ARBOR!$A:$C,3,0),"Maior que CAP!",IF((DOLLAR(FF16+(VLOOKUP("PCS-OzTL744",[2]ARBOR!$A:$C,3,0)*-TRUNC(FF16/VLOOKUP("PCS-OzTL744",[2]ARBOR!$A:$C,3,0)-1,4)),6))&lt;&gt;(DOLLAR(VLOOKUP("PCS-OzTL744",[2]ARBOR!$A:$C,3,0),6)),-TRUNC(FF16/VLOOKUP("PCS-OzTL744",[2]ARBOR!$A:$C,3,0)-1,4)+0.0001,-TRUNC(FF16/VLOOKUP("PCS-OzTL744",[2]ARBOR!$A:$C,3,0)-1,4)))))</f>
        <v>0.25939999999999996</v>
      </c>
      <c r="FH16" s="178" t="str">
        <f>IF(ISERROR(IF(FG16="","",VLOOKUP(($AY16&amp;FG16&amp;"Template desconto FLAT Plano Principal Oi TV nível conta"),[2]BENEFICIOS!$A:$G,5,0))),"Criar",IF(FG16="","",VLOOKUP(($AY16&amp;FG16&amp;"Template desconto FLAT Plano Principal Oi TV nível conta"),[2]BENEFICIOS!$A:$G,5,0)))</f>
        <v>MKT-1-9827370190</v>
      </c>
      <c r="FI16" s="103">
        <v>164.9</v>
      </c>
      <c r="FJ16" s="101">
        <f>IF(FI16=0,"",IF(FI16=VLOOKUP("PCS-OzTL743",[2]ARBOR!$A:$C,3,0),0.0001,IF(FI16&gt;VLOOKUP("PCS-OzTL743",[2]ARBOR!$A:$C,3,0),"Maior que CAP!",IF((DOLLAR(FI16+(VLOOKUP("PCS-OzTL743",[2]ARBOR!$A:$C,3,0)*-TRUNC(FI16/VLOOKUP("PCS-OzTL743",[2]ARBOR!$A:$C,3,0)-1,4)),6))&lt;&gt;(DOLLAR(VLOOKUP("PCS-OzTL743",[2]ARBOR!$A:$C,3,0),6)),-TRUNC(FI16/VLOOKUP("PCS-OzTL743",[2]ARBOR!$A:$C,3,0)-1,4)+0.0001,-TRUNC(FI16/VLOOKUP("PCS-OzTL743",[2]ARBOR!$A:$C,3,0)-1,4)))))</f>
        <v>0.251</v>
      </c>
      <c r="FK16" s="178" t="str">
        <f>IF(ISERROR(IF(FJ16="","",VLOOKUP(($AY16&amp;FJ16&amp;"Template desconto FLAT Plano Principal Oi TV nível conta"),[2]BENEFICIOS!$A:$G,5,0))),"Criar",IF(FJ16="","",VLOOKUP(($AY16&amp;FJ16&amp;"Template desconto FLAT Plano Principal Oi TV nível conta"),[2]BENEFICIOS!$A:$G,5,0)))</f>
        <v>MKT-1-9827370755</v>
      </c>
      <c r="FL16" s="103">
        <v>199.9</v>
      </c>
      <c r="FM16" s="101">
        <f>IF(FL16=0,"",IF(FL16=VLOOKUP("PCS-OzTL745",[2]ARBOR!$A:$C,3,0),0.0001,IF(FL16&gt;VLOOKUP("PCS-OzTL745",[2]ARBOR!$A:$C,3,0),"Maior que CAP!",IF((DOLLAR(FL16+(VLOOKUP("PCS-OzTL745",[2]ARBOR!$A:$C,3,0)*-TRUNC(FL16/VLOOKUP("PCS-OzTL745",[2]ARBOR!$A:$C,3,0)-1,4)),6))&lt;&gt;(DOLLAR(VLOOKUP("PCS-OzTL745",[2]ARBOR!$A:$C,3,0),6)),-TRUNC(FL16/VLOOKUP("PCS-OzTL745",[2]ARBOR!$A:$C,3,0)-1,4)+0.0001,-TRUNC(FL16/VLOOKUP("PCS-OzTL745",[2]ARBOR!$A:$C,3,0)-1,4)))))</f>
        <v>0.21049999999999999</v>
      </c>
      <c r="FN16" s="178" t="str">
        <f>IF(ISERROR(IF(FM16="","",VLOOKUP(($AY16&amp;FM16&amp;"Template desconto FLAT Plano Principal Oi TV nível conta"),[2]BENEFICIOS!$A:$G,5,0))),"Criar",IF(FM16="","",VLOOKUP(($AY16&amp;FM16&amp;"Template desconto FLAT Plano Principal Oi TV nível conta"),[2]BENEFICIOS!$A:$G,5,0)))</f>
        <v>MKT-1-9827396510</v>
      </c>
      <c r="FO16" s="103"/>
      <c r="FP16" s="101" t="str">
        <f>IF(FO16=0,"",IF(FO16=VLOOKUP("PCS-OzTL42",[2]ARBOR!$A:$C,3,0),0.0001,IF(FO16&gt;VLOOKUP("PCS-OzTL42",[2]ARBOR!$A:$C,3,0),"Maior que CAP!",IF((DOLLAR(FO16+(VLOOKUP("PCS-OzTL42",[2]ARBOR!$A:$C,3,0)*-TRUNC(FO16/VLOOKUP("PCS-OzTL42",[2]ARBOR!$A:$C,3,0)-1,4)),6))&lt;&gt;(DOLLAR(VLOOKUP("PCS-OzTL42",[2]ARBOR!$A:$C,3,0),6)),-TRUNC(FO16/VLOOKUP("PCS-OzTL42",[2]ARBOR!$A:$C,3,0)-1,4)+0.0001,-TRUNC(FO16/VLOOKUP("PCS-OzTL42",[2]ARBOR!$A:$C,3,0)-1,4)))))</f>
        <v/>
      </c>
      <c r="FQ16" s="178" t="str">
        <f>IF(ISERROR(IF(FP16="","",VLOOKUP(($AY16&amp;FP16&amp;"Template desconto FLAT Plano Principal Oi TV nível conta"),[2]BENEFICIOS!$A:$G,5,0))),"Criar",IF(FP16="","",VLOOKUP(($AY16&amp;FP16&amp;"Template desconto FLAT Plano Principal Oi TV nível conta"),[2]BENEFICIOS!$A:$G,5,0)))</f>
        <v/>
      </c>
      <c r="FR16" s="103"/>
      <c r="FS16" s="101" t="str">
        <f>IF(FR16=0,"",IF(FR16=VLOOKUP("PCS-OzTL47",[2]ARBOR!$A:$C,3,0),0.0001,IF(FR16&gt;VLOOKUP("PCS-OzTL47",[2]ARBOR!$A:$C,3,0),"Maior que CAP!",IF((DOLLAR(FR16+(VLOOKUP("PCS-OzTL47",[2]ARBOR!$A:$C,3,0)*-TRUNC(FR16/VLOOKUP("PCS-OzTL47",[2]ARBOR!$A:$C,3,0)-1,4)),6))&lt;&gt;(DOLLAR(VLOOKUP("PCS-OzTL47",[2]ARBOR!$A:$C,3,0),6)),-TRUNC(FR16/VLOOKUP("PCS-OzTL47",[2]ARBOR!$A:$C,3,0)-1,4)+0.0001,-TRUNC(FR16/VLOOKUP("PCS-OzTL47",[2]ARBOR!$A:$C,3,0)-1,4)))))</f>
        <v/>
      </c>
      <c r="FT16" s="178" t="str">
        <f>IF(ISERROR(IF(FS16="","",VLOOKUP(($AY16&amp;FS16&amp;"Template desconto FLAT Plano Principal Oi TV nível conta"),[2]BENEFICIOS!$A:$G,5,0))),"Criar",IF(FS16="","",VLOOKUP(($AY16&amp;FS16&amp;"Template desconto FLAT Plano Principal Oi TV nível conta"),[2]BENEFICIOS!$A:$G,5,0)))</f>
        <v/>
      </c>
      <c r="FU16" s="103"/>
      <c r="FV16" s="101" t="str">
        <f>IF(FU16=0,"",IF(FU16=VLOOKUP("PCS-OzTL46",[2]ARBOR!$A:$C,3,0),0.0001,IF(FU16&gt;VLOOKUP("PCS-OzTL46",[2]ARBOR!$A:$C,3,0),"Maior que CAP!",IF((DOLLAR(FU16+(VLOOKUP("PCS-OzTL46",[2]ARBOR!$A:$C,3,0)*-TRUNC(FU16/VLOOKUP("PCS-OzTL46",[2]ARBOR!$A:$C,3,0)-1,4)),6))&lt;&gt;(DOLLAR(VLOOKUP("PCS-OzTL46",[2]ARBOR!$A:$C,3,0),6)),-TRUNC(FU16/VLOOKUP("PCS-OzTL46",[2]ARBOR!$A:$C,3,0)-1,4)+0.0001,-TRUNC(FU16/VLOOKUP("PCS-OzTL46",[2]ARBOR!$A:$C,3,0)-1,4)))))</f>
        <v/>
      </c>
      <c r="FW16" s="178" t="str">
        <f>IF(ISERROR(IF(FV16="","",VLOOKUP(($AY16&amp;FV16&amp;"Template desconto FLAT Plano Principal Oi TV nível conta"),[2]BENEFICIOS!$A:$G,5,0))),"Criar",IF(FV16="","",VLOOKUP(($AY16&amp;FV16&amp;"Template desconto FLAT Plano Principal Oi TV nível conta"),[2]BENEFICIOS!$A:$G,5,0)))</f>
        <v/>
      </c>
      <c r="FX16" s="103"/>
      <c r="FY16" s="101" t="str">
        <f>IF(FX16=0,"",IF(FX16=VLOOKUP("PCS-OzTL48",[2]ARBOR!$A:$C,3,0),0.0001,IF(FX16&gt;VLOOKUP("PCS-OzTL48",[2]ARBOR!$A:$C,3,0),"Maior que CAP!",IF((DOLLAR(FX16+(VLOOKUP("PCS-OzTL48",[2]ARBOR!$A:$C,3,0)*-TRUNC(FX16/VLOOKUP("PCS-OzTL48",[2]ARBOR!$A:$C,3,0)-1,4)),6))&lt;&gt;(DOLLAR(VLOOKUP("PCS-OzTL48",[2]ARBOR!$A:$C,3,0),6)),-TRUNC(FX16/VLOOKUP("PCS-OzTL48",[2]ARBOR!$A:$C,3,0)-1,4)+0.0001,-TRUNC(FX16/VLOOKUP("PCS-OzTL48",[2]ARBOR!$A:$C,3,0)-1,4)))))</f>
        <v/>
      </c>
      <c r="FZ16" s="178" t="str">
        <f>IF(ISERROR(IF(FY16="","",VLOOKUP(($AY16&amp;FY16&amp;"Template desconto FLAT Plano Principal Oi TV nível conta"),[2]BENEFICIOS!$A:$G,5,0))),"Criar",IF(FY16="","",VLOOKUP(($AY16&amp;FY16&amp;"Template desconto FLAT Plano Principal Oi TV nível conta"),[2]BENEFICIOS!$A:$G,5,0)))</f>
        <v/>
      </c>
      <c r="GA16" s="103"/>
      <c r="GB16" s="101" t="str">
        <f>IF(GA16=0,"",IF(GA16=VLOOKUP("PCS-OzTL742",[2]ARBOR!$A:$C,3,0),0.0001,IF(GA16&gt;VLOOKUP("PCS-OzTL742",[2]ARBOR!$A:$C,3,0),"Maior que CAP!",IF((DOLLAR(GA16+(VLOOKUP("PCS-OzTL742",[2]ARBOR!$A:$C,3,0)*-TRUNC(GA16/VLOOKUP("PCS-OzTL742",[2]ARBOR!$A:$C,3,0)-1,4)),6))&lt;&gt;(DOLLAR(VLOOKUP("PCS-OzTL742",[2]ARBOR!$A:$C,3,0),6)),-TRUNC(GA16/VLOOKUP("PCS-OzTL742",[2]ARBOR!$A:$C,3,0)-1,4)+0.0001,-TRUNC(GA16/VLOOKUP("PCS-OzTL742",[2]ARBOR!$A:$C,3,0)-1,4)))))</f>
        <v/>
      </c>
      <c r="GC16" s="178" t="str">
        <f>IF(ISERROR(IF(GB16="","",VLOOKUP(($AY16&amp;GB16&amp;"Template desconto FLAT Plano Principal Oi TV nível conta"),[2]BENEFICIOS!$A:$G,5,0))),"Criar",IF(GB16="","",VLOOKUP(($AY16&amp;GB16&amp;"Template desconto FLAT Plano Principal Oi TV nível conta"),[2]BENEFICIOS!$A:$G,5,0)))</f>
        <v/>
      </c>
      <c r="GD16" s="103"/>
      <c r="GE16" s="101" t="str">
        <f>IF(GD16=0,"",IF(GD16=VLOOKUP("PCS-OzTL747",[2]ARBOR!$A:$C,3,0),0.0001,IF(GD16&gt;VLOOKUP("PCS-OzTL747",[2]ARBOR!$A:$C,3,0),"Maior que CAP!",IF((DOLLAR(GD16+(VLOOKUP("PCS-OzTL747",[2]ARBOR!$A:$C,3,0)*-TRUNC(GD16/VLOOKUP("PCS-OzTL747",[2]ARBOR!$A:$C,3,0)-1,4)),6))&lt;&gt;(DOLLAR(VLOOKUP("PCS-OzTL747",[2]ARBOR!$A:$C,3,0),6)),-TRUNC(GD16/VLOOKUP("PCS-OzTL747",[2]ARBOR!$A:$C,3,0)-1,4)+0.0001,-TRUNC(GD16/VLOOKUP("PCS-OzTL747",[2]ARBOR!$A:$C,3,0)-1,4)))))</f>
        <v/>
      </c>
      <c r="GF16" s="178" t="str">
        <f>IF(ISERROR(IF(GE16="","",VLOOKUP(($AY16&amp;GE16&amp;"Template desconto FLAT Plano Principal Oi TV nível conta"),[2]BENEFICIOS!$A:$G,5,0))),"Criar",IF(GE16="","",VLOOKUP(($AY16&amp;GE16&amp;"Template desconto FLAT Plano Principal Oi TV nível conta"),[2]BENEFICIOS!$A:$G,5,0)))</f>
        <v/>
      </c>
      <c r="GG16" s="103"/>
      <c r="GH16" s="101" t="str">
        <f>IF(GG16=0,"",IF(GG16=VLOOKUP("PCS-OzTL746",[2]ARBOR!$A:$C,3,0),0.0001,IF(GG16&gt;VLOOKUP("PCS-OzTL746",[2]ARBOR!$A:$C,3,0),"Maior que CAP!",IF((DOLLAR(GG16+(VLOOKUP("PCS-OzTL746",[2]ARBOR!$A:$C,3,0)*-TRUNC(GG16/VLOOKUP("PCS-OzTL746",[2]ARBOR!$A:$C,3,0)-1,4)),6))&lt;&gt;(DOLLAR(VLOOKUP("PCS-OzTL746",[2]ARBOR!$A:$C,3,0),6)),-TRUNC(GG16/VLOOKUP("PCS-OzTL746",[2]ARBOR!$A:$C,3,0)-1,4)+0.0001,-TRUNC(GG16/VLOOKUP("PCS-OzTL746",[2]ARBOR!$A:$C,3,0)-1,4)))))</f>
        <v/>
      </c>
      <c r="GI16" s="178" t="str">
        <f>IF(ISERROR(IF(GH16="","",VLOOKUP(($AY16&amp;GH16&amp;"Template desconto FLAT Plano Principal Oi TV nível conta"),[2]BENEFICIOS!$A:$G,5,0))),"Criar",IF(GH16="","",VLOOKUP(($AY16&amp;GH16&amp;"Template desconto FLAT Plano Principal Oi TV nível conta"),[2]BENEFICIOS!$A:$G,5,0)))</f>
        <v/>
      </c>
      <c r="GJ16" s="103"/>
      <c r="GK16" s="101" t="str">
        <f>IF(GJ16=0,"",IF(GJ16=VLOOKUP("PCS-OzTL748",[2]ARBOR!$A:$C,3,0),0.0001,IF(GJ16&gt;VLOOKUP("PCS-OzTL748",[2]ARBOR!$A:$C,3,0),"Maior que CAP!",IF((DOLLAR(GJ16+(VLOOKUP("PCS-OzTL748",[2]ARBOR!$A:$C,3,0)*-TRUNC(GJ16/VLOOKUP("PCS-OzTL748",[2]ARBOR!$A:$C,3,0)-1,4)),6))&lt;&gt;(DOLLAR(VLOOKUP("PCS-OzTL748",[2]ARBOR!$A:$C,3,0),6)),-TRUNC(GJ16/VLOOKUP("PCS-OzTL748",[2]ARBOR!$A:$C,3,0)-1,4)+0.0001,-TRUNC(GJ16/VLOOKUP("PCS-OzTL748",[2]ARBOR!$A:$C,3,0)-1,4)))))</f>
        <v/>
      </c>
      <c r="GL16" s="178" t="str">
        <f>IF(ISERROR(IF(GK16="","",VLOOKUP(($AY16&amp;GK16&amp;"Template desconto FLAT Plano Principal Oi TV nível conta"),[2]BENEFICIOS!$A:$G,5,0))),"Criar",IF(GK16="","",VLOOKUP(($AY16&amp;GK16&amp;"Template desconto FLAT Plano Principal Oi TV nível conta"),[2]BENEFICIOS!$A:$G,5,0)))</f>
        <v/>
      </c>
      <c r="GM16" s="103">
        <v>75</v>
      </c>
      <c r="GN16" s="101">
        <f>IF(GM16=0,"",IF(GM16=VLOOKUP("PCS-OzTL34",[2]ARBOR!$A:$C,3,0),0.0001,IF(GM16&gt;VLOOKUP("PCS-OzTL34",[2]ARBOR!$A:$C,3,0),"Maior que CAP!",IF((DOLLAR(GM16+(VLOOKUP("PCS-OzTL34",[2]ARBOR!$A:$C,3,0)*-TRUNC(GM16/VLOOKUP("PCS-OzTL34",[2]ARBOR!$A:$C,3,0)-1,4)),6))&lt;&gt;(DOLLAR(VLOOKUP("PCS-OzTL34",[2]ARBOR!$A:$C,3,0),6)),-TRUNC(GM16/VLOOKUP("PCS-OzTL34",[2]ARBOR!$A:$C,3,0)-1,4)+0.0001,-TRUNC(GM16/VLOOKUP("PCS-OzTL34",[2]ARBOR!$A:$C,3,0)-1,4)))))</f>
        <v>0.31900000000000001</v>
      </c>
      <c r="GO16" s="178" t="s">
        <v>178</v>
      </c>
      <c r="GP16" s="103">
        <v>19.899999999999999</v>
      </c>
      <c r="GQ16" s="101">
        <f>IF(GP16=0,"",IF(GP16=VLOOKUP("PCS-OzTL31",[2]ARBOR!$A:$C,3,0),0.0001,IF(GP16&gt;VLOOKUP("PCS-OzTL31",[2]ARBOR!$A:$C,3,0),"Maior que CAP!",IF((DOLLAR(GP16+(VLOOKUP("PCS-OzTL31",[2]ARBOR!$A:$C,3,0)*-TRUNC(GP16/VLOOKUP("PCS-OzTL31",[2]ARBOR!$A:$C,3,0)-1,4)),6))&lt;&gt;(DOLLAR(VLOOKUP("PCS-OzTL31",[2]ARBOR!$A:$C,3,0),6)),-TRUNC(GP16/VLOOKUP("PCS-OzTL31",[2]ARBOR!$A:$C,3,0)-1,4)+0.0001,-TRUNC(GP16/VLOOKUP("PCS-OzTL31",[2]ARBOR!$A:$C,3,0)-1,4)))))</f>
        <v>9.1800000000000007E-2</v>
      </c>
      <c r="GR16" s="178" t="s">
        <v>179</v>
      </c>
      <c r="GS16" s="103">
        <v>19.899999999999999</v>
      </c>
      <c r="GT16" s="101">
        <f>IF(GS16=0,"",IF(GS16=VLOOKUP("PCS-OzTL32",[2]ARBOR!$A:$C,3,0),0.0001,IF(GS16&gt;VLOOKUP("PCS-OzTL32",[2]ARBOR!$A:$C,3,0),"Maior que CAP!",IF((DOLLAR(GS16+(VLOOKUP("PCS-OzTL32",[2]ARBOR!$A:$C,3,0)*-TRUNC(GS16/VLOOKUP("PCS-OzTL32",[2]ARBOR!$A:$C,3,0)-1,4)),6))&lt;&gt;(DOLLAR(VLOOKUP("PCS-OzTL32",[2]ARBOR!$A:$C,3,0),6)),-TRUNC(GS16/VLOOKUP("PCS-OzTL32",[2]ARBOR!$A:$C,3,0)-1,4)+0.0001,-TRUNC(GS16/VLOOKUP("PCS-OzTL32",[2]ARBOR!$A:$C,3,0)-1,4)))))</f>
        <v>9.1800000000000007E-2</v>
      </c>
      <c r="GU16" s="178" t="s">
        <v>180</v>
      </c>
      <c r="GV16" s="103">
        <v>29.9</v>
      </c>
      <c r="GW16" s="101">
        <f>IF(GV16=0,"",IF(GV16=VLOOKUP("PCS-OzTL33",[2]ARBOR!$A:$C,3,0),0.0001,IF(GV16&gt;VLOOKUP("PCS-OzTL33",[2]ARBOR!$A:$C,3,0),"Maior que CAP!",IF((DOLLAR(GV16+(VLOOKUP("PCS-OzTL33",[2]ARBOR!$A:$C,3,0)*-TRUNC(GV16/VLOOKUP("PCS-OzTL33",[2]ARBOR!$A:$C,3,0)-1,4)),6))&lt;&gt;(DOLLAR(VLOOKUP("PCS-OzTL33",[2]ARBOR!$A:$C,3,0),6)),-TRUNC(GV16/VLOOKUP("PCS-OzTL33",[2]ARBOR!$A:$C,3,0)-1,4)+0.0001,-TRUNC(GV16/VLOOKUP("PCS-OzTL33",[2]ARBOR!$A:$C,3,0)-1,4)))))</f>
        <v>9.1800000000000007E-2</v>
      </c>
      <c r="GX16" s="178" t="s">
        <v>181</v>
      </c>
      <c r="GY16" s="103">
        <v>14.9</v>
      </c>
      <c r="GZ16" s="101">
        <f>IF(GY16=0,"",IF(GY16=VLOOKUP("PCS-OzTL503",[2]ARBOR!$A:$C,3,0),0.0001,IF(GY16&gt;VLOOKUP("PCS-OzTL503",[2]ARBOR!$A:$C,3,0),"Maior que CAP!",IF((DOLLAR(GY16+(VLOOKUP("PCS-OzTL503",[2]ARBOR!$A:$C,3,0)*-TRUNC(GY16/VLOOKUP("PCS-OzTL503",[2]ARBOR!$A:$C,3,0)-1,4)),6))&lt;&gt;(DOLLAR(VLOOKUP("PCS-OzTL503",[2]ARBOR!$A:$C,3,0),6)),-TRUNC(GY16/VLOOKUP("PCS-OzTL503",[2]ARBOR!$A:$C,3,0)-1,4)+0.0001,-TRUNC(GY16/VLOOKUP("PCS-OzTL503",[2]ARBOR!$A:$C,3,0)-1,4)))))</f>
        <v>9.1499999999999998E-2</v>
      </c>
      <c r="HA16" s="178" t="s">
        <v>182</v>
      </c>
      <c r="HB16" s="103">
        <v>10</v>
      </c>
      <c r="HC16" s="101">
        <f>IF(HB16=0,"",IF(HB16=VLOOKUP("PCS-OzTL500",[2]ARBOR!$A:$C,3,0),0.0001,IF(HB16&gt;VLOOKUP("PCS-OzTL500",[2]ARBOR!$A:$C,3,0),"Maior que CAP!",IF((DOLLAR(HB16+(VLOOKUP("PCS-OzTL500",[2]ARBOR!$A:$C,3,0)*-TRUNC(HB16/VLOOKUP("PCS-OzTL500",[2]ARBOR!$A:$C,3,0)-1,4)),6))&lt;&gt;(DOLLAR(VLOOKUP("PCS-OzTL500",[2]ARBOR!$A:$C,3,0),6)),-TRUNC(HB16/VLOOKUP("PCS-OzTL500",[2]ARBOR!$A:$C,3,0)-1,4)+0.0001,-TRUNC(HB16/VLOOKUP("PCS-OzTL500",[2]ARBOR!$A:$C,3,0)-1,4)))))</f>
        <v>9.1800000000000007E-2</v>
      </c>
      <c r="HD16" s="178" t="s">
        <v>183</v>
      </c>
      <c r="HE16" s="103" t="s">
        <v>184</v>
      </c>
      <c r="HF16" s="101"/>
      <c r="HG16" s="178"/>
      <c r="HH16" s="103" t="s">
        <v>185</v>
      </c>
      <c r="HI16" s="101"/>
      <c r="HJ16" s="178"/>
      <c r="HK16" s="103" t="s">
        <v>186</v>
      </c>
      <c r="HL16" s="101"/>
      <c r="HM16" s="178"/>
      <c r="HN16" s="103" t="s">
        <v>187</v>
      </c>
      <c r="HO16" s="101"/>
      <c r="HP16" s="178"/>
      <c r="HQ16" s="103" t="s">
        <v>188</v>
      </c>
      <c r="HR16" s="101"/>
      <c r="HS16" s="178"/>
      <c r="HT16" s="103">
        <v>24.9</v>
      </c>
      <c r="HU16" s="101">
        <f>IF(HT16=0,"",IF(HT16=VLOOKUP("PCS-OzTL99",[2]ARBOR!$A:$C,3,0),0.0001,IF(HT16&gt;VLOOKUP("PCS-OzTL99",[2]ARBOR!$A:$C,3,0),"Maior que CAP!",IF((DOLLAR(HT16+(VLOOKUP("PCS-OzTL99",[2]ARBOR!$A:$C,3,0)*-TRUNC(HT16/VLOOKUP("PCS-OzTL99",[2]ARBOR!$A:$C,3,0)-1,4)),6))&lt;&gt;(DOLLAR(VLOOKUP("PCS-OzTL99",[2]ARBOR!$A:$C,3,0),6)),-TRUNC(HT16/VLOOKUP("PCS-OzTL99",[2]ARBOR!$A:$C,3,0)-1,4)+0.0001,-TRUNC(HT16/VLOOKUP("PCS-OzTL99",[2]ARBOR!$A:$C,3,0)-1,4)))))</f>
        <v>0.16729999999999998</v>
      </c>
      <c r="HV16" s="179" t="s">
        <v>189</v>
      </c>
      <c r="HW16" s="170" t="s">
        <v>167</v>
      </c>
      <c r="HX16" s="178" t="str">
        <f t="shared" si="4"/>
        <v>PCS-34704</v>
      </c>
      <c r="HY16" s="180" t="str">
        <f>IFERROR((IF(AZ16="","",VLOOKUP(AZ16,[2]ARBOR!A:C,3,0))),"")</f>
        <v/>
      </c>
      <c r="HZ16" s="181"/>
      <c r="IA16" s="158" t="str">
        <f>IF(HZ16="","",ROUND(1-(HZ16/VLOOKUP(AZ16&amp;"ASS",[2]ARBOR!A:C,3,0)),4))</f>
        <v/>
      </c>
      <c r="IB16" s="158"/>
      <c r="IC16" s="182"/>
      <c r="ID16" s="183"/>
      <c r="IE16" s="101" t="str">
        <f>IF(ID16="","",ROUND(IF(ID16=0,"",IF(ID16=HY16,0.0001,1-((ID16+(VLOOKUP(AZ16&amp;"ASS",[2]ARBOR!A:C,3,0)-HZ16))/HY16))),4))</f>
        <v/>
      </c>
      <c r="IF16" s="101" t="str">
        <f>IF(ISERROR(IF(IE16="","",VLOOKUP(($AY16&amp;IE16&amp;"Template de desconto percentual FLAT Móvel - Conta Total - Varejo - Ganho Tributário Cross"),[2]BENEFICIOS!$A:$E,5,0))),"Criar",IF(IE16="","",VLOOKUP(($AY16&amp;IE16&amp;"Template de desconto percentual FLAT Móvel - Conta Total - Varejo - Ganho Tributário Cross"),[2]BENEFICIOS!$A:$E,5,0)))</f>
        <v/>
      </c>
      <c r="IG16" s="167"/>
      <c r="IH16" s="101"/>
      <c r="II16" s="184"/>
      <c r="IJ16" s="185"/>
      <c r="IK16" s="101"/>
      <c r="IL16" s="101"/>
      <c r="IM16" s="186"/>
      <c r="IN16" s="186"/>
      <c r="IO16" s="187"/>
      <c r="IP16" s="188" t="str">
        <f>IF(IO16=0,"",IF(IO16=VLOOKUP("PCS-813566",[2]ARBOR!$A:$C,3,0),0.0001,IF(IO16&gt;VLOOKUP("PCS-813566",[2]ARBOR!$A:$C,3,0),"Maior que CAP!",ROUND(-1*(IO16/VLOOKUP("PCS-813566",[2]ARBOR!$A:$C,3,0)-1),4))))</f>
        <v/>
      </c>
      <c r="IQ16" s="189" t="str">
        <f>IF(ISERROR(IF(IP16="","",VLOOKUP(("Oi Internet Pra Celular 300MB"&amp;IP16&amp;"Template Flat Instância Dados"),[2]BENEFICIOS!$A:$E,5,0))),"Criar",IF(IP16="","",VLOOKUP(("Oi Internet Pra Celular 300MB"&amp;IP16&amp;"Template Flat Instância Dados"),[2]BENEFICIOS!$A:$E,5,0)))</f>
        <v/>
      </c>
      <c r="IR16" s="190"/>
      <c r="IS16" s="191" t="str">
        <f>IF(IR16=0,"",IF(IR16=VLOOKUP("sva_bancas",[2]ARBOR!$A:$C,3,0),0.0001,IF(IR16&gt;VLOOKUP("sva_livros",[2]ARBOR!$A:$C,3,0),"Maior que CAP!",ROUND(-1*(IR16/VLOOKUP("sva_bancas",[2]ARBOR!$A:$C,3,0)-1),4))))</f>
        <v/>
      </c>
      <c r="IT16" s="192" t="str">
        <f>IF(ISERROR(IF(IS16="","",VLOOKUP(("Oi Internet Pra Celular 300MB"&amp;IS16&amp;"Template Desconto % SVA DADOS B2C"),[2]BENEFICIOS!$A:$E,5,0))),"Criar",IF(IS16="","",VLOOKUP(("Oi Internet Pra Celular 300MB"&amp;IS16&amp;"Template Desconto % SVA DADOS B2C"),[2]BENEFICIOS!$A:$E,5,0)))</f>
        <v/>
      </c>
      <c r="IU16" s="187"/>
      <c r="IV16" s="188" t="str">
        <f>IF(IU16=0,"",IF(IU16=VLOOKUP("PCS-813564",[2]ARBOR!$A:$C,3,0),0.0001,IF(IU16&gt;VLOOKUP("PCS-813564",[2]ARBOR!$A:$C,3,0),"Maior que CAP!",ROUND(-1*(IU16/VLOOKUP("PCS-813564",[2]ARBOR!$A:$C,3,0)-1),4))))</f>
        <v/>
      </c>
      <c r="IW16" s="189" t="str">
        <f>IF(ISERROR(IF(IV16="","",VLOOKUP(("Oi Internet Pra Celular 500MB"&amp;IV16&amp;"Template Flat Instância Dados"),[2]BENEFICIOS!$A:$E,5,0))),"Criar",IF(IV16="","",VLOOKUP(("Oi Internet Pra Celular 500MB"&amp;IV16&amp;"Template Flat Instância Dados"),[2]BENEFICIOS!$A:$E,5,0)))</f>
        <v/>
      </c>
      <c r="IX16" s="190"/>
      <c r="IY16" s="191" t="str">
        <f>IF(IX16=0,"",IF(IX16=VLOOKUP("sva_livros",[2]ARBOR!$A:$C,3,0),0.0001,IF(IX16&gt;VLOOKUP("sva_livros",[2]ARBOR!$A:$C,3,0),"Maior que CAP!",ROUND(-1*(IX16/VLOOKUP("sva_livros",[2]ARBOR!$A:$C,3,0)-1),4))))</f>
        <v/>
      </c>
      <c r="IZ16" s="192" t="str">
        <f>IF(ISERROR(IF(IY16="","",VLOOKUP(("Oi Internet Pra Celular 500MB"&amp;IY16&amp;"Template Desconto % SVA DADOS B2C"),[2]BENEFICIOS!$A:$E,5,0))),"Criar",IF(IY16="","",VLOOKUP(("Oi Internet Pra Celular 500MB"&amp;IY16&amp;"Template Desconto % SVA DADOS B2C"),[2]BENEFICIOS!$A:$E,5,0)))</f>
        <v/>
      </c>
      <c r="JA16" s="187"/>
      <c r="JB16" s="188" t="str">
        <f>IF(JA16=0,"",IF(JA16=VLOOKUP("PCS-10357",[2]ARBOR!$A:$C,3,0),0.0001,IF(JA16&gt;VLOOKUP("PCS-10357",[2]ARBOR!$A:$C,3,0),"Maior que CAP!",ROUND(-1*(JA16/VLOOKUP("PCS-10357",[2]ARBOR!$A:$C,3,0)-1),4))))</f>
        <v/>
      </c>
      <c r="JC16" s="189" t="str">
        <f>IF(ISERROR(IF(JB16="","",VLOOKUP(("Oi Internet Pra Celular 1GB"&amp;JB16&amp;"Template Flat Instância Dados"),[2]BENEFICIOS!$A:$E,5,0))),"Criar",IF(JB16="","",VLOOKUP(("Oi Internet Pra Celular 1GB"&amp;JB16&amp;"Template Flat Instância Dados"),[2]BENEFICIOS!$A:$E,5,0)))</f>
        <v/>
      </c>
      <c r="JD16" s="190"/>
      <c r="JE16" s="191" t="str">
        <f>IF(JD16=0,"",IF(JD16=VLOOKUP("sva_livros",[2]ARBOR!$A:$C,3,0),0.0001,IF(JD16&gt;VLOOKUP("sva_livros",[2]ARBOR!$A:$C,3,0),"Maior que CAP!",ROUND(-1*(JD16/VLOOKUP("sva_livros",[2]ARBOR!$A:$C,3,0)-1),4))))</f>
        <v/>
      </c>
      <c r="JF16" s="192" t="str">
        <f>IF(ISERROR(IF(JE16="","",VLOOKUP(("Oi Internet Pra Celular 1GB"&amp;JE16&amp;"Template Desconto % SVA DADOS B2C"),[2]BENEFICIOS!$A:$E,5,0))),"Criar",IF(JE16="","",VLOOKUP(("Oi Internet Pra Celular 1GB"&amp;JE16&amp;"Template Desconto % SVA DADOS B2C"),[2]BENEFICIOS!$A:$E,5,0)))</f>
        <v/>
      </c>
      <c r="JG16" s="187"/>
      <c r="JH16" s="188" t="str">
        <f>IF(JG16=0,"",IF(JG16=VLOOKUP("PCS-813565",[2]ARBOR!$A:$C,3,0),0.0001,IF(JG16&gt;VLOOKUP("PCS-813565",[2]ARBOR!$A:$C,3,0),"Maior que CAP!",ROUND(-1*(JG16/VLOOKUP("PCS-813565",[2]ARBOR!$A:$C,3,0)-1),4))))</f>
        <v/>
      </c>
      <c r="JI16" s="189" t="str">
        <f>IF(ISERROR(IF(JH16="","",VLOOKUP(("Oi Internet Pra Celular 2GB"&amp;JH16&amp;"Template Flat Instância Dados"),[2]BENEFICIOS!$A:$E,5,0))),"Criar",IF(JH16="","",VLOOKUP(("Oi Internet Pra Celular 2GB"&amp;JH16&amp;"Template Flat Instância Dados"),[2]BENEFICIOS!$A:$E,5,0)))</f>
        <v/>
      </c>
      <c r="JJ16" s="190"/>
      <c r="JK16" s="191" t="str">
        <f>IF(JJ16=0,"",IF(JJ16=VLOOKUP("sva_livros",[2]ARBOR!$A:$C,3,0),0.0001,IF(JJ16&gt;VLOOKUP("sva_livros",[2]ARBOR!$A:$C,3,0),"Maior que CAP!",ROUND(-1*(JJ16/VLOOKUP("sva_livros",[2]ARBOR!$A:$C,3,0)-1),4))))</f>
        <v/>
      </c>
      <c r="JL16" s="192" t="str">
        <f>IF(ISERROR(IF(JK16="","",VLOOKUP(("Oi Internet Pra Celular 2GB"&amp;JK16&amp;"Template Desconto % SVA DADOS B2C"),[2]BENEFICIOS!$A:$E,5,0))),"Criar",IF(JK16="","",VLOOKUP(("Oi Internet Pra Celular 2GB"&amp;JK16&amp;"Template Desconto % SVA DADOS B2C"),[2]BENEFICIOS!$A:$E,5,0)))</f>
        <v/>
      </c>
      <c r="JM16" s="187"/>
      <c r="JN16" s="188" t="str">
        <f>IF(JM16=0,"",IF(JM16=VLOOKUP("PCS-7171B",[2]ARBOR!$A:$C,3,0),0.0001,IF(JM16&gt;VLOOKUP("PCS-7171B",[2]ARBOR!$A:$C,3,0),"Maior que CAP!",ROUND(-1*(JM16/VLOOKUP("PCS-7171B",[2]ARBOR!$A:$C,3,0)-1),4))))</f>
        <v/>
      </c>
      <c r="JO16" s="189" t="str">
        <f>IF(ISERROR(IF(JN16="","",VLOOKUP(("Oi Internet Pra Celular 3GB"&amp;JN16&amp;"Template Flat Instância Dados"),[2]BENEFICIOS!$A:$E,5,0))),"Criar",IF(JN16="","",VLOOKUP(("Oi Internet Pra Celular 3GB"&amp;JN16&amp;"Template Flat Instância Dados"),[2]BENEFICIOS!$A:$E,5,0)))</f>
        <v/>
      </c>
      <c r="JP16" s="190"/>
      <c r="JQ16" s="191" t="str">
        <f>IF(JP16=0,"",IF(JP16=VLOOKUP("sva_livros",[2]ARBOR!$A:$C,3,0),0.0001,IF(JP16&gt;VLOOKUP("sva_livros",[2]ARBOR!$A:$C,3,0),"Maior que CAP!",ROUND(-1*(JP16/VLOOKUP("sva_livros",[2]ARBOR!$A:$C,3,0)-1),4))))</f>
        <v/>
      </c>
      <c r="JR16" s="192" t="str">
        <f>IF(ISERROR(IF(JQ16="","",VLOOKUP(("Oi Internet Pra Celular 3GB"&amp;JQ16&amp;"Template Desconto % SVA DADOS B2C"),[2]BENEFICIOS!$A:$E,5,0))),"Criar",IF(JQ16="","",VLOOKUP(("Oi Internet Pra Celular 3GB"&amp;JQ16&amp;"Template Desconto % SVA DADOS B2C"),[2]BENEFICIOS!$A:$E,5,0)))</f>
        <v/>
      </c>
      <c r="JS16" s="187"/>
      <c r="JT16" s="188" t="str">
        <f>IF(JS16=0,"",IF(JS16=VLOOKUP("PCS-51793o08",[2]ARBOR!$A:$C,3,0),0.0001,IF(JS16&gt;VLOOKUP("PCS-51793o08",[2]ARBOR!$A:$C,3,0),"Maior que CAP!",ROUND(-1*(JS16/VLOOKUP("PCS-51793o08",[2]ARBOR!$A:$C,3,0)-1),4))))</f>
        <v/>
      </c>
      <c r="JU16" s="189" t="str">
        <f>IF(ISERROR(IF(JT16="","",VLOOKUP(("Oi Internet Pra Celular 5GB"&amp;JT16&amp;"Template Flat Instância Dados"),[2]BENEFICIOS!$A:$E,5,0))),"Criar",IF(JT16="","",VLOOKUP(("Oi Internet Pra Celular 5GB"&amp;JT16&amp;"Template Flat Instância Dados"),[2]BENEFICIOS!$A:$E,5,0)))</f>
        <v/>
      </c>
      <c r="JV16" s="190"/>
      <c r="JW16" s="191" t="str">
        <f>IF(JV16=0,"",IF(JV16=VLOOKUP("sva_curtas",[2]ARBOR!$A:$C,3,0),0.0001,IF(JV16&gt;VLOOKUP("sva_curtas",[2]ARBOR!$A:$C,3,0),"Maior que CAP!",ROUND(-1*(JV16/VLOOKUP("sva_curtas",[2]ARBOR!$A:$C,3,0)-1),4))))</f>
        <v/>
      </c>
      <c r="JX16" s="192" t="str">
        <f>IF(ISERROR(IF(JW16="","",VLOOKUP(("Oi Internet Pra Celular 5GB"&amp;JW16&amp;"Template Desconto % SVA DADOS B2C"),[2]BENEFICIOS!$A:$E,5,0))),"Criar",IF(JW16="","",VLOOKUP(("Oi Internet Pra Celular 5GB"&amp;JW16&amp;"Template Desconto % SVA DADOS B2C"),[2]BENEFICIOS!$A:$E,5,0)))</f>
        <v/>
      </c>
      <c r="JY16" s="187"/>
      <c r="JZ16" s="188" t="str">
        <f>IF(JY16=0,"",IF(JY16=VLOOKUP("PCS-7171A",[2]ARBOR!$A:$C,3,0),0.0001,IF(JY16&gt;VLOOKUP("PCS-7171A",[2]ARBOR!$A:$C,3,0),"Maior que CAP!",ROUND(-1*(JY16/VLOOKUP("PCS-7171A",[2]ARBOR!$A:$C,3,0)-1),4))))</f>
        <v/>
      </c>
      <c r="KA16" s="193" t="str">
        <f>IF(ISERROR(IF(JZ16="","",VLOOKUP(("Oi Internet Pra Celular 10GB"&amp;JZ16&amp;"Template Flat Instância Dados"),[2]BENEFICIOS!$A:$E,5,0))),"Criar",IF(JZ16="","",VLOOKUP(("Oi Internet Pra Celular 10GB"&amp;JZ16&amp;"Template Flat Instância Dados"),[2]BENEFICIOS!$A:$E,5,0)))</f>
        <v/>
      </c>
      <c r="KB16" s="190"/>
      <c r="KC16" s="191" t="str">
        <f>IF(KB16=0,"",IF(KB16=VLOOKUP("sva_curtas",[2]ARBOR!$A:$C,3,0),0.0001,IF(KB16&gt;VLOOKUP("sva_curtas",[2]ARBOR!$A:$C,3,0),"Maior que CAP!",ROUND(-1*(KB16/VLOOKUP("sva_curtas",[2]ARBOR!$A:$C,3,0)-1),4))))</f>
        <v/>
      </c>
      <c r="KD16" s="192" t="str">
        <f>IF(ISERROR(IF(KC16="","",VLOOKUP(("Oi Internet Pra Celular 10GB"&amp;KC16&amp;"Template Desconto % SVA DADOS B2C"),[2]BENEFICIOS!$A:$E,5,0))),"Criar",IF(KC16="","",VLOOKUP(("Oi Internet Pra Celular 10GB"&amp;KC16&amp;"Template Desconto % SVA DADOS B2C"),[2]BENEFICIOS!$A:$E,5,0)))</f>
        <v/>
      </c>
      <c r="KE16" s="194"/>
      <c r="KF16" s="195"/>
      <c r="KG16" s="196" t="s">
        <v>167</v>
      </c>
      <c r="KH16" s="197" t="s">
        <v>190</v>
      </c>
      <c r="KI16" s="198">
        <v>699</v>
      </c>
      <c r="KJ16" s="197">
        <v>12</v>
      </c>
      <c r="KK16" s="199" t="str">
        <f t="shared" si="5"/>
        <v>Oi benefício fidelização Multiprodutos</v>
      </c>
      <c r="KL16" s="200" t="str">
        <f t="shared" si="6"/>
        <v>PCS-Fk83324</v>
      </c>
      <c r="KM16" s="200" t="str">
        <f t="shared" si="7"/>
        <v>PCS-SBL553142</v>
      </c>
      <c r="KN16" s="201" t="s">
        <v>191</v>
      </c>
      <c r="KO16" s="202" t="s">
        <v>192</v>
      </c>
      <c r="KP16" s="202" t="s">
        <v>193</v>
      </c>
      <c r="KQ16" s="201" t="s">
        <v>194</v>
      </c>
      <c r="KR16" s="199" t="s">
        <v>195</v>
      </c>
      <c r="KS16" s="200" t="s">
        <v>196</v>
      </c>
      <c r="KT16" s="203" t="s">
        <v>197</v>
      </c>
      <c r="KU16" s="129" t="s">
        <v>198</v>
      </c>
      <c r="KV16" s="129" t="s">
        <v>198</v>
      </c>
      <c r="KW16" s="129">
        <v>234.91</v>
      </c>
      <c r="KX16" s="129">
        <v>244.91</v>
      </c>
      <c r="KY16" s="129">
        <v>279.90999999999997</v>
      </c>
      <c r="KZ16" s="129" t="s">
        <v>198</v>
      </c>
      <c r="LA16" s="129">
        <v>254.91</v>
      </c>
      <c r="LB16" s="129">
        <v>264.90999999999997</v>
      </c>
      <c r="LC16" s="129">
        <v>299.90999999999997</v>
      </c>
      <c r="LD16" s="129" t="s">
        <v>198</v>
      </c>
      <c r="LE16" s="129" t="s">
        <v>198</v>
      </c>
      <c r="LF16" s="129" t="s">
        <v>198</v>
      </c>
      <c r="LG16" s="129" t="s">
        <v>198</v>
      </c>
      <c r="LH16" s="129" t="s">
        <v>198</v>
      </c>
      <c r="LI16" s="129" t="s">
        <v>198</v>
      </c>
      <c r="LJ16" s="129" t="s">
        <v>198</v>
      </c>
      <c r="LK16" s="204" t="s">
        <v>198</v>
      </c>
      <c r="LL16" s="212"/>
      <c r="LM16" s="213"/>
      <c r="LN16" s="213"/>
      <c r="LO16" s="213"/>
      <c r="LP16" s="213"/>
      <c r="LQ16" s="213"/>
      <c r="LR16" s="213"/>
      <c r="LS16" s="213"/>
      <c r="LT16" s="213"/>
      <c r="LU16" s="214"/>
      <c r="LV16" t="s">
        <v>222</v>
      </c>
      <c r="LW16" t="s">
        <v>200</v>
      </c>
    </row>
    <row r="17" spans="1:335" x14ac:dyDescent="0.25">
      <c r="A17" s="134" t="s">
        <v>164</v>
      </c>
      <c r="B17" s="135" t="s">
        <v>165</v>
      </c>
      <c r="C17" s="135" t="s">
        <v>166</v>
      </c>
      <c r="D17" s="136" t="s">
        <v>167</v>
      </c>
      <c r="E17" s="137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9"/>
      <c r="Q17" s="139"/>
      <c r="R17" s="139"/>
      <c r="S17" s="140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41"/>
      <c r="AF17" s="138"/>
      <c r="AG17" s="138"/>
      <c r="AH17" s="142"/>
      <c r="AI17" s="209" t="s">
        <v>16</v>
      </c>
      <c r="AJ17" s="59" t="s">
        <v>168</v>
      </c>
      <c r="AK17" s="60" t="s">
        <v>209</v>
      </c>
      <c r="AL17" s="143">
        <v>43039</v>
      </c>
      <c r="AM17" s="144">
        <v>43159</v>
      </c>
      <c r="AN17" s="63" t="s">
        <v>170</v>
      </c>
      <c r="AO17" s="64" t="s">
        <v>170</v>
      </c>
      <c r="AP17" s="145"/>
      <c r="AQ17" s="145" t="s">
        <v>171</v>
      </c>
      <c r="AR17" s="145">
        <v>20</v>
      </c>
      <c r="AS17" s="145">
        <v>10000</v>
      </c>
      <c r="AT17" s="146" t="s">
        <v>172</v>
      </c>
      <c r="AU17" s="147" t="s">
        <v>167</v>
      </c>
      <c r="AV17" s="148" t="s">
        <v>173</v>
      </c>
      <c r="AW17" s="149" t="s">
        <v>173</v>
      </c>
      <c r="AX17" s="150" t="s">
        <v>16</v>
      </c>
      <c r="AY17" s="151" t="s">
        <v>203</v>
      </c>
      <c r="AZ17" s="152" t="str">
        <f>IF(ISERROR(VLOOKUP(AY17,[2]PLANOS!B:C,2,0)),"",VLOOKUP(AY17,[2]PLANOS!B:C,2,0))</f>
        <v>PCS-3PHipi</v>
      </c>
      <c r="BA17" s="153" t="s">
        <v>173</v>
      </c>
      <c r="BB17" s="154" t="str">
        <f t="shared" si="1"/>
        <v/>
      </c>
      <c r="BC17" s="155"/>
      <c r="BD17" s="156"/>
      <c r="BE17" s="157">
        <v>50.11</v>
      </c>
      <c r="BF17" s="101">
        <f>IF(BE17=0,"",IF(BE17=VLOOKUP("FIXO",[2]ARBOR!$A:$C,3,0),0.0001,IF(BE17&gt;VLOOKUP("FIXO",[2]ARBOR!$A:$C,3,0),"Maior que CAP!",IF((DOLLAR(BE17+(VLOOKUP("FIXO",[2]ARBOR!$A:$C,3,0)*-TRUNC(BE17/VLOOKUP("FIXO",[2]ARBOR!$A:$C,3,0)-1,4)),6))&lt;&gt;(DOLLAR(VLOOKUP("FIXO",[2]ARBOR!$A:$C,3,0),6)),-TRUNC(BE17/VLOOKUP("FIXO",[2]ARBOR!$A:$C,3,0)-1,4)+0.0001,-TRUNC(BE17/VLOOKUP("FIXO",[2]ARBOR!$A:$C,3,0)-1,4)))))</f>
        <v>0.33929999999999999</v>
      </c>
      <c r="BG17" s="158"/>
      <c r="BH17" s="101" t="str">
        <f>IF(BG17=0,"",IF(BG17=VLOOKUP("FIXO",[2]ARBOR!$A:$C,3,0),0.0001,IF(BG17&gt;VLOOKUP("FIXO",[2]ARBOR!$A:$C,3,0),"Maior que CAP!",IF((DOLLAR(BG17+(VLOOKUP("FIXO",[2]ARBOR!$A:$C,3,0)*-TRUNC(BG17/VLOOKUP("FIXO",[2]ARBOR!$A:$C,3,0)-1,4)),6))&lt;&gt;(DOLLAR(VLOOKUP("FIXO",[2]ARBOR!$A:$C,3,0),6)),-TRUNC(BG17/VLOOKUP("FIXO",[2]ARBOR!$A:$C,3,0)-1,4)+0.0001,-TRUNC(BG17/VLOOKUP("FIXO",[2]ARBOR!$A:$C,3,0)-1,4)))))</f>
        <v/>
      </c>
      <c r="BI17" s="101" t="str">
        <f>IF(ISERROR(IF(BF17="","",VLOOKUP(($AY17&amp;BF17&amp;"Template de desconto FLAT bundle - Fixo - Varejo - Ganho Tributário Cross"),[2]BENEFICIOS!$A:$E,5,0))),"Criar",IF(BF17="","",VLOOKUP(($AY17&amp;BF17&amp;"Template de desconto FLAT bundle - Fixo - Varejo - Ganho Tributário Cross"),[2]BENEFICIOS!$A:$E,5,0)))</f>
        <v>MKT-1-9825728196</v>
      </c>
      <c r="BJ17" s="159"/>
      <c r="BK17" s="101" t="str">
        <f t="shared" si="2"/>
        <v/>
      </c>
      <c r="BL17" s="160"/>
      <c r="BM17" s="101" t="str">
        <f>IF(BL17=0,"",IF(BL17=VLOOKUP("FIXO",[2]ARBOR!$A:$C,3,0),0.0001,IF(BL17&gt;VLOOKUP("FIXO",[2]ARBOR!$A:$C,3,0),"Maior que CAP!",IF(BF17&lt;&gt;"",-ROUND(BL17/VLOOKUP("FIXO",[2]ARBOR!$A:$C,3,0)-1,4)-BF17,-ROUND(BL17/VLOOKUP("FIXO",[2]ARBOR!$A:$C,3,0)-1,4)))))</f>
        <v/>
      </c>
      <c r="BN17" s="161"/>
      <c r="BO17" s="101" t="str">
        <f>IF(ISERROR(IF(BK17="","",VLOOKUP(($AY17&amp;BK17&amp;"Template de desconto FLAT bundle - Fixo - Varejo - Ganho Tributário Cross"),[2]BENEFICIOS!$A:$E,5,0))),"Criar",IF(BK17="","",VLOOKUP(($AY17&amp;BK17&amp;"Template de desconto FLAT bundle - Fixo - Varejo - Ganho Tributário Cross"),[2]BENEFICIOS!$A:$E,5,0)))</f>
        <v/>
      </c>
      <c r="BP17" s="162" t="s">
        <v>175</v>
      </c>
      <c r="BQ17" s="163" t="s">
        <v>176</v>
      </c>
      <c r="BR17" s="164" t="s">
        <v>173</v>
      </c>
      <c r="BS17" s="165" t="str">
        <f t="shared" si="0"/>
        <v/>
      </c>
      <c r="BT17" s="155"/>
      <c r="BU17" s="166"/>
      <c r="BV17" s="167" t="s">
        <v>210</v>
      </c>
      <c r="BW17" s="168">
        <v>44.9</v>
      </c>
      <c r="BX17" s="101">
        <f>IF(BW17=0,"",IF(BW17=VLOOKUP("PCS-30874g",[2]ARBOR!$A:$C,3,0),0.0001,IF(BW17&gt;VLOOKUP("PCS-30874g",[2]ARBOR!$A:$C,3,0),"Maior que CAP!",IF((DOLLAR(BW17+(VLOOKUP("PCS-30874g",[2]ARBOR!$A:$C,3,0)*-TRUNC(BW17/VLOOKUP("PCS-30874g",[2]ARBOR!$A:$C,3,0)-1,4)),6))&lt;&gt;(DOLLAR(VLOOKUP("PCS-30874g",[2]ARBOR!$A:$C,3,0),6)),-TRUNC(BW17/VLOOKUP("PCS-30874g",[2]ARBOR!$A:$C,3,0)-1,4)+0.0001,-TRUNC(BW17/VLOOKUP("PCS-30874g",[2]ARBOR!$A:$C,3,0)-1,4)))))</f>
        <v>0.53679999999999994</v>
      </c>
      <c r="BY17" s="163" t="str">
        <f>IF(ISERROR(IF(BX17="","",VLOOKUP(($AY17&amp;BX17&amp;"Template de desconto FLAT bundle - Velox XDSL - Varejo"),[2]BENEFICIOS!$A:$E,5,0))),"Criar",IF(BX17="","",VLOOKUP(($AY17&amp;BX17&amp;"Template de desconto FLAT bundle - Velox XDSL - Varejo"),[2]BENEFICIOS!$A:$E,5,0)))</f>
        <v>MKT-1-9829477373</v>
      </c>
      <c r="BZ17" s="167" t="s">
        <v>210</v>
      </c>
      <c r="CA17" s="168">
        <v>44.9</v>
      </c>
      <c r="CB17" s="101">
        <f>IF(CA17=0,"",IF(CA17=VLOOKUP("PCS-30577g",[2]ARBOR!$A:$C,3,0),0.0001,IF(CA17&gt;VLOOKUP("PCS-30577g",[2]ARBOR!$A:$C,3,0),"Maior que CAP!",IF((DOLLAR(CA17+(VLOOKUP("PCS-30577g",[2]ARBOR!$A:$C,3,0)*-TRUNC(CA17/VLOOKUP("PCS-30577g",[2]ARBOR!$A:$C,3,0)-1,4)),6))&lt;&gt;(DOLLAR(VLOOKUP("PCS-30577g",[2]ARBOR!$A:$C,3,0),6)),-TRUNC(CA17/VLOOKUP("PCS-30577g",[2]ARBOR!$A:$C,3,0)-1,4)+0.0001,-TRUNC(CA17/VLOOKUP("PCS-30577g",[2]ARBOR!$A:$C,3,0)-1,4)))))</f>
        <v>0.53679999999999994</v>
      </c>
      <c r="CC17" s="163" t="str">
        <f>IF(ISERROR(IF(CB17="","",VLOOKUP(($AY17&amp;CB17&amp;"Template de desconto FLAT bundle - Velox XDSL - Varejo"),[2]BENEFICIOS!$A:$E,5,0))),"Criar",IF(CB17="","",VLOOKUP(($AY17&amp;CB17&amp;"Template de desconto FLAT bundle - Velox XDSL - Varejo"),[2]BENEFICIOS!$A:$E,5,0)))</f>
        <v>MKT-1-9829477373</v>
      </c>
      <c r="CD17" s="167" t="s">
        <v>210</v>
      </c>
      <c r="CE17" s="168">
        <v>44.9</v>
      </c>
      <c r="CF17" s="101">
        <f>IF(CE17=0,"",IF(CE17=VLOOKUP("PCS-30604g",[2]ARBOR!$A:$C,3,0),0.0001,IF(CE17&gt;VLOOKUP("PCS-30604g",[2]ARBOR!$A:$C,3,0),"Maior que CAP!",IF((DOLLAR(CE17+(VLOOKUP("PCS-30604g",[2]ARBOR!$A:$C,3,0)*-TRUNC(CE17/VLOOKUP("PCS-30604g",[2]ARBOR!$A:$C,3,0)-1,4)),6))&lt;&gt;(DOLLAR(VLOOKUP("PCS-30604g",[2]ARBOR!$A:$C,3,0),6)),-TRUNC(CE17/VLOOKUP("PCS-30604g",[2]ARBOR!$A:$C,3,0)-1,4)+0.0001,-TRUNC(CE17/VLOOKUP("PCS-30604g",[2]ARBOR!$A:$C,3,0)-1,4)))))</f>
        <v>0.53679999999999994</v>
      </c>
      <c r="CG17" s="163" t="str">
        <f>IF(ISERROR(IF(CF17="","",VLOOKUP(($AY17&amp;CF17&amp;"Template de desconto FLAT bundle - Velox XDSL - Varejo"),[2]BENEFICIOS!$A:$E,5,0))),"Criar",IF(CF17="","",VLOOKUP(($AY17&amp;CF17&amp;"Template de desconto FLAT bundle - Velox XDSL - Varejo"),[2]BENEFICIOS!$A:$E,5,0)))</f>
        <v>MKT-1-9829477373</v>
      </c>
      <c r="CH17" s="167" t="s">
        <v>210</v>
      </c>
      <c r="CI17" s="168">
        <v>44.9</v>
      </c>
      <c r="CJ17" s="101">
        <f>IF(CI17=0,"",IF(CI17=VLOOKUP("PCS-30631g",[2]ARBOR!$A:$C,3,0),0.0001,IF(CI17&gt;VLOOKUP("PCS-30631g",[2]ARBOR!$A:$C,3,0),"Maior que CAP!",IF((DOLLAR(CI17+(VLOOKUP("PCS-30631g",[2]ARBOR!$A:$C,3,0)*-TRUNC(CI17/VLOOKUP("PCS-30631g",[2]ARBOR!$A:$C,3,0)-1,4)),6))&lt;&gt;(DOLLAR(VLOOKUP("PCS-30631g",[2]ARBOR!$A:$C,3,0),6)),-TRUNC(CI17/VLOOKUP("PCS-30631g",[2]ARBOR!$A:$C,3,0)-1,4)+0.0001,-TRUNC(CI17/VLOOKUP("PCS-30631g",[2]ARBOR!$A:$C,3,0)-1,4)))))</f>
        <v>0.54310000000000003</v>
      </c>
      <c r="CK17" s="163" t="str">
        <f>IF(ISERROR(IF(CJ17="","",VLOOKUP(($AY17&amp;CJ17&amp;"Template de desconto FLAT bundle - Velox XDSL - Varejo"),[2]BENEFICIOS!$A:$E,5,0))),"Criar",IF(CJ17="","",VLOOKUP(($AY17&amp;CJ17&amp;"Template de desconto FLAT bundle - Velox XDSL - Varejo"),[2]BENEFICIOS!$A:$E,5,0)))</f>
        <v>MKT-1-9828219079</v>
      </c>
      <c r="CL17" s="167" t="s">
        <v>104</v>
      </c>
      <c r="CM17" s="168">
        <v>49.9</v>
      </c>
      <c r="CN17" s="101">
        <f>IF(CM17=0,"",IF(CM17=VLOOKUP("PCS-30658g",[2]ARBOR!$A:$C,3,0),0.0001,IF(CM17&gt;VLOOKUP("PCS-30658g",[2]ARBOR!$A:$C,3,0),"Maior que CAP!",IF((DOLLAR(CM17+(VLOOKUP("PCS-30658g",[2]ARBOR!$A:$C,3,0)*-TRUNC(CM17/VLOOKUP("PCS-30658g",[2]ARBOR!$A:$C,3,0)-1,4)),6))&lt;&gt;(DOLLAR(VLOOKUP("PCS-30658g",[2]ARBOR!$A:$C,3,0),6)),-TRUNC(CM17/VLOOKUP("PCS-30658g",[2]ARBOR!$A:$C,3,0)-1,4)+0.0001,-TRUNC(CM17/VLOOKUP("PCS-30658g",[2]ARBOR!$A:$C,3,0)-1,4)))))</f>
        <v>0.55569999999999997</v>
      </c>
      <c r="CO17" s="163" t="str">
        <f>IF(ISERROR(IF(CN17="","",VLOOKUP(($AY17&amp;CN17&amp;"Template de desconto FLAT bundle - Velox XDSL - Varejo"),[2]BENEFICIOS!$A:$E,5,0))),"Criar",IF(CN17="","",VLOOKUP(($AY17&amp;CN17&amp;"Template de desconto FLAT bundle - Velox XDSL - Varejo"),[2]BENEFICIOS!$A:$E,5,0)))</f>
        <v>MKT-1-9828243608</v>
      </c>
      <c r="CP17" s="167" t="s">
        <v>104</v>
      </c>
      <c r="CQ17" s="168">
        <v>49.9</v>
      </c>
      <c r="CR17" s="101">
        <f>IF(CQ17=0,"",IF(CQ17=VLOOKUP("PCS-30685g",[2]ARBOR!$A:$C,3,0),0.0001,IF(CQ17&gt;VLOOKUP("PCS-30685g",[2]ARBOR!$A:$C,3,0),"Maior que CAP!",IF((DOLLAR(CQ17+(VLOOKUP("PCS-30685g",[2]ARBOR!$A:$C,3,0)*-TRUNC(CQ17/VLOOKUP("PCS-30685g",[2]ARBOR!$A:$C,3,0)-1,4)),6))&lt;&gt;(DOLLAR(VLOOKUP("PCS-30685g",[2]ARBOR!$A:$C,3,0),6)),-TRUNC(CQ17/VLOOKUP("PCS-30685g",[2]ARBOR!$A:$C,3,0)-1,4)+0.0001,-TRUNC(CQ17/VLOOKUP("PCS-30685g",[2]ARBOR!$A:$C,3,0)-1,4)))))</f>
        <v>0.60509999999999997</v>
      </c>
      <c r="CS17" s="163" t="str">
        <f>IF(ISERROR(IF(CR17="","",VLOOKUP(($AY17&amp;CR17&amp;"Template de desconto FLAT bundle - Velox XDSL - Varejo"),[2]BENEFICIOS!$A:$E,5,0))),"Criar",IF(CR17="","",VLOOKUP(($AY17&amp;CR17&amp;"Template de desconto FLAT bundle - Velox XDSL - Varejo"),[2]BENEFICIOS!$A:$E,5,0)))</f>
        <v>MKT-1-9828260647</v>
      </c>
      <c r="CT17" s="167" t="s">
        <v>104</v>
      </c>
      <c r="CU17" s="168">
        <v>49.9</v>
      </c>
      <c r="CV17" s="101">
        <f>IF(CU17=0,"",IF(CU17=VLOOKUP("PCS-30712g",[2]ARBOR!$A:$C,3,0),0.0001,IF(CU17&gt;VLOOKUP("PCS-30712g",[2]ARBOR!$A:$C,3,0),"Maior que CAP!",IF((DOLLAR(CU17+(VLOOKUP("PCS-30712g",[2]ARBOR!$A:$C,3,0)*-TRUNC(CU17/VLOOKUP("PCS-30712g",[2]ARBOR!$A:$C,3,0)-1,4)),6))&lt;&gt;(DOLLAR(VLOOKUP("PCS-30712g",[2]ARBOR!$A:$C,3,0),6)),-TRUNC(CU17/VLOOKUP("PCS-30712g",[2]ARBOR!$A:$C,3,0)-1,4)+0.0001,-TRUNC(CU17/VLOOKUP("PCS-30712g",[2]ARBOR!$A:$C,3,0)-1,4)))))</f>
        <v>0.64459999999999995</v>
      </c>
      <c r="CW17" s="163" t="str">
        <f>IF(ISERROR(IF(CV17="","",VLOOKUP(($AY17&amp;CV17&amp;"Template de desconto FLAT bundle - Velox XDSL - Varejo"),[2]BENEFICIOS!$A:$E,5,0))),"Criar",IF(CV17="","",VLOOKUP(($AY17&amp;CV17&amp;"Template de desconto FLAT bundle - Velox XDSL - Varejo"),[2]BENEFICIOS!$A:$E,5,0)))</f>
        <v>MKT-1-9828260926</v>
      </c>
      <c r="CX17" s="167" t="s">
        <v>104</v>
      </c>
      <c r="CY17" s="168">
        <v>59.9</v>
      </c>
      <c r="CZ17" s="101">
        <f>IF(CY17=0,"",IF(CY17=VLOOKUP("PCS-30739g",[2]ARBOR!$A:$C,3,0),0.0001,IF(CY17&gt;VLOOKUP("PCS-30739g",[2]ARBOR!$A:$C,3,0),"Maior que CAP!",IF((DOLLAR(CY17+(VLOOKUP("PCS-30739g",[2]ARBOR!$A:$C,3,0)*-TRUNC(CY17/VLOOKUP("PCS-30739g",[2]ARBOR!$A:$C,3,0)-1,4)),6))&lt;&gt;(DOLLAR(VLOOKUP("PCS-30739g",[2]ARBOR!$A:$C,3,0),6)),-TRUNC(CY17/VLOOKUP("PCS-30739g",[2]ARBOR!$A:$C,3,0)-1,4)+0.0001,-TRUNC(CY17/VLOOKUP("PCS-30739g",[2]ARBOR!$A:$C,3,0)-1,4)))))</f>
        <v>0.71560000000000001</v>
      </c>
      <c r="DA17" s="169" t="str">
        <f>IF(ISERROR(IF(CZ17="","",VLOOKUP(($AY17&amp;CZ17&amp;"Template de desconto FLAT bundle - Velox XDSL - Varejo"),[2]BENEFICIOS!$A:$E,5,0))),"Criar",IF(CZ17="","",VLOOKUP(($AY17&amp;CZ17&amp;"Template de desconto FLAT bundle - Velox XDSL - Varejo"),[2]BENEFICIOS!$A:$E,5,0)))</f>
        <v>MKT-1-9828272465</v>
      </c>
      <c r="DB17" s="170">
        <v>29.95</v>
      </c>
      <c r="DC17" s="215">
        <v>6</v>
      </c>
      <c r="DD17" s="101">
        <f>IF(DB17=0,"",IF(DB17=VLOOKUP("PCS-30739g",[2]ARBOR!$A:$C,3,0),0.0001,IF(DB17&gt;VLOOKUP("PCS-30739g",[2]ARBOR!$A:$C,3,0),"Maior que CAP!",IF((DOLLAR(DB17+(VLOOKUP("PCS-30739g",[2]ARBOR!$A:$C,3,0)*-TRUNC(DB17/VLOOKUP("PCS-30739g",[2]ARBOR!$A:$C,3,0)-1,4)),6))&lt;&gt;(DOLLAR(VLOOKUP("PCS-30739g",[2]ARBOR!$A:$C,3,0),6)),(-TRUNC(DB17/VLOOKUP("PCS-30739g",[2]ARBOR!$A:$C,3,0)-1,4)+0.0001)-CZ17,-TRUNC(DB17/VLOOKUP("PCS-30739g",[2]ARBOR!$A:$C,3,0)-1,4)-CZ17))))</f>
        <v>0.14219999999999999</v>
      </c>
      <c r="DE17" s="163" t="str">
        <f>IF(ISERROR(IF(DD17="","",VLOOKUP(($AY17&amp;DD17&amp;"Template de desconto percentual Bundle - Velox XDSL - Varejo"),[2]BENEFICIOS!$A:$E,5,0))),"Criar",IF(DD17="","",VLOOKUP(($AY17&amp;DD17&amp;"Template de desconto percentual Bundle - Velox XDSL - Varejo"),[2]BENEFICIOS!$A:$E,5,0)))</f>
        <v>MKT-1-9832066535</v>
      </c>
      <c r="DF17" s="167" t="s">
        <v>104</v>
      </c>
      <c r="DG17" s="168">
        <v>59.9</v>
      </c>
      <c r="DH17" s="101">
        <f>IF(DG17=0,"",IF(DG17=VLOOKUP("PCS-30766g",[2]ARBOR!$A:$C,3,0),0.0001,IF(DG17&gt;VLOOKUP("PCS-30766g",[2]ARBOR!$A:$C,3,0),"Maior que CAP!",IF((DOLLAR(DG17+(VLOOKUP("PCS-30766g",[2]ARBOR!$A:$C,3,0)*-TRUNC(DG17/VLOOKUP("PCS-30766g",[2]ARBOR!$A:$C,3,0)-1,4)),6))&lt;&gt;(DOLLAR(VLOOKUP("PCS-30766g",[2]ARBOR!$A:$C,3,0),6)),-TRUNC(DG17/VLOOKUP("PCS-30766g",[2]ARBOR!$A:$C,3,0)-1,4)+0.0001,-TRUNC(DG17/VLOOKUP("PCS-30766g",[2]ARBOR!$A:$C,3,0)-1,4)))))</f>
        <v>0.78669999999999995</v>
      </c>
      <c r="DI17" s="169" t="str">
        <f>IF(ISERROR(IF(DH17="","",VLOOKUP(($AY17&amp;DH17&amp;"Template de desconto FLAT bundle - Velox XDSL - Varejo"),[2]BENEFICIOS!$A:$E,5,0))),"Criar",IF(DH17="","",VLOOKUP(($AY17&amp;DH17&amp;"Template de desconto FLAT bundle - Velox XDSL - Varejo"),[2]BENEFICIOS!$A:$E,5,0)))</f>
        <v>MKT-1-9828285890</v>
      </c>
      <c r="DJ17" s="170">
        <v>29.95</v>
      </c>
      <c r="DK17" s="215">
        <v>6</v>
      </c>
      <c r="DL17" s="101">
        <f>IF(DJ17=0,"",IF(DJ17=VLOOKUP("PCS-30766g",[2]ARBOR!$A:$C,3,0),0.0001,IF(DJ17&gt;VLOOKUP("PCS-30766g",[2]ARBOR!$A:$C,3,0),"Maior que CAP!",IF((DOLLAR(DJ17+(VLOOKUP("PCS-30766g",[2]ARBOR!$A:$C,3,0)*-TRUNC(DJ17/VLOOKUP("PCS-30766g",[2]ARBOR!$A:$C,3,0)-1,4)),6))&lt;&gt;(DOLLAR(VLOOKUP("PCS-30766g",[2]ARBOR!$A:$C,3,0),6)),(-TRUNC(DJ17/VLOOKUP("PCS-30766g",[2]ARBOR!$A:$C,3,0)-1,4)+0.0001)-DH17,-TRUNC(DJ17/VLOOKUP("PCS-30766g",[2]ARBOR!$A:$C,3,0)-1,4)-DH17))))</f>
        <v>0.10670000000000002</v>
      </c>
      <c r="DM17" s="163" t="str">
        <f>IF(ISERROR(IF(DL17="","",VLOOKUP(($AY17&amp;DL17&amp;"Template de desconto percentual Bundle - Velox XDSL - Varejo"),[2]BENEFICIOS!$A:$E,5,0))),"Criar",IF(DL17="","",VLOOKUP(($AY17&amp;DL17&amp;"Template de desconto percentual Bundle - Velox XDSL - Varejo"),[2]BENEFICIOS!$A:$E,5,0)))</f>
        <v>MKT-1-9832066763</v>
      </c>
      <c r="DN17" s="167" t="s">
        <v>210</v>
      </c>
      <c r="DO17" s="168">
        <v>69.900000000000006</v>
      </c>
      <c r="DP17" s="101">
        <f>IF(DO17=0,"",IF(DO17=VLOOKUP("PCS-30793g",[2]ARBOR!$A:$C,3,0),0.0001,IF(DO17&gt;VLOOKUP("PCS-30793g",[2]ARBOR!$A:$C,3,0),"Maior que CAP!",IF((DOLLAR(DO17+(VLOOKUP("PCS-30793g",[2]ARBOR!$A:$C,3,0)*-TRUNC(DO17/VLOOKUP("PCS-30793g",[2]ARBOR!$A:$C,3,0)-1,4)),6))&lt;&gt;(DOLLAR(VLOOKUP("PCS-30793g",[2]ARBOR!$A:$C,3,0),6)),-TRUNC(DO17/VLOOKUP("PCS-30793g",[2]ARBOR!$A:$C,3,0)-1,4)+0.0001,-TRUNC(DO17/VLOOKUP("PCS-30793g",[2]ARBOR!$A:$C,3,0)-1,4)))))</f>
        <v>0.75109999999999999</v>
      </c>
      <c r="DQ17" s="169" t="str">
        <f>IF(ISERROR(IF(DP17="","",VLOOKUP(($AY17&amp;DP17&amp;"Template de desconto FLAT bundle - Velox XDSL - Varejo"),[2]BENEFICIOS!$A:$E,5,0))),"Criar",IF(DP17="","",VLOOKUP(($AY17&amp;DP17&amp;"Template de desconto FLAT bundle - Velox XDSL - Varejo"),[2]BENEFICIOS!$A:$E,5,0)))</f>
        <v>MKT-1-9828314259</v>
      </c>
      <c r="DR17" s="170">
        <v>34.950000000000003</v>
      </c>
      <c r="DS17" s="215">
        <v>6</v>
      </c>
      <c r="DT17" s="101">
        <f>IF(DR17=0,"",IF(DR17=VLOOKUP("PCS-30793g",[2]ARBOR!$A:$C,3,0),0.0001,IF(DR17&gt;VLOOKUP("PCS-30793g",[2]ARBOR!$A:$C,3,0),"Maior que CAP!",IF((DOLLAR(DR17+(VLOOKUP("PCS-30793g",[2]ARBOR!$A:$C,3,0)*-TRUNC(DR17/VLOOKUP("PCS-30793g",[2]ARBOR!$A:$C,3,0)-1,4)),6))&lt;&gt;(DOLLAR(VLOOKUP("PCS-30793g",[2]ARBOR!$A:$C,3,0),6)),(-TRUNC(DR17/VLOOKUP("PCS-30793g",[2]ARBOR!$A:$C,3,0)-1,4)+0.0001)-DP17,-TRUNC(DR17/VLOOKUP("PCS-30793g",[2]ARBOR!$A:$C,3,0)-1,4)-DP17))))</f>
        <v>0.12449999999999994</v>
      </c>
      <c r="DU17" s="163" t="str">
        <f>IF(ISERROR(IF(DT17="","",VLOOKUP(($AY17&amp;DT17&amp;"Template de desconto percentual Bundle - Velox XDSL - Varejo"),[2]BENEFICIOS!$A:$E,5,0))),"Criar",IF(DT17="","",VLOOKUP(($AY17&amp;DT17&amp;"Template de desconto percentual Bundle - Velox XDSL - Varejo"),[2]BENEFICIOS!$A:$E,5,0)))</f>
        <v>MKT-1-9826047043</v>
      </c>
      <c r="DV17" s="167" t="s">
        <v>104</v>
      </c>
      <c r="DW17" s="168">
        <v>69.900000000000006</v>
      </c>
      <c r="DX17" s="101">
        <f>IF(DW17=0,"",IF(DW17=VLOOKUP("PCS-30820g",[2]ARBOR!$A:$C,3,0),0.0001,IF(DW17&gt;VLOOKUP("PCS-30820g",[2]ARBOR!$A:$C,3,0),"Maior que CAP!",IF((DOLLAR(DW17+(VLOOKUP("PCS-30820g",[2]ARBOR!$A:$C,3,0)*-TRUNC(DW17/VLOOKUP("PCS-30820g",[2]ARBOR!$A:$C,3,0)-1,4)),6))&lt;&gt;(DOLLAR(VLOOKUP("PCS-30820g",[2]ARBOR!$A:$C,3,0),6)),-TRUNC(DW17/VLOOKUP("PCS-30820g",[2]ARBOR!$A:$C,3,0)-1,4)+0.0001,-TRUNC(DW17/VLOOKUP("PCS-30820g",[2]ARBOR!$A:$C,3,0)-1,4)))))</f>
        <v>0.75109999999999999</v>
      </c>
      <c r="DY17" s="169" t="str">
        <f>IF(ISERROR(IF(DX17="","",VLOOKUP(($AY17&amp;DX17&amp;"Template de desconto FLAT bundle - Velox XDSL - Varejo"),[2]BENEFICIOS!$A:$E,5,0))),"Criar",IF(DX17="","",VLOOKUP(($AY17&amp;DX17&amp;"Template de desconto FLAT bundle - Velox XDSL - Varejo"),[2]BENEFICIOS!$A:$E,5,0)))</f>
        <v>MKT-1-9828314259</v>
      </c>
      <c r="DZ17" s="170">
        <v>34.950000000000003</v>
      </c>
      <c r="EA17" s="215">
        <v>6</v>
      </c>
      <c r="EB17" s="101">
        <f>IF(DZ17=0,"",IF(DZ17=VLOOKUP("PCS-30820g",[2]ARBOR!$A:$C,3,0),0.0001,IF(DZ17&gt;VLOOKUP("PCS-30820g",[2]ARBOR!$A:$C,3,0),"Maior que CAP!",IF((DOLLAR(DZ17+(VLOOKUP("PCS-30820g",[2]ARBOR!$A:$C,3,0)*-TRUNC(DZ17/VLOOKUP("PCS-30820g",[2]ARBOR!$A:$C,3,0)-1,4)),6))&lt;&gt;(DOLLAR(VLOOKUP("PCS-30820g",[2]ARBOR!$A:$C,3,0),6)),(-TRUNC(DZ17/VLOOKUP("PCS-30820g",[2]ARBOR!$A:$C,3,0)-1,4)+0.0001)-DX17,-TRUNC(DZ17/VLOOKUP("PCS-30820g",[2]ARBOR!$A:$C,3,0)-1,4)-DX17))))</f>
        <v>0.12449999999999994</v>
      </c>
      <c r="EC17" s="163" t="str">
        <f>IF(ISERROR(IF(EB17="","",VLOOKUP(($AY17&amp;EB17&amp;"Template de desconto percentual Bundle - Velox XDSL - Varejo"),[2]BENEFICIOS!$A:$E,5,0))),"Criar",IF(EB17="","",VLOOKUP(($AY17&amp;EB17&amp;"Template de desconto percentual Bundle - Velox XDSL - Varejo"),[2]BENEFICIOS!$A:$E,5,0)))</f>
        <v>MKT-1-9826047043</v>
      </c>
      <c r="ED17" s="172"/>
      <c r="EE17" s="101" t="str">
        <f>IF(ED17=0,"",IF(ED17=VLOOKUP("PCS-21448p2",[2]ARBOR!$A:$C,3,0),0.0001,IF(ED17&gt;VLOOKUP("PCS-21448p2",[2]ARBOR!$A:$C,3,0),"Maior que CAP!",IF((DOLLAR(ED17+(VLOOKUP("PCS-21448p2",[2]ARBOR!$A:$C,3,0)*-TRUNC(ED17/VLOOKUP("PCS-21448p2",[2]ARBOR!$A:$C,3,0)-1,4)),6))&lt;&gt;(DOLLAR(VLOOKUP("PCS-21448p2",[2]ARBOR!$A:$C,3,0),6)),-TRUNC(ED17/VLOOKUP("PCS-21448p2",[2]ARBOR!$A:$C,3,0)-1,4)+0.0001,-TRUNC(ED17/VLOOKUP("PCS-21448p2",[2]ARBOR!$A:$C,3,0)-1,4)))))</f>
        <v/>
      </c>
      <c r="EF17" s="101" t="str">
        <f>IF(ISERROR(IF(EE17="","",VLOOKUP(("Oi Conta Total Plug 10GB Downgrade"&amp;EE17&amp;"Template de desconto percentual BL Móvel - Internet Total - Varejo"),[2]BENEFICIOS!$A:$E,5,0))),"Criar",IF(EE17="","",VLOOKUP(("Oi Conta Total Plug 10GB Downgrade"&amp;EE17&amp;"Template de desconto percentual BL Móvel - Internet Total - Varejo"),[2]BENEFICIOS!$A:$E,5,0)))</f>
        <v/>
      </c>
      <c r="EG17" s="173">
        <v>19.899999999999999</v>
      </c>
      <c r="EH17" s="174">
        <f>IF(EG17=0,"",IF(EG17=VLOOKUP("SVA",[2]ARBOR!$A:$C,3,0),0.0001,IF(EG17&gt;VLOOKUP("SVA",[2]ARBOR!$A:$C,3,0),"Maior que CAP!",IF((DOLLAR(EG17+(VLOOKUP("SVA",[2]ARBOR!$A:$C,3,0)*-TRUNC(EG17/VLOOKUP("SVA",[2]ARBOR!$A:$C,3,0)-1,4)),6))&lt;&gt;(DOLLAR(VLOOKUP("SVA",[2]ARBOR!$A:$C,3,0),6)),-TRUNC(EG17/VLOOKUP("SVA",[2]ARBOR!$A:$C,3,0)-1,4)+0.0001,-TRUNC(EG17/VLOOKUP("SVA",[2]ARBOR!$A:$C,3,0)-1,4)))))</f>
        <v>7.1400000000000005E-2</v>
      </c>
      <c r="EI17" s="174" t="s">
        <v>211</v>
      </c>
      <c r="EJ17" s="175" t="s">
        <v>219</v>
      </c>
      <c r="EK17" s="176">
        <v>6</v>
      </c>
      <c r="EL17" s="177">
        <f t="shared" si="3"/>
        <v>0.92859999999999998</v>
      </c>
      <c r="EM17" s="174" t="s">
        <v>220</v>
      </c>
      <c r="EN17" s="103"/>
      <c r="EO17" s="101" t="str">
        <f>IF(EN17=0,"",IF(EN17=VLOOKUP("PCS-OzTL40",[2]ARBOR!$A:$C,3,0),0.0001,IF(EN17&gt;VLOOKUP("PCS-OzTL40",[2]ARBOR!$A:$C,3,0),"Maior que CAP!",IF((DOLLAR(EN17+(VLOOKUP("PCS-OzTL40",[2]ARBOR!$A:$C,3,0)*-TRUNC(EN17/VLOOKUP("PCS-OzTL40",[2]ARBOR!$A:$C,3,0)-1,4)),6))&lt;&gt;(DOLLAR(VLOOKUP("PCS-OzTL40",[2]ARBOR!$A:$C,3,0),6)),-TRUNC(EN17/VLOOKUP("PCS-OzTL40",[2]ARBOR!$A:$C,3,0)-1,4)+0.0001,-TRUNC(EN17/VLOOKUP("PCS-OzTL40",[2]ARBOR!$A:$C,3,0)-1,4)))))</f>
        <v/>
      </c>
      <c r="EP17" s="163" t="str">
        <f>IF(ISERROR(IF(EO17="","",VLOOKUP(($AY17&amp;EO17&amp;"Template desconto FLAT Plano Principal Oi TV nível conta"),[2]BENEFICIOS!$A:$G,5,0))),"Criar",IF(EO17="","",VLOOKUP(($AY17&amp;EO17&amp;"Template desconto FLAT Plano Principal Oi TV nível conta"),[2]BENEFICIOS!$A:$G,5,0)))</f>
        <v/>
      </c>
      <c r="EQ17" s="103"/>
      <c r="ER17" s="101" t="str">
        <f>IF(EQ17=0,"",IF(EQ17=VLOOKUP("PCS-OzTL41",[2]ARBOR!$A:$C,3,0),0.0001,IF(EQ17&gt;VLOOKUP("PCS-OzTL41",[2]ARBOR!$A:$C,3,0),"Maior que CAP!",IF((DOLLAR(EQ17+(VLOOKUP("PCS-OzTL41",[2]ARBOR!$A:$C,3,0)*-TRUNC(EQ17/VLOOKUP("PCS-OzTL41",[2]ARBOR!$A:$C,3,0)-1,4)),6))&lt;&gt;(DOLLAR(VLOOKUP("PCS-OzTL41",[2]ARBOR!$A:$C,3,0),6)),-TRUNC(EQ17/VLOOKUP("PCS-OzTL41",[2]ARBOR!$A:$C,3,0)-1,4)+0.0001,-TRUNC(EQ17/VLOOKUP("PCS-OzTL41",[2]ARBOR!$A:$C,3,0)-1,4)))))</f>
        <v/>
      </c>
      <c r="ES17" s="178" t="str">
        <f>IF(ISERROR(IF(ER17="","",VLOOKUP(($AY17&amp;ER17&amp;"Template desconto FLAT Plano Principal Oi TV nível conta"),[2]BENEFICIOS!$A:$G,5,0))),"Criar",IF(ER17="","",VLOOKUP(($AY17&amp;ER17&amp;"Template desconto FLAT Plano Principal Oi TV nível conta"),[2]BENEFICIOS!$A:$G,5,0)))</f>
        <v/>
      </c>
      <c r="ET17" s="103"/>
      <c r="EU17" s="101" t="str">
        <f>IF(ET17=0,"",IF(ET17=VLOOKUP("PCS-OzTL44",[2]ARBOR!$A:$C,3,0),0.0001,IF(ET17&gt;VLOOKUP("PCS-OzTL44",[2]ARBOR!$A:$C,3,0),"Maior que CAP!",IF((DOLLAR(ET17+(VLOOKUP("PCS-OzTL44",[2]ARBOR!$A:$C,3,0)*-TRUNC(ET17/VLOOKUP("PCS-OzTL44",[2]ARBOR!$A:$C,3,0)-1,4)),6))&lt;&gt;(DOLLAR(VLOOKUP("PCS-OzTL44",[2]ARBOR!$A:$C,3,0),6)),-TRUNC(ET17/VLOOKUP("PCS-OzTL44",[2]ARBOR!$A:$C,3,0)-1,4)+0.0001,-TRUNC(ET17/VLOOKUP("PCS-OzTL44",[2]ARBOR!$A:$C,3,0)-1,4)))))</f>
        <v/>
      </c>
      <c r="EV17" s="178" t="str">
        <f>IF(ISERROR(IF(EU17="","",VLOOKUP(($AY17&amp;EU17&amp;"Template desconto FLAT Plano Principal Oi TV nível conta"),[2]BENEFICIOS!$A:$G,5,0))),"Criar",IF(EU17="","",VLOOKUP(($AY17&amp;EU17&amp;"Template desconto FLAT Plano Principal Oi TV nível conta"),[2]BENEFICIOS!$A:$G,5,0)))</f>
        <v/>
      </c>
      <c r="EW17" s="103"/>
      <c r="EX17" s="101" t="str">
        <f>IF(EW17=0,"",IF(EW17=VLOOKUP("PCS-OzTL43",[2]ARBOR!$A:$C,3,0),0.0001,IF(EW17&gt;VLOOKUP("PCS-OzTL43",[2]ARBOR!$A:$C,3,0),"Maior que CAP!",IF((DOLLAR(EW17+(VLOOKUP("PCS-OzTL43",[2]ARBOR!$A:$C,3,0)*-TRUNC(EW17/VLOOKUP("PCS-OzTL43",[2]ARBOR!$A:$C,3,0)-1,4)),6))&lt;&gt;(DOLLAR(VLOOKUP("PCS-OzTL43",[2]ARBOR!$A:$C,3,0),6)),-TRUNC(EW17/VLOOKUP("PCS-OzTL43",[2]ARBOR!$A:$C,3,0)-1,4)+0.0001,-TRUNC(EW17/VLOOKUP("PCS-OzTL43",[2]ARBOR!$A:$C,3,0)-1,4)))))</f>
        <v/>
      </c>
      <c r="EY17" s="178" t="str">
        <f>IF(ISERROR(IF(EX17="","",VLOOKUP(($AY17&amp;EX17&amp;"Template desconto FLAT Plano Principal Oi TV nível conta"),[2]BENEFICIOS!$A:$G,5,0))),"Criar",IF(EX17="","",VLOOKUP(($AY17&amp;EX17&amp;"Template desconto FLAT Plano Principal Oi TV nível conta"),[2]BENEFICIOS!$A:$G,5,0)))</f>
        <v/>
      </c>
      <c r="EZ17" s="103"/>
      <c r="FA17" s="101" t="str">
        <f>IF(EZ17=0,"",IF(EZ17=VLOOKUP("PCS-OzTL45",[2]ARBOR!$A:$C,3,0),0.0001,IF(EZ17&gt;VLOOKUP("PCS-OzTL45",[2]ARBOR!$A:$C,3,0),"Maior que CAP!",IF((DOLLAR(EZ17+(VLOOKUP("PCS-OzTL45",[2]ARBOR!$A:$C,3,0)*-TRUNC(EZ17/VLOOKUP("PCS-OzTL45",[2]ARBOR!$A:$C,3,0)-1,4)),6))&lt;&gt;(DOLLAR(VLOOKUP("PCS-OzTL45",[2]ARBOR!$A:$C,3,0),6)),-TRUNC(EZ17/VLOOKUP("PCS-OzTL45",[2]ARBOR!$A:$C,3,0)-1,4)+0.0001,-TRUNC(EZ17/VLOOKUP("PCS-OzTL45",[2]ARBOR!$A:$C,3,0)-1,4)))))</f>
        <v/>
      </c>
      <c r="FB17" s="178" t="str">
        <f>IF(ISERROR(IF(FA17="","",VLOOKUP(($AY17&amp;FA17&amp;"Template desconto FLAT Plano Principal Oi TV nível conta"),[2]BENEFICIOS!$A:$G,5,0))),"Criar",IF(FA17="","",VLOOKUP(($AY17&amp;FA17&amp;"Template desconto FLAT Plano Principal Oi TV nível conta"),[2]BENEFICIOS!$A:$G,5,0)))</f>
        <v/>
      </c>
      <c r="FC17" s="103"/>
      <c r="FD17" s="101" t="str">
        <f>IF(FC17=0,"",IF(FC17=VLOOKUP("PCS-OzTL741",[2]ARBOR!$A:$C,3,0),0.0001,IF(FC17&gt;VLOOKUP("PCS-OzTL741",[2]ARBOR!$A:$C,3,0),"Maior que CAP!",IF((DOLLAR(FC17+(VLOOKUP("PCS-OzTL741",[2]ARBOR!$A:$C,3,0)*-TRUNC(FC17/VLOOKUP("PCS-OzTL741",[2]ARBOR!$A:$C,3,0)-1,4)),6))&lt;&gt;(DOLLAR(VLOOKUP("PCS-OzTL741",[2]ARBOR!$A:$C,3,0),6)),-TRUNC(FC17/VLOOKUP("PCS-OzTL741",[2]ARBOR!$A:$C,3,0)-1,4)+0.0001,-TRUNC(FC17/VLOOKUP("PCS-OzTL741",[2]ARBOR!$A:$C,3,0)-1,4)))))</f>
        <v/>
      </c>
      <c r="FE17" s="178" t="str">
        <f>IF(ISERROR(IF(FD17="","",VLOOKUP(($AY17&amp;FD17&amp;"Template desconto FLAT Plano Principal Oi TV nível conta"),[2]BENEFICIOS!$A:$G,5,0))),"Criar",IF(FD17="","",VLOOKUP(($AY17&amp;FD17&amp;"Template desconto FLAT Plano Principal Oi TV nível conta"),[2]BENEFICIOS!$A:$G,5,0)))</f>
        <v/>
      </c>
      <c r="FF17" s="103"/>
      <c r="FG17" s="101" t="str">
        <f>IF(FF17=0,"",IF(FF17=VLOOKUP("PCS-OzTL744",[2]ARBOR!$A:$C,3,0),0.0001,IF(FF17&gt;VLOOKUP("PCS-OzTL744",[2]ARBOR!$A:$C,3,0),"Maior que CAP!",IF((DOLLAR(FF17+(VLOOKUP("PCS-OzTL744",[2]ARBOR!$A:$C,3,0)*-TRUNC(FF17/VLOOKUP("PCS-OzTL744",[2]ARBOR!$A:$C,3,0)-1,4)),6))&lt;&gt;(DOLLAR(VLOOKUP("PCS-OzTL744",[2]ARBOR!$A:$C,3,0),6)),-TRUNC(FF17/VLOOKUP("PCS-OzTL744",[2]ARBOR!$A:$C,3,0)-1,4)+0.0001,-TRUNC(FF17/VLOOKUP("PCS-OzTL744",[2]ARBOR!$A:$C,3,0)-1,4)))))</f>
        <v/>
      </c>
      <c r="FH17" s="178" t="str">
        <f>IF(ISERROR(IF(FG17="","",VLOOKUP(($AY17&amp;FG17&amp;"Template desconto FLAT Plano Principal Oi TV nível conta"),[2]BENEFICIOS!$A:$G,5,0))),"Criar",IF(FG17="","",VLOOKUP(($AY17&amp;FG17&amp;"Template desconto FLAT Plano Principal Oi TV nível conta"),[2]BENEFICIOS!$A:$G,5,0)))</f>
        <v/>
      </c>
      <c r="FI17" s="103"/>
      <c r="FJ17" s="101" t="str">
        <f>IF(FI17=0,"",IF(FI17=VLOOKUP("PCS-OzTL743",[2]ARBOR!$A:$C,3,0),0.0001,IF(FI17&gt;VLOOKUP("PCS-OzTL743",[2]ARBOR!$A:$C,3,0),"Maior que CAP!",IF((DOLLAR(FI17+(VLOOKUP("PCS-OzTL743",[2]ARBOR!$A:$C,3,0)*-TRUNC(FI17/VLOOKUP("PCS-OzTL743",[2]ARBOR!$A:$C,3,0)-1,4)),6))&lt;&gt;(DOLLAR(VLOOKUP("PCS-OzTL743",[2]ARBOR!$A:$C,3,0),6)),-TRUNC(FI17/VLOOKUP("PCS-OzTL743",[2]ARBOR!$A:$C,3,0)-1,4)+0.0001,-TRUNC(FI17/VLOOKUP("PCS-OzTL743",[2]ARBOR!$A:$C,3,0)-1,4)))))</f>
        <v/>
      </c>
      <c r="FK17" s="178" t="str">
        <f>IF(ISERROR(IF(FJ17="","",VLOOKUP(($AY17&amp;FJ17&amp;"Template desconto FLAT Plano Principal Oi TV nível conta"),[2]BENEFICIOS!$A:$G,5,0))),"Criar",IF(FJ17="","",VLOOKUP(($AY17&amp;FJ17&amp;"Template desconto FLAT Plano Principal Oi TV nível conta"),[2]BENEFICIOS!$A:$G,5,0)))</f>
        <v/>
      </c>
      <c r="FL17" s="103"/>
      <c r="FM17" s="101" t="str">
        <f>IF(FL17=0,"",IF(FL17=VLOOKUP("PCS-OzTL745",[2]ARBOR!$A:$C,3,0),0.0001,IF(FL17&gt;VLOOKUP("PCS-OzTL745",[2]ARBOR!$A:$C,3,0),"Maior que CAP!",IF((DOLLAR(FL17+(VLOOKUP("PCS-OzTL745",[2]ARBOR!$A:$C,3,0)*-TRUNC(FL17/VLOOKUP("PCS-OzTL745",[2]ARBOR!$A:$C,3,0)-1,4)),6))&lt;&gt;(DOLLAR(VLOOKUP("PCS-OzTL745",[2]ARBOR!$A:$C,3,0),6)),-TRUNC(FL17/VLOOKUP("PCS-OzTL745",[2]ARBOR!$A:$C,3,0)-1,4)+0.0001,-TRUNC(FL17/VLOOKUP("PCS-OzTL745",[2]ARBOR!$A:$C,3,0)-1,4)))))</f>
        <v/>
      </c>
      <c r="FN17" s="178" t="str">
        <f>IF(ISERROR(IF(FM17="","",VLOOKUP(($AY17&amp;FM17&amp;"Template desconto FLAT Plano Principal Oi TV nível conta"),[2]BENEFICIOS!$A:$G,5,0))),"Criar",IF(FM17="","",VLOOKUP(($AY17&amp;FM17&amp;"Template desconto FLAT Plano Principal Oi TV nível conta"),[2]BENEFICIOS!$A:$G,5,0)))</f>
        <v/>
      </c>
      <c r="FO17" s="103"/>
      <c r="FP17" s="101" t="str">
        <f>IF(FO17=0,"",IF(FO17=VLOOKUP("PCS-OzTL42",[2]ARBOR!$A:$C,3,0),0.0001,IF(FO17&gt;VLOOKUP("PCS-OzTL42",[2]ARBOR!$A:$C,3,0),"Maior que CAP!",IF((DOLLAR(FO17+(VLOOKUP("PCS-OzTL42",[2]ARBOR!$A:$C,3,0)*-TRUNC(FO17/VLOOKUP("PCS-OzTL42",[2]ARBOR!$A:$C,3,0)-1,4)),6))&lt;&gt;(DOLLAR(VLOOKUP("PCS-OzTL42",[2]ARBOR!$A:$C,3,0),6)),-TRUNC(FO17/VLOOKUP("PCS-OzTL42",[2]ARBOR!$A:$C,3,0)-1,4)+0.0001,-TRUNC(FO17/VLOOKUP("PCS-OzTL42",[2]ARBOR!$A:$C,3,0)-1,4)))))</f>
        <v/>
      </c>
      <c r="FQ17" s="178" t="str">
        <f>IF(ISERROR(IF(FP17="","",VLOOKUP(($AY17&amp;FP17&amp;"Template desconto FLAT Plano Principal Oi TV nível conta"),[2]BENEFICIOS!$A:$G,5,0))),"Criar",IF(FP17="","",VLOOKUP(($AY17&amp;FP17&amp;"Template desconto FLAT Plano Principal Oi TV nível conta"),[2]BENEFICIOS!$A:$G,5,0)))</f>
        <v/>
      </c>
      <c r="FR17" s="103">
        <v>149.9</v>
      </c>
      <c r="FS17" s="101">
        <f>IF(FR17=0,"",IF(FR17=VLOOKUP("PCS-OzTL47",[2]ARBOR!$A:$C,3,0),0.0001,IF(FR17&gt;VLOOKUP("PCS-OzTL47",[2]ARBOR!$A:$C,3,0),"Maior que CAP!",IF((DOLLAR(FR17+(VLOOKUP("PCS-OzTL47",[2]ARBOR!$A:$C,3,0)*-TRUNC(FR17/VLOOKUP("PCS-OzTL47",[2]ARBOR!$A:$C,3,0)-1,4)),6))&lt;&gt;(DOLLAR(VLOOKUP("PCS-OzTL47",[2]ARBOR!$A:$C,3,0),6)),-TRUNC(FR17/VLOOKUP("PCS-OzTL47",[2]ARBOR!$A:$C,3,0)-1,4)+0.0001,-TRUNC(FR17/VLOOKUP("PCS-OzTL47",[2]ARBOR!$A:$C,3,0)-1,4)))))</f>
        <v>0.26389999999999997</v>
      </c>
      <c r="FT17" s="178" t="str">
        <f>IF(ISERROR(IF(FS17="","",VLOOKUP(($AY17&amp;FS17&amp;"Template desconto FLAT Plano Principal Oi TV nível conta"),[2]BENEFICIOS!$A:$G,5,0))),"Criar",IF(FS17="","",VLOOKUP(($AY17&amp;FS17&amp;"Template desconto FLAT Plano Principal Oi TV nível conta"),[2]BENEFICIOS!$A:$G,5,0)))</f>
        <v>MKT-1-10140957431</v>
      </c>
      <c r="FU17" s="103"/>
      <c r="FV17" s="101" t="str">
        <f>IF(FU17=0,"",IF(FU17=VLOOKUP("PCS-OzTL46",[2]ARBOR!$A:$C,3,0),0.0001,IF(FU17&gt;VLOOKUP("PCS-OzTL46",[2]ARBOR!$A:$C,3,0),"Maior que CAP!",IF((DOLLAR(FU17+(VLOOKUP("PCS-OzTL46",[2]ARBOR!$A:$C,3,0)*-TRUNC(FU17/VLOOKUP("PCS-OzTL46",[2]ARBOR!$A:$C,3,0)-1,4)),6))&lt;&gt;(DOLLAR(VLOOKUP("PCS-OzTL46",[2]ARBOR!$A:$C,3,0),6)),-TRUNC(FU17/VLOOKUP("PCS-OzTL46",[2]ARBOR!$A:$C,3,0)-1,4)+0.0001,-TRUNC(FU17/VLOOKUP("PCS-OzTL46",[2]ARBOR!$A:$C,3,0)-1,4)))))</f>
        <v/>
      </c>
      <c r="FW17" s="178" t="str">
        <f>IF(ISERROR(IF(FV17="","",VLOOKUP(($AY17&amp;FV17&amp;"Template desconto FLAT Plano Principal Oi TV nível conta"),[2]BENEFICIOS!$A:$G,5,0))),"Criar",IF(FV17="","",VLOOKUP(($AY17&amp;FV17&amp;"Template desconto FLAT Plano Principal Oi TV nível conta"),[2]BENEFICIOS!$A:$G,5,0)))</f>
        <v/>
      </c>
      <c r="FX17" s="103"/>
      <c r="FY17" s="101" t="str">
        <f>IF(FX17=0,"",IF(FX17=VLOOKUP("PCS-OzTL48",[2]ARBOR!$A:$C,3,0),0.0001,IF(FX17&gt;VLOOKUP("PCS-OzTL48",[2]ARBOR!$A:$C,3,0),"Maior que CAP!",IF((DOLLAR(FX17+(VLOOKUP("PCS-OzTL48",[2]ARBOR!$A:$C,3,0)*-TRUNC(FX17/VLOOKUP("PCS-OzTL48",[2]ARBOR!$A:$C,3,0)-1,4)),6))&lt;&gt;(DOLLAR(VLOOKUP("PCS-OzTL48",[2]ARBOR!$A:$C,3,0),6)),-TRUNC(FX17/VLOOKUP("PCS-OzTL48",[2]ARBOR!$A:$C,3,0)-1,4)+0.0001,-TRUNC(FX17/VLOOKUP("PCS-OzTL48",[2]ARBOR!$A:$C,3,0)-1,4)))))</f>
        <v/>
      </c>
      <c r="FZ17" s="178" t="str">
        <f>IF(ISERROR(IF(FY17="","",VLOOKUP(($AY17&amp;FY17&amp;"Template desconto FLAT Plano Principal Oi TV nível conta"),[2]BENEFICIOS!$A:$G,5,0))),"Criar",IF(FY17="","",VLOOKUP(($AY17&amp;FY17&amp;"Template desconto FLAT Plano Principal Oi TV nível conta"),[2]BENEFICIOS!$A:$G,5,0)))</f>
        <v/>
      </c>
      <c r="GA17" s="103"/>
      <c r="GB17" s="101" t="str">
        <f>IF(GA17=0,"",IF(GA17=VLOOKUP("PCS-OzTL742",[2]ARBOR!$A:$C,3,0),0.0001,IF(GA17&gt;VLOOKUP("PCS-OzTL742",[2]ARBOR!$A:$C,3,0),"Maior que CAP!",IF((DOLLAR(GA17+(VLOOKUP("PCS-OzTL742",[2]ARBOR!$A:$C,3,0)*-TRUNC(GA17/VLOOKUP("PCS-OzTL742",[2]ARBOR!$A:$C,3,0)-1,4)),6))&lt;&gt;(DOLLAR(VLOOKUP("PCS-OzTL742",[2]ARBOR!$A:$C,3,0),6)),-TRUNC(GA17/VLOOKUP("PCS-OzTL742",[2]ARBOR!$A:$C,3,0)-1,4)+0.0001,-TRUNC(GA17/VLOOKUP("PCS-OzTL742",[2]ARBOR!$A:$C,3,0)-1,4)))))</f>
        <v/>
      </c>
      <c r="GC17" s="178" t="str">
        <f>IF(ISERROR(IF(GB17="","",VLOOKUP(($AY17&amp;GB17&amp;"Template desconto FLAT Plano Principal Oi TV nível conta"),[2]BENEFICIOS!$A:$G,5,0))),"Criar",IF(GB17="","",VLOOKUP(($AY17&amp;GB17&amp;"Template desconto FLAT Plano Principal Oi TV nível conta"),[2]BENEFICIOS!$A:$G,5,0)))</f>
        <v/>
      </c>
      <c r="GD17" s="103">
        <v>169.9</v>
      </c>
      <c r="GE17" s="101">
        <f>IF(GD17=0,"",IF(GD17=VLOOKUP("PCS-OzTL747",[2]ARBOR!$A:$C,3,0),0.0001,IF(GD17&gt;VLOOKUP("PCS-OzTL747",[2]ARBOR!$A:$C,3,0),"Maior que CAP!",IF((DOLLAR(GD17+(VLOOKUP("PCS-OzTL747",[2]ARBOR!$A:$C,3,0)*-TRUNC(GD17/VLOOKUP("PCS-OzTL747",[2]ARBOR!$A:$C,3,0)-1,4)),6))&lt;&gt;(DOLLAR(VLOOKUP("PCS-OzTL747",[2]ARBOR!$A:$C,3,0),6)),-TRUNC(GD17/VLOOKUP("PCS-OzTL747",[2]ARBOR!$A:$C,3,0)-1,4)+0.0001,-TRUNC(GD17/VLOOKUP("PCS-OzTL747",[2]ARBOR!$A:$C,3,0)-1,4)))))</f>
        <v>0.34329999999999999</v>
      </c>
      <c r="GF17" s="178" t="str">
        <f>IF(ISERROR(IF(GE17="","",VLOOKUP(($AY17&amp;GE17&amp;"Template desconto FLAT Plano Principal Oi TV nível conta"),[2]BENEFICIOS!$A:$G,5,0))),"Criar",IF(GE17="","",VLOOKUP(($AY17&amp;GE17&amp;"Template desconto FLAT Plano Principal Oi TV nível conta"),[2]BENEFICIOS!$A:$G,5,0)))</f>
        <v>MKT-1-10140956051</v>
      </c>
      <c r="GG17" s="103"/>
      <c r="GH17" s="101" t="str">
        <f>IF(GG17=0,"",IF(GG17=VLOOKUP("PCS-OzTL746",[2]ARBOR!$A:$C,3,0),0.0001,IF(GG17&gt;VLOOKUP("PCS-OzTL746",[2]ARBOR!$A:$C,3,0),"Maior que CAP!",IF((DOLLAR(GG17+(VLOOKUP("PCS-OzTL746",[2]ARBOR!$A:$C,3,0)*-TRUNC(GG17/VLOOKUP("PCS-OzTL746",[2]ARBOR!$A:$C,3,0)-1,4)),6))&lt;&gt;(DOLLAR(VLOOKUP("PCS-OzTL746",[2]ARBOR!$A:$C,3,0),6)),-TRUNC(GG17/VLOOKUP("PCS-OzTL746",[2]ARBOR!$A:$C,3,0)-1,4)+0.0001,-TRUNC(GG17/VLOOKUP("PCS-OzTL746",[2]ARBOR!$A:$C,3,0)-1,4)))))</f>
        <v/>
      </c>
      <c r="GI17" s="178" t="str">
        <f>IF(ISERROR(IF(GH17="","",VLOOKUP(($AY17&amp;GH17&amp;"Template desconto FLAT Plano Principal Oi TV nível conta"),[2]BENEFICIOS!$A:$G,5,0))),"Criar",IF(GH17="","",VLOOKUP(($AY17&amp;GH17&amp;"Template desconto FLAT Plano Principal Oi TV nível conta"),[2]BENEFICIOS!$A:$G,5,0)))</f>
        <v/>
      </c>
      <c r="GJ17" s="103"/>
      <c r="GK17" s="101" t="str">
        <f>IF(GJ17=0,"",IF(GJ17=VLOOKUP("PCS-OzTL748",[2]ARBOR!$A:$C,3,0),0.0001,IF(GJ17&gt;VLOOKUP("PCS-OzTL748",[2]ARBOR!$A:$C,3,0),"Maior que CAP!",IF((DOLLAR(GJ17+(VLOOKUP("PCS-OzTL748",[2]ARBOR!$A:$C,3,0)*-TRUNC(GJ17/VLOOKUP("PCS-OzTL748",[2]ARBOR!$A:$C,3,0)-1,4)),6))&lt;&gt;(DOLLAR(VLOOKUP("PCS-OzTL748",[2]ARBOR!$A:$C,3,0),6)),-TRUNC(GJ17/VLOOKUP("PCS-OzTL748",[2]ARBOR!$A:$C,3,0)-1,4)+0.0001,-TRUNC(GJ17/VLOOKUP("PCS-OzTL748",[2]ARBOR!$A:$C,3,0)-1,4)))))</f>
        <v/>
      </c>
      <c r="GL17" s="178" t="str">
        <f>IF(ISERROR(IF(GK17="","",VLOOKUP(($AY17&amp;GK17&amp;"Template desconto FLAT Plano Principal Oi TV nível conta"),[2]BENEFICIOS!$A:$G,5,0))),"Criar",IF(GK17="","",VLOOKUP(($AY17&amp;GK17&amp;"Template desconto FLAT Plano Principal Oi TV nível conta"),[2]BENEFICIOS!$A:$G,5,0)))</f>
        <v/>
      </c>
      <c r="GM17" s="103">
        <v>75</v>
      </c>
      <c r="GN17" s="101">
        <f>IF(GM17=0,"",IF(GM17=VLOOKUP("PCS-OzTL34",[2]ARBOR!$A:$C,3,0),0.0001,IF(GM17&gt;VLOOKUP("PCS-OzTL34",[2]ARBOR!$A:$C,3,0),"Maior que CAP!",IF((DOLLAR(GM17+(VLOOKUP("PCS-OzTL34",[2]ARBOR!$A:$C,3,0)*-TRUNC(GM17/VLOOKUP("PCS-OzTL34",[2]ARBOR!$A:$C,3,0)-1,4)),6))&lt;&gt;(DOLLAR(VLOOKUP("PCS-OzTL34",[2]ARBOR!$A:$C,3,0),6)),-TRUNC(GM17/VLOOKUP("PCS-OzTL34",[2]ARBOR!$A:$C,3,0)-1,4)+0.0001,-TRUNC(GM17/VLOOKUP("PCS-OzTL34",[2]ARBOR!$A:$C,3,0)-1,4)))))</f>
        <v>0.31900000000000001</v>
      </c>
      <c r="GO17" s="178" t="s">
        <v>178</v>
      </c>
      <c r="GP17" s="103">
        <v>19.899999999999999</v>
      </c>
      <c r="GQ17" s="101">
        <f>IF(GP17=0,"",IF(GP17=VLOOKUP("PCS-OzTL31",[2]ARBOR!$A:$C,3,0),0.0001,IF(GP17&gt;VLOOKUP("PCS-OzTL31",[2]ARBOR!$A:$C,3,0),"Maior que CAP!",IF((DOLLAR(GP17+(VLOOKUP("PCS-OzTL31",[2]ARBOR!$A:$C,3,0)*-TRUNC(GP17/VLOOKUP("PCS-OzTL31",[2]ARBOR!$A:$C,3,0)-1,4)),6))&lt;&gt;(DOLLAR(VLOOKUP("PCS-OzTL31",[2]ARBOR!$A:$C,3,0),6)),-TRUNC(GP17/VLOOKUP("PCS-OzTL31",[2]ARBOR!$A:$C,3,0)-1,4)+0.0001,-TRUNC(GP17/VLOOKUP("PCS-OzTL31",[2]ARBOR!$A:$C,3,0)-1,4)))))</f>
        <v>9.1800000000000007E-2</v>
      </c>
      <c r="GR17" s="178" t="s">
        <v>179</v>
      </c>
      <c r="GS17" s="103">
        <v>19.899999999999999</v>
      </c>
      <c r="GT17" s="101">
        <f>IF(GS17=0,"",IF(GS17=VLOOKUP("PCS-OzTL32",[2]ARBOR!$A:$C,3,0),0.0001,IF(GS17&gt;VLOOKUP("PCS-OzTL32",[2]ARBOR!$A:$C,3,0),"Maior que CAP!",IF((DOLLAR(GS17+(VLOOKUP("PCS-OzTL32",[2]ARBOR!$A:$C,3,0)*-TRUNC(GS17/VLOOKUP("PCS-OzTL32",[2]ARBOR!$A:$C,3,0)-1,4)),6))&lt;&gt;(DOLLAR(VLOOKUP("PCS-OzTL32",[2]ARBOR!$A:$C,3,0),6)),-TRUNC(GS17/VLOOKUP("PCS-OzTL32",[2]ARBOR!$A:$C,3,0)-1,4)+0.0001,-TRUNC(GS17/VLOOKUP("PCS-OzTL32",[2]ARBOR!$A:$C,3,0)-1,4)))))</f>
        <v>9.1800000000000007E-2</v>
      </c>
      <c r="GU17" s="178" t="s">
        <v>180</v>
      </c>
      <c r="GV17" s="103">
        <v>29.9</v>
      </c>
      <c r="GW17" s="101">
        <f>IF(GV17=0,"",IF(GV17=VLOOKUP("PCS-OzTL33",[2]ARBOR!$A:$C,3,0),0.0001,IF(GV17&gt;VLOOKUP("PCS-OzTL33",[2]ARBOR!$A:$C,3,0),"Maior que CAP!",IF((DOLLAR(GV17+(VLOOKUP("PCS-OzTL33",[2]ARBOR!$A:$C,3,0)*-TRUNC(GV17/VLOOKUP("PCS-OzTL33",[2]ARBOR!$A:$C,3,0)-1,4)),6))&lt;&gt;(DOLLAR(VLOOKUP("PCS-OzTL33",[2]ARBOR!$A:$C,3,0),6)),-TRUNC(GV17/VLOOKUP("PCS-OzTL33",[2]ARBOR!$A:$C,3,0)-1,4)+0.0001,-TRUNC(GV17/VLOOKUP("PCS-OzTL33",[2]ARBOR!$A:$C,3,0)-1,4)))))</f>
        <v>9.1800000000000007E-2</v>
      </c>
      <c r="GX17" s="178" t="s">
        <v>181</v>
      </c>
      <c r="GY17" s="103">
        <v>14.9</v>
      </c>
      <c r="GZ17" s="101">
        <f>IF(GY17=0,"",IF(GY17=VLOOKUP("PCS-OzTL503",[2]ARBOR!$A:$C,3,0),0.0001,IF(GY17&gt;VLOOKUP("PCS-OzTL503",[2]ARBOR!$A:$C,3,0),"Maior que CAP!",IF((DOLLAR(GY17+(VLOOKUP("PCS-OzTL503",[2]ARBOR!$A:$C,3,0)*-TRUNC(GY17/VLOOKUP("PCS-OzTL503",[2]ARBOR!$A:$C,3,0)-1,4)),6))&lt;&gt;(DOLLAR(VLOOKUP("PCS-OzTL503",[2]ARBOR!$A:$C,3,0),6)),-TRUNC(GY17/VLOOKUP("PCS-OzTL503",[2]ARBOR!$A:$C,3,0)-1,4)+0.0001,-TRUNC(GY17/VLOOKUP("PCS-OzTL503",[2]ARBOR!$A:$C,3,0)-1,4)))))</f>
        <v>9.1499999999999998E-2</v>
      </c>
      <c r="HA17" s="178" t="s">
        <v>182</v>
      </c>
      <c r="HB17" s="103">
        <v>10</v>
      </c>
      <c r="HC17" s="101">
        <f>IF(HB17=0,"",IF(HB17=VLOOKUP("PCS-OzTL500",[2]ARBOR!$A:$C,3,0),0.0001,IF(HB17&gt;VLOOKUP("PCS-OzTL500",[2]ARBOR!$A:$C,3,0),"Maior que CAP!",IF((DOLLAR(HB17+(VLOOKUP("PCS-OzTL500",[2]ARBOR!$A:$C,3,0)*-TRUNC(HB17/VLOOKUP("PCS-OzTL500",[2]ARBOR!$A:$C,3,0)-1,4)),6))&lt;&gt;(DOLLAR(VLOOKUP("PCS-OzTL500",[2]ARBOR!$A:$C,3,0),6)),-TRUNC(HB17/VLOOKUP("PCS-OzTL500",[2]ARBOR!$A:$C,3,0)-1,4)+0.0001,-TRUNC(HB17/VLOOKUP("PCS-OzTL500",[2]ARBOR!$A:$C,3,0)-1,4)))))</f>
        <v>9.1800000000000007E-2</v>
      </c>
      <c r="HD17" s="178" t="s">
        <v>183</v>
      </c>
      <c r="HE17" s="103" t="s">
        <v>184</v>
      </c>
      <c r="HF17" s="101"/>
      <c r="HG17" s="178"/>
      <c r="HH17" s="103" t="s">
        <v>185</v>
      </c>
      <c r="HI17" s="101"/>
      <c r="HJ17" s="178"/>
      <c r="HK17" s="103" t="s">
        <v>186</v>
      </c>
      <c r="HL17" s="101"/>
      <c r="HM17" s="178"/>
      <c r="HN17" s="103" t="s">
        <v>187</v>
      </c>
      <c r="HO17" s="101"/>
      <c r="HP17" s="178"/>
      <c r="HQ17" s="103" t="s">
        <v>188</v>
      </c>
      <c r="HR17" s="101"/>
      <c r="HS17" s="178"/>
      <c r="HT17" s="103">
        <v>24.9</v>
      </c>
      <c r="HU17" s="101">
        <f>IF(HT17=0,"",IF(HT17=VLOOKUP("PCS-OzTL99",[2]ARBOR!$A:$C,3,0),0.0001,IF(HT17&gt;VLOOKUP("PCS-OzTL99",[2]ARBOR!$A:$C,3,0),"Maior que CAP!",IF((DOLLAR(HT17+(VLOOKUP("PCS-OzTL99",[2]ARBOR!$A:$C,3,0)*-TRUNC(HT17/VLOOKUP("PCS-OzTL99",[2]ARBOR!$A:$C,3,0)-1,4)),6))&lt;&gt;(DOLLAR(VLOOKUP("PCS-OzTL99",[2]ARBOR!$A:$C,3,0),6)),-TRUNC(HT17/VLOOKUP("PCS-OzTL99",[2]ARBOR!$A:$C,3,0)-1,4)+0.0001,-TRUNC(HT17/VLOOKUP("PCS-OzTL99",[2]ARBOR!$A:$C,3,0)-1,4)))))</f>
        <v>0.16729999999999998</v>
      </c>
      <c r="HV17" s="179" t="s">
        <v>189</v>
      </c>
      <c r="HW17" s="170" t="s">
        <v>167</v>
      </c>
      <c r="HX17" s="178" t="str">
        <f t="shared" si="4"/>
        <v>PCS-34704</v>
      </c>
      <c r="HY17" s="180" t="str">
        <f>IFERROR((IF(AZ17="","",VLOOKUP(AZ17,[2]ARBOR!A:C,3,0))),"")</f>
        <v/>
      </c>
      <c r="HZ17" s="181"/>
      <c r="IA17" s="158" t="str">
        <f>IF(HZ17="","",ROUND(1-(HZ17/VLOOKUP(AZ17&amp;"ASS",[2]ARBOR!A:C,3,0)),4))</f>
        <v/>
      </c>
      <c r="IB17" s="158"/>
      <c r="IC17" s="182"/>
      <c r="ID17" s="183"/>
      <c r="IE17" s="101" t="str">
        <f>IF(ID17="","",ROUND(IF(ID17=0,"",IF(ID17=HY17,0.0001,1-((ID17+(VLOOKUP(AZ17&amp;"ASS",[2]ARBOR!A:C,3,0)-HZ17))/HY17))),4))</f>
        <v/>
      </c>
      <c r="IF17" s="101" t="str">
        <f>IF(ISERROR(IF(IE17="","",VLOOKUP(($AY17&amp;IE17&amp;"Template de desconto percentual FLAT Móvel - Conta Total - Varejo - Ganho Tributário Cross"),[2]BENEFICIOS!$A:$E,5,0))),"Criar",IF(IE17="","",VLOOKUP(($AY17&amp;IE17&amp;"Template de desconto percentual FLAT Móvel - Conta Total - Varejo - Ganho Tributário Cross"),[2]BENEFICIOS!$A:$E,5,0)))</f>
        <v/>
      </c>
      <c r="IG17" s="167"/>
      <c r="IH17" s="101"/>
      <c r="II17" s="184"/>
      <c r="IJ17" s="185"/>
      <c r="IK17" s="101"/>
      <c r="IL17" s="101"/>
      <c r="IM17" s="186"/>
      <c r="IN17" s="186"/>
      <c r="IO17" s="187"/>
      <c r="IP17" s="188" t="str">
        <f>IF(IO17=0,"",IF(IO17=VLOOKUP("PCS-813566",[2]ARBOR!$A:$C,3,0),0.0001,IF(IO17&gt;VLOOKUP("PCS-813566",[2]ARBOR!$A:$C,3,0),"Maior que CAP!",ROUND(-1*(IO17/VLOOKUP("PCS-813566",[2]ARBOR!$A:$C,3,0)-1),4))))</f>
        <v/>
      </c>
      <c r="IQ17" s="189" t="str">
        <f>IF(ISERROR(IF(IP17="","",VLOOKUP(("Oi Internet Pra Celular 300MB"&amp;IP17&amp;"Template Flat Instância Dados"),[2]BENEFICIOS!$A:$E,5,0))),"Criar",IF(IP17="","",VLOOKUP(("Oi Internet Pra Celular 300MB"&amp;IP17&amp;"Template Flat Instância Dados"),[2]BENEFICIOS!$A:$E,5,0)))</f>
        <v/>
      </c>
      <c r="IR17" s="190"/>
      <c r="IS17" s="191" t="str">
        <f>IF(IR17=0,"",IF(IR17=VLOOKUP("sva_bancas",[2]ARBOR!$A:$C,3,0),0.0001,IF(IR17&gt;VLOOKUP("sva_livros",[2]ARBOR!$A:$C,3,0),"Maior que CAP!",ROUND(-1*(IR17/VLOOKUP("sva_bancas",[2]ARBOR!$A:$C,3,0)-1),4))))</f>
        <v/>
      </c>
      <c r="IT17" s="192" t="str">
        <f>IF(ISERROR(IF(IS17="","",VLOOKUP(("Oi Internet Pra Celular 300MB"&amp;IS17&amp;"Template Desconto % SVA DADOS B2C"),[2]BENEFICIOS!$A:$E,5,0))),"Criar",IF(IS17="","",VLOOKUP(("Oi Internet Pra Celular 300MB"&amp;IS17&amp;"Template Desconto % SVA DADOS B2C"),[2]BENEFICIOS!$A:$E,5,0)))</f>
        <v/>
      </c>
      <c r="IU17" s="187"/>
      <c r="IV17" s="188" t="str">
        <f>IF(IU17=0,"",IF(IU17=VLOOKUP("PCS-813564",[2]ARBOR!$A:$C,3,0),0.0001,IF(IU17&gt;VLOOKUP("PCS-813564",[2]ARBOR!$A:$C,3,0),"Maior que CAP!",ROUND(-1*(IU17/VLOOKUP("PCS-813564",[2]ARBOR!$A:$C,3,0)-1),4))))</f>
        <v/>
      </c>
      <c r="IW17" s="189" t="str">
        <f>IF(ISERROR(IF(IV17="","",VLOOKUP(("Oi Internet Pra Celular 500MB"&amp;IV17&amp;"Template Flat Instância Dados"),[2]BENEFICIOS!$A:$E,5,0))),"Criar",IF(IV17="","",VLOOKUP(("Oi Internet Pra Celular 500MB"&amp;IV17&amp;"Template Flat Instância Dados"),[2]BENEFICIOS!$A:$E,5,0)))</f>
        <v/>
      </c>
      <c r="IX17" s="190"/>
      <c r="IY17" s="191" t="str">
        <f>IF(IX17=0,"",IF(IX17=VLOOKUP("sva_livros",[2]ARBOR!$A:$C,3,0),0.0001,IF(IX17&gt;VLOOKUP("sva_livros",[2]ARBOR!$A:$C,3,0),"Maior que CAP!",ROUND(-1*(IX17/VLOOKUP("sva_livros",[2]ARBOR!$A:$C,3,0)-1),4))))</f>
        <v/>
      </c>
      <c r="IZ17" s="192" t="str">
        <f>IF(ISERROR(IF(IY17="","",VLOOKUP(("Oi Internet Pra Celular 500MB"&amp;IY17&amp;"Template Desconto % SVA DADOS B2C"),[2]BENEFICIOS!$A:$E,5,0))),"Criar",IF(IY17="","",VLOOKUP(("Oi Internet Pra Celular 500MB"&amp;IY17&amp;"Template Desconto % SVA DADOS B2C"),[2]BENEFICIOS!$A:$E,5,0)))</f>
        <v/>
      </c>
      <c r="JA17" s="187"/>
      <c r="JB17" s="188" t="str">
        <f>IF(JA17=0,"",IF(JA17=VLOOKUP("PCS-10357",[2]ARBOR!$A:$C,3,0),0.0001,IF(JA17&gt;VLOOKUP("PCS-10357",[2]ARBOR!$A:$C,3,0),"Maior que CAP!",ROUND(-1*(JA17/VLOOKUP("PCS-10357",[2]ARBOR!$A:$C,3,0)-1),4))))</f>
        <v/>
      </c>
      <c r="JC17" s="189" t="str">
        <f>IF(ISERROR(IF(JB17="","",VLOOKUP(("Oi Internet Pra Celular 1GB"&amp;JB17&amp;"Template Flat Instância Dados"),[2]BENEFICIOS!$A:$E,5,0))),"Criar",IF(JB17="","",VLOOKUP(("Oi Internet Pra Celular 1GB"&amp;JB17&amp;"Template Flat Instância Dados"),[2]BENEFICIOS!$A:$E,5,0)))</f>
        <v/>
      </c>
      <c r="JD17" s="190"/>
      <c r="JE17" s="191" t="str">
        <f>IF(JD17=0,"",IF(JD17=VLOOKUP("sva_livros",[2]ARBOR!$A:$C,3,0),0.0001,IF(JD17&gt;VLOOKUP("sva_livros",[2]ARBOR!$A:$C,3,0),"Maior que CAP!",ROUND(-1*(JD17/VLOOKUP("sva_livros",[2]ARBOR!$A:$C,3,0)-1),4))))</f>
        <v/>
      </c>
      <c r="JF17" s="192" t="str">
        <f>IF(ISERROR(IF(JE17="","",VLOOKUP(("Oi Internet Pra Celular 1GB"&amp;JE17&amp;"Template Desconto % SVA DADOS B2C"),[2]BENEFICIOS!$A:$E,5,0))),"Criar",IF(JE17="","",VLOOKUP(("Oi Internet Pra Celular 1GB"&amp;JE17&amp;"Template Desconto % SVA DADOS B2C"),[2]BENEFICIOS!$A:$E,5,0)))</f>
        <v/>
      </c>
      <c r="JG17" s="187"/>
      <c r="JH17" s="188" t="str">
        <f>IF(JG17=0,"",IF(JG17=VLOOKUP("PCS-813565",[2]ARBOR!$A:$C,3,0),0.0001,IF(JG17&gt;VLOOKUP("PCS-813565",[2]ARBOR!$A:$C,3,0),"Maior que CAP!",ROUND(-1*(JG17/VLOOKUP("PCS-813565",[2]ARBOR!$A:$C,3,0)-1),4))))</f>
        <v/>
      </c>
      <c r="JI17" s="189" t="str">
        <f>IF(ISERROR(IF(JH17="","",VLOOKUP(("Oi Internet Pra Celular 2GB"&amp;JH17&amp;"Template Flat Instância Dados"),[2]BENEFICIOS!$A:$E,5,0))),"Criar",IF(JH17="","",VLOOKUP(("Oi Internet Pra Celular 2GB"&amp;JH17&amp;"Template Flat Instância Dados"),[2]BENEFICIOS!$A:$E,5,0)))</f>
        <v/>
      </c>
      <c r="JJ17" s="190"/>
      <c r="JK17" s="191" t="str">
        <f>IF(JJ17=0,"",IF(JJ17=VLOOKUP("sva_livros",[2]ARBOR!$A:$C,3,0),0.0001,IF(JJ17&gt;VLOOKUP("sva_livros",[2]ARBOR!$A:$C,3,0),"Maior que CAP!",ROUND(-1*(JJ17/VLOOKUP("sva_livros",[2]ARBOR!$A:$C,3,0)-1),4))))</f>
        <v/>
      </c>
      <c r="JL17" s="192" t="str">
        <f>IF(ISERROR(IF(JK17="","",VLOOKUP(("Oi Internet Pra Celular 2GB"&amp;JK17&amp;"Template Desconto % SVA DADOS B2C"),[2]BENEFICIOS!$A:$E,5,0))),"Criar",IF(JK17="","",VLOOKUP(("Oi Internet Pra Celular 2GB"&amp;JK17&amp;"Template Desconto % SVA DADOS B2C"),[2]BENEFICIOS!$A:$E,5,0)))</f>
        <v/>
      </c>
      <c r="JM17" s="187"/>
      <c r="JN17" s="188" t="str">
        <f>IF(JM17=0,"",IF(JM17=VLOOKUP("PCS-7171B",[2]ARBOR!$A:$C,3,0),0.0001,IF(JM17&gt;VLOOKUP("PCS-7171B",[2]ARBOR!$A:$C,3,0),"Maior que CAP!",ROUND(-1*(JM17/VLOOKUP("PCS-7171B",[2]ARBOR!$A:$C,3,0)-1),4))))</f>
        <v/>
      </c>
      <c r="JO17" s="189" t="str">
        <f>IF(ISERROR(IF(JN17="","",VLOOKUP(("Oi Internet Pra Celular 3GB"&amp;JN17&amp;"Template Flat Instância Dados"),[2]BENEFICIOS!$A:$E,5,0))),"Criar",IF(JN17="","",VLOOKUP(("Oi Internet Pra Celular 3GB"&amp;JN17&amp;"Template Flat Instância Dados"),[2]BENEFICIOS!$A:$E,5,0)))</f>
        <v/>
      </c>
      <c r="JP17" s="190"/>
      <c r="JQ17" s="191" t="str">
        <f>IF(JP17=0,"",IF(JP17=VLOOKUP("sva_livros",[2]ARBOR!$A:$C,3,0),0.0001,IF(JP17&gt;VLOOKUP("sva_livros",[2]ARBOR!$A:$C,3,0),"Maior que CAP!",ROUND(-1*(JP17/VLOOKUP("sva_livros",[2]ARBOR!$A:$C,3,0)-1),4))))</f>
        <v/>
      </c>
      <c r="JR17" s="192" t="str">
        <f>IF(ISERROR(IF(JQ17="","",VLOOKUP(("Oi Internet Pra Celular 3GB"&amp;JQ17&amp;"Template Desconto % SVA DADOS B2C"),[2]BENEFICIOS!$A:$E,5,0))),"Criar",IF(JQ17="","",VLOOKUP(("Oi Internet Pra Celular 3GB"&amp;JQ17&amp;"Template Desconto % SVA DADOS B2C"),[2]BENEFICIOS!$A:$E,5,0)))</f>
        <v/>
      </c>
      <c r="JS17" s="187"/>
      <c r="JT17" s="188" t="str">
        <f>IF(JS17=0,"",IF(JS17=VLOOKUP("PCS-51793o08",[2]ARBOR!$A:$C,3,0),0.0001,IF(JS17&gt;VLOOKUP("PCS-51793o08",[2]ARBOR!$A:$C,3,0),"Maior que CAP!",ROUND(-1*(JS17/VLOOKUP("PCS-51793o08",[2]ARBOR!$A:$C,3,0)-1),4))))</f>
        <v/>
      </c>
      <c r="JU17" s="189" t="str">
        <f>IF(ISERROR(IF(JT17="","",VLOOKUP(("Oi Internet Pra Celular 5GB"&amp;JT17&amp;"Template Flat Instância Dados"),[2]BENEFICIOS!$A:$E,5,0))),"Criar",IF(JT17="","",VLOOKUP(("Oi Internet Pra Celular 5GB"&amp;JT17&amp;"Template Flat Instância Dados"),[2]BENEFICIOS!$A:$E,5,0)))</f>
        <v/>
      </c>
      <c r="JV17" s="190"/>
      <c r="JW17" s="191" t="str">
        <f>IF(JV17=0,"",IF(JV17=VLOOKUP("sva_curtas",[2]ARBOR!$A:$C,3,0),0.0001,IF(JV17&gt;VLOOKUP("sva_curtas",[2]ARBOR!$A:$C,3,0),"Maior que CAP!",ROUND(-1*(JV17/VLOOKUP("sva_curtas",[2]ARBOR!$A:$C,3,0)-1),4))))</f>
        <v/>
      </c>
      <c r="JX17" s="192" t="str">
        <f>IF(ISERROR(IF(JW17="","",VLOOKUP(("Oi Internet Pra Celular 5GB"&amp;JW17&amp;"Template Desconto % SVA DADOS B2C"),[2]BENEFICIOS!$A:$E,5,0))),"Criar",IF(JW17="","",VLOOKUP(("Oi Internet Pra Celular 5GB"&amp;JW17&amp;"Template Desconto % SVA DADOS B2C"),[2]BENEFICIOS!$A:$E,5,0)))</f>
        <v/>
      </c>
      <c r="JY17" s="187"/>
      <c r="JZ17" s="188" t="str">
        <f>IF(JY17=0,"",IF(JY17=VLOOKUP("PCS-7171A",[2]ARBOR!$A:$C,3,0),0.0001,IF(JY17&gt;VLOOKUP("PCS-7171A",[2]ARBOR!$A:$C,3,0),"Maior que CAP!",ROUND(-1*(JY17/VLOOKUP("PCS-7171A",[2]ARBOR!$A:$C,3,0)-1),4))))</f>
        <v/>
      </c>
      <c r="KA17" s="193" t="str">
        <f>IF(ISERROR(IF(JZ17="","",VLOOKUP(("Oi Internet Pra Celular 10GB"&amp;JZ17&amp;"Template Flat Instância Dados"),[2]BENEFICIOS!$A:$E,5,0))),"Criar",IF(JZ17="","",VLOOKUP(("Oi Internet Pra Celular 10GB"&amp;JZ17&amp;"Template Flat Instância Dados"),[2]BENEFICIOS!$A:$E,5,0)))</f>
        <v/>
      </c>
      <c r="KB17" s="190"/>
      <c r="KC17" s="191" t="str">
        <f>IF(KB17=0,"",IF(KB17=VLOOKUP("sva_curtas",[2]ARBOR!$A:$C,3,0),0.0001,IF(KB17&gt;VLOOKUP("sva_curtas",[2]ARBOR!$A:$C,3,0),"Maior que CAP!",ROUND(-1*(KB17/VLOOKUP("sva_curtas",[2]ARBOR!$A:$C,3,0)-1),4))))</f>
        <v/>
      </c>
      <c r="KD17" s="192" t="str">
        <f>IF(ISERROR(IF(KC17="","",VLOOKUP(("Oi Internet Pra Celular 10GB"&amp;KC17&amp;"Template Desconto % SVA DADOS B2C"),[2]BENEFICIOS!$A:$E,5,0))),"Criar",IF(KC17="","",VLOOKUP(("Oi Internet Pra Celular 10GB"&amp;KC17&amp;"Template Desconto % SVA DADOS B2C"),[2]BENEFICIOS!$A:$E,5,0)))</f>
        <v/>
      </c>
      <c r="KE17" s="194"/>
      <c r="KF17" s="195"/>
      <c r="KG17" s="196" t="s">
        <v>167</v>
      </c>
      <c r="KH17" s="197" t="s">
        <v>190</v>
      </c>
      <c r="KI17" s="198">
        <v>799</v>
      </c>
      <c r="KJ17" s="197">
        <v>12</v>
      </c>
      <c r="KK17" s="199" t="str">
        <f t="shared" si="5"/>
        <v>Oi benefício fidelização Multiprodutos</v>
      </c>
      <c r="KL17" s="200" t="str">
        <f t="shared" si="6"/>
        <v>PCS-Fk83324</v>
      </c>
      <c r="KM17" s="200" t="str">
        <f t="shared" si="7"/>
        <v>PCS-SBL553142</v>
      </c>
      <c r="KN17" s="201" t="s">
        <v>191</v>
      </c>
      <c r="KO17" s="202" t="s">
        <v>192</v>
      </c>
      <c r="KP17" s="202" t="s">
        <v>193</v>
      </c>
      <c r="KQ17" s="201" t="s">
        <v>194</v>
      </c>
      <c r="KR17" s="199" t="s">
        <v>195</v>
      </c>
      <c r="KS17" s="200" t="s">
        <v>196</v>
      </c>
      <c r="KT17" s="203" t="s">
        <v>197</v>
      </c>
      <c r="KU17" s="129"/>
      <c r="KV17" s="129"/>
      <c r="KW17" s="129"/>
      <c r="KX17" s="129"/>
      <c r="KY17" s="129"/>
      <c r="KZ17" s="129"/>
      <c r="LA17" s="129"/>
      <c r="LB17" s="129"/>
      <c r="LC17" s="129"/>
      <c r="LD17" s="129"/>
      <c r="LE17" s="129"/>
      <c r="LF17" s="129"/>
      <c r="LG17" s="129"/>
      <c r="LH17" s="129"/>
      <c r="LI17" s="129"/>
      <c r="LJ17" s="129"/>
      <c r="LK17" s="204"/>
      <c r="LL17" s="212"/>
      <c r="LM17" s="213"/>
      <c r="LN17" s="213"/>
      <c r="LO17" s="213"/>
      <c r="LP17" s="213"/>
      <c r="LQ17" s="213"/>
      <c r="LR17" s="213"/>
      <c r="LS17" s="213"/>
      <c r="LT17" s="213"/>
      <c r="LU17" s="214"/>
      <c r="LV17" t="s">
        <v>223</v>
      </c>
      <c r="LW17" t="s">
        <v>200</v>
      </c>
    </row>
    <row r="18" spans="1:335" x14ac:dyDescent="0.25">
      <c r="A18" s="134" t="s">
        <v>164</v>
      </c>
      <c r="B18" s="135" t="s">
        <v>165</v>
      </c>
      <c r="C18" s="135" t="s">
        <v>166</v>
      </c>
      <c r="D18" s="136" t="s">
        <v>167</v>
      </c>
      <c r="E18" s="137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9"/>
      <c r="Q18" s="139"/>
      <c r="R18" s="139"/>
      <c r="S18" s="140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41"/>
      <c r="AF18" s="138"/>
      <c r="AG18" s="138"/>
      <c r="AH18" s="142"/>
      <c r="AI18" s="209" t="s">
        <v>17</v>
      </c>
      <c r="AJ18" s="59" t="s">
        <v>168</v>
      </c>
      <c r="AK18" s="60" t="s">
        <v>209</v>
      </c>
      <c r="AL18" s="143">
        <v>43039</v>
      </c>
      <c r="AM18" s="144">
        <v>43159</v>
      </c>
      <c r="AN18" s="63" t="s">
        <v>170</v>
      </c>
      <c r="AO18" s="64" t="s">
        <v>170</v>
      </c>
      <c r="AP18" s="145"/>
      <c r="AQ18" s="145" t="s">
        <v>171</v>
      </c>
      <c r="AR18" s="145">
        <v>20</v>
      </c>
      <c r="AS18" s="145">
        <v>10000</v>
      </c>
      <c r="AT18" s="146" t="s">
        <v>172</v>
      </c>
      <c r="AU18" s="147" t="s">
        <v>167</v>
      </c>
      <c r="AV18" s="148" t="s">
        <v>173</v>
      </c>
      <c r="AW18" s="149" t="s">
        <v>173</v>
      </c>
      <c r="AX18" s="150" t="s">
        <v>17</v>
      </c>
      <c r="AY18" s="151" t="s">
        <v>203</v>
      </c>
      <c r="AZ18" s="152" t="str">
        <f>IF(ISERROR(VLOOKUP(AY18,[2]PLANOS!B:C,2,0)),"",VLOOKUP(AY18,[2]PLANOS!B:C,2,0))</f>
        <v>PCS-3PHipi</v>
      </c>
      <c r="BA18" s="153" t="s">
        <v>173</v>
      </c>
      <c r="BB18" s="154" t="str">
        <f t="shared" si="1"/>
        <v/>
      </c>
      <c r="BC18" s="155"/>
      <c r="BD18" s="156"/>
      <c r="BE18" s="157">
        <v>50.11</v>
      </c>
      <c r="BF18" s="101">
        <f>IF(BE18=0,"",IF(BE18=VLOOKUP("FIXO",[2]ARBOR!$A:$C,3,0),0.0001,IF(BE18&gt;VLOOKUP("FIXO",[2]ARBOR!$A:$C,3,0),"Maior que CAP!",IF((DOLLAR(BE18+(VLOOKUP("FIXO",[2]ARBOR!$A:$C,3,0)*-TRUNC(BE18/VLOOKUP("FIXO",[2]ARBOR!$A:$C,3,0)-1,4)),6))&lt;&gt;(DOLLAR(VLOOKUP("FIXO",[2]ARBOR!$A:$C,3,0),6)),-TRUNC(BE18/VLOOKUP("FIXO",[2]ARBOR!$A:$C,3,0)-1,4)+0.0001,-TRUNC(BE18/VLOOKUP("FIXO",[2]ARBOR!$A:$C,3,0)-1,4)))))</f>
        <v>0.33929999999999999</v>
      </c>
      <c r="BG18" s="158"/>
      <c r="BH18" s="101" t="str">
        <f>IF(BG18=0,"",IF(BG18=VLOOKUP("FIXO",[2]ARBOR!$A:$C,3,0),0.0001,IF(BG18&gt;VLOOKUP("FIXO",[2]ARBOR!$A:$C,3,0),"Maior que CAP!",IF((DOLLAR(BG18+(VLOOKUP("FIXO",[2]ARBOR!$A:$C,3,0)*-TRUNC(BG18/VLOOKUP("FIXO",[2]ARBOR!$A:$C,3,0)-1,4)),6))&lt;&gt;(DOLLAR(VLOOKUP("FIXO",[2]ARBOR!$A:$C,3,0),6)),-TRUNC(BG18/VLOOKUP("FIXO",[2]ARBOR!$A:$C,3,0)-1,4)+0.0001,-TRUNC(BG18/VLOOKUP("FIXO",[2]ARBOR!$A:$C,3,0)-1,4)))))</f>
        <v/>
      </c>
      <c r="BI18" s="101" t="str">
        <f>IF(ISERROR(IF(BF18="","",VLOOKUP(($AY18&amp;BF18&amp;"Template de desconto FLAT bundle - Fixo - Varejo - Ganho Tributário Cross"),[2]BENEFICIOS!$A:$E,5,0))),"Criar",IF(BF18="","",VLOOKUP(($AY18&amp;BF18&amp;"Template de desconto FLAT bundle - Fixo - Varejo - Ganho Tributário Cross"),[2]BENEFICIOS!$A:$E,5,0)))</f>
        <v>MKT-1-9825728196</v>
      </c>
      <c r="BJ18" s="159"/>
      <c r="BK18" s="101" t="str">
        <f t="shared" si="2"/>
        <v/>
      </c>
      <c r="BL18" s="160"/>
      <c r="BM18" s="101" t="str">
        <f>IF(BL18=0,"",IF(BL18=VLOOKUP("FIXO",[2]ARBOR!$A:$C,3,0),0.0001,IF(BL18&gt;VLOOKUP("FIXO",[2]ARBOR!$A:$C,3,0),"Maior que CAP!",IF(BF18&lt;&gt;"",-ROUND(BL18/VLOOKUP("FIXO",[2]ARBOR!$A:$C,3,0)-1,4)-BF18,-ROUND(BL18/VLOOKUP("FIXO",[2]ARBOR!$A:$C,3,0)-1,4)))))</f>
        <v/>
      </c>
      <c r="BN18" s="161"/>
      <c r="BO18" s="101" t="str">
        <f>IF(ISERROR(IF(BK18="","",VLOOKUP(($AY18&amp;BK18&amp;"Template de desconto FLAT bundle - Fixo - Varejo - Ganho Tributário Cross"),[2]BENEFICIOS!$A:$E,5,0))),"Criar",IF(BK18="","",VLOOKUP(($AY18&amp;BK18&amp;"Template de desconto FLAT bundle - Fixo - Varejo - Ganho Tributário Cross"),[2]BENEFICIOS!$A:$E,5,0)))</f>
        <v/>
      </c>
      <c r="BP18" s="162" t="s">
        <v>175</v>
      </c>
      <c r="BQ18" s="163" t="s">
        <v>176</v>
      </c>
      <c r="BR18" s="164" t="s">
        <v>173</v>
      </c>
      <c r="BS18" s="165" t="str">
        <f t="shared" si="0"/>
        <v/>
      </c>
      <c r="BT18" s="155"/>
      <c r="BU18" s="166"/>
      <c r="BV18" s="167" t="s">
        <v>210</v>
      </c>
      <c r="BW18" s="168">
        <v>44.9</v>
      </c>
      <c r="BX18" s="101">
        <f>IF(BW18=0,"",IF(BW18=VLOOKUP("PCS-30874g",[2]ARBOR!$A:$C,3,0),0.0001,IF(BW18&gt;VLOOKUP("PCS-30874g",[2]ARBOR!$A:$C,3,0),"Maior que CAP!",IF((DOLLAR(BW18+(VLOOKUP("PCS-30874g",[2]ARBOR!$A:$C,3,0)*-TRUNC(BW18/VLOOKUP("PCS-30874g",[2]ARBOR!$A:$C,3,0)-1,4)),6))&lt;&gt;(DOLLAR(VLOOKUP("PCS-30874g",[2]ARBOR!$A:$C,3,0),6)),-TRUNC(BW18/VLOOKUP("PCS-30874g",[2]ARBOR!$A:$C,3,0)-1,4)+0.0001,-TRUNC(BW18/VLOOKUP("PCS-30874g",[2]ARBOR!$A:$C,3,0)-1,4)))))</f>
        <v>0.53679999999999994</v>
      </c>
      <c r="BY18" s="163" t="str">
        <f>IF(ISERROR(IF(BX18="","",VLOOKUP(($AY18&amp;BX18&amp;"Template de desconto FLAT bundle - Velox XDSL - Varejo"),[2]BENEFICIOS!$A:$E,5,0))),"Criar",IF(BX18="","",VLOOKUP(($AY18&amp;BX18&amp;"Template de desconto FLAT bundle - Velox XDSL - Varejo"),[2]BENEFICIOS!$A:$E,5,0)))</f>
        <v>MKT-1-9829477373</v>
      </c>
      <c r="BZ18" s="167" t="s">
        <v>210</v>
      </c>
      <c r="CA18" s="168">
        <v>44.9</v>
      </c>
      <c r="CB18" s="101">
        <f>IF(CA18=0,"",IF(CA18=VLOOKUP("PCS-30577g",[2]ARBOR!$A:$C,3,0),0.0001,IF(CA18&gt;VLOOKUP("PCS-30577g",[2]ARBOR!$A:$C,3,0),"Maior que CAP!",IF((DOLLAR(CA18+(VLOOKUP("PCS-30577g",[2]ARBOR!$A:$C,3,0)*-TRUNC(CA18/VLOOKUP("PCS-30577g",[2]ARBOR!$A:$C,3,0)-1,4)),6))&lt;&gt;(DOLLAR(VLOOKUP("PCS-30577g",[2]ARBOR!$A:$C,3,0),6)),-TRUNC(CA18/VLOOKUP("PCS-30577g",[2]ARBOR!$A:$C,3,0)-1,4)+0.0001,-TRUNC(CA18/VLOOKUP("PCS-30577g",[2]ARBOR!$A:$C,3,0)-1,4)))))</f>
        <v>0.53679999999999994</v>
      </c>
      <c r="CC18" s="163" t="str">
        <f>IF(ISERROR(IF(CB18="","",VLOOKUP(($AY18&amp;CB18&amp;"Template de desconto FLAT bundle - Velox XDSL - Varejo"),[2]BENEFICIOS!$A:$E,5,0))),"Criar",IF(CB18="","",VLOOKUP(($AY18&amp;CB18&amp;"Template de desconto FLAT bundle - Velox XDSL - Varejo"),[2]BENEFICIOS!$A:$E,5,0)))</f>
        <v>MKT-1-9829477373</v>
      </c>
      <c r="CD18" s="167" t="s">
        <v>210</v>
      </c>
      <c r="CE18" s="168">
        <v>44.9</v>
      </c>
      <c r="CF18" s="101">
        <f>IF(CE18=0,"",IF(CE18=VLOOKUP("PCS-30604g",[2]ARBOR!$A:$C,3,0),0.0001,IF(CE18&gt;VLOOKUP("PCS-30604g",[2]ARBOR!$A:$C,3,0),"Maior que CAP!",IF((DOLLAR(CE18+(VLOOKUP("PCS-30604g",[2]ARBOR!$A:$C,3,0)*-TRUNC(CE18/VLOOKUP("PCS-30604g",[2]ARBOR!$A:$C,3,0)-1,4)),6))&lt;&gt;(DOLLAR(VLOOKUP("PCS-30604g",[2]ARBOR!$A:$C,3,0),6)),-TRUNC(CE18/VLOOKUP("PCS-30604g",[2]ARBOR!$A:$C,3,0)-1,4)+0.0001,-TRUNC(CE18/VLOOKUP("PCS-30604g",[2]ARBOR!$A:$C,3,0)-1,4)))))</f>
        <v>0.53679999999999994</v>
      </c>
      <c r="CG18" s="163" t="str">
        <f>IF(ISERROR(IF(CF18="","",VLOOKUP(($AY18&amp;CF18&amp;"Template de desconto FLAT bundle - Velox XDSL - Varejo"),[2]BENEFICIOS!$A:$E,5,0))),"Criar",IF(CF18="","",VLOOKUP(($AY18&amp;CF18&amp;"Template de desconto FLAT bundle - Velox XDSL - Varejo"),[2]BENEFICIOS!$A:$E,5,0)))</f>
        <v>MKT-1-9829477373</v>
      </c>
      <c r="CH18" s="167" t="s">
        <v>210</v>
      </c>
      <c r="CI18" s="168">
        <v>44.9</v>
      </c>
      <c r="CJ18" s="101">
        <f>IF(CI18=0,"",IF(CI18=VLOOKUP("PCS-30631g",[2]ARBOR!$A:$C,3,0),0.0001,IF(CI18&gt;VLOOKUP("PCS-30631g",[2]ARBOR!$A:$C,3,0),"Maior que CAP!",IF((DOLLAR(CI18+(VLOOKUP("PCS-30631g",[2]ARBOR!$A:$C,3,0)*-TRUNC(CI18/VLOOKUP("PCS-30631g",[2]ARBOR!$A:$C,3,0)-1,4)),6))&lt;&gt;(DOLLAR(VLOOKUP("PCS-30631g",[2]ARBOR!$A:$C,3,0),6)),-TRUNC(CI18/VLOOKUP("PCS-30631g",[2]ARBOR!$A:$C,3,0)-1,4)+0.0001,-TRUNC(CI18/VLOOKUP("PCS-30631g",[2]ARBOR!$A:$C,3,0)-1,4)))))</f>
        <v>0.54310000000000003</v>
      </c>
      <c r="CK18" s="163" t="str">
        <f>IF(ISERROR(IF(CJ18="","",VLOOKUP(($AY18&amp;CJ18&amp;"Template de desconto FLAT bundle - Velox XDSL - Varejo"),[2]BENEFICIOS!$A:$E,5,0))),"Criar",IF(CJ18="","",VLOOKUP(($AY18&amp;CJ18&amp;"Template de desconto FLAT bundle - Velox XDSL - Varejo"),[2]BENEFICIOS!$A:$E,5,0)))</f>
        <v>MKT-1-9828219079</v>
      </c>
      <c r="CL18" s="167" t="s">
        <v>104</v>
      </c>
      <c r="CM18" s="168">
        <v>49.9</v>
      </c>
      <c r="CN18" s="101">
        <f>IF(CM18=0,"",IF(CM18=VLOOKUP("PCS-30658g",[2]ARBOR!$A:$C,3,0),0.0001,IF(CM18&gt;VLOOKUP("PCS-30658g",[2]ARBOR!$A:$C,3,0),"Maior que CAP!",IF((DOLLAR(CM18+(VLOOKUP("PCS-30658g",[2]ARBOR!$A:$C,3,0)*-TRUNC(CM18/VLOOKUP("PCS-30658g",[2]ARBOR!$A:$C,3,0)-1,4)),6))&lt;&gt;(DOLLAR(VLOOKUP("PCS-30658g",[2]ARBOR!$A:$C,3,0),6)),-TRUNC(CM18/VLOOKUP("PCS-30658g",[2]ARBOR!$A:$C,3,0)-1,4)+0.0001,-TRUNC(CM18/VLOOKUP("PCS-30658g",[2]ARBOR!$A:$C,3,0)-1,4)))))</f>
        <v>0.55569999999999997</v>
      </c>
      <c r="CO18" s="163" t="str">
        <f>IF(ISERROR(IF(CN18="","",VLOOKUP(($AY18&amp;CN18&amp;"Template de desconto FLAT bundle - Velox XDSL - Varejo"),[2]BENEFICIOS!$A:$E,5,0))),"Criar",IF(CN18="","",VLOOKUP(($AY18&amp;CN18&amp;"Template de desconto FLAT bundle - Velox XDSL - Varejo"),[2]BENEFICIOS!$A:$E,5,0)))</f>
        <v>MKT-1-9828243608</v>
      </c>
      <c r="CP18" s="167" t="s">
        <v>104</v>
      </c>
      <c r="CQ18" s="168">
        <v>49.9</v>
      </c>
      <c r="CR18" s="101">
        <f>IF(CQ18=0,"",IF(CQ18=VLOOKUP("PCS-30685g",[2]ARBOR!$A:$C,3,0),0.0001,IF(CQ18&gt;VLOOKUP("PCS-30685g",[2]ARBOR!$A:$C,3,0),"Maior que CAP!",IF((DOLLAR(CQ18+(VLOOKUP("PCS-30685g",[2]ARBOR!$A:$C,3,0)*-TRUNC(CQ18/VLOOKUP("PCS-30685g",[2]ARBOR!$A:$C,3,0)-1,4)),6))&lt;&gt;(DOLLAR(VLOOKUP("PCS-30685g",[2]ARBOR!$A:$C,3,0),6)),-TRUNC(CQ18/VLOOKUP("PCS-30685g",[2]ARBOR!$A:$C,3,0)-1,4)+0.0001,-TRUNC(CQ18/VLOOKUP("PCS-30685g",[2]ARBOR!$A:$C,3,0)-1,4)))))</f>
        <v>0.60509999999999997</v>
      </c>
      <c r="CS18" s="163" t="str">
        <f>IF(ISERROR(IF(CR18="","",VLOOKUP(($AY18&amp;CR18&amp;"Template de desconto FLAT bundle - Velox XDSL - Varejo"),[2]BENEFICIOS!$A:$E,5,0))),"Criar",IF(CR18="","",VLOOKUP(($AY18&amp;CR18&amp;"Template de desconto FLAT bundle - Velox XDSL - Varejo"),[2]BENEFICIOS!$A:$E,5,0)))</f>
        <v>MKT-1-9828260647</v>
      </c>
      <c r="CT18" s="167" t="s">
        <v>104</v>
      </c>
      <c r="CU18" s="168">
        <v>49.9</v>
      </c>
      <c r="CV18" s="101">
        <f>IF(CU18=0,"",IF(CU18=VLOOKUP("PCS-30712g",[2]ARBOR!$A:$C,3,0),0.0001,IF(CU18&gt;VLOOKUP("PCS-30712g",[2]ARBOR!$A:$C,3,0),"Maior que CAP!",IF((DOLLAR(CU18+(VLOOKUP("PCS-30712g",[2]ARBOR!$A:$C,3,0)*-TRUNC(CU18/VLOOKUP("PCS-30712g",[2]ARBOR!$A:$C,3,0)-1,4)),6))&lt;&gt;(DOLLAR(VLOOKUP("PCS-30712g",[2]ARBOR!$A:$C,3,0),6)),-TRUNC(CU18/VLOOKUP("PCS-30712g",[2]ARBOR!$A:$C,3,0)-1,4)+0.0001,-TRUNC(CU18/VLOOKUP("PCS-30712g",[2]ARBOR!$A:$C,3,0)-1,4)))))</f>
        <v>0.64459999999999995</v>
      </c>
      <c r="CW18" s="163" t="str">
        <f>IF(ISERROR(IF(CV18="","",VLOOKUP(($AY18&amp;CV18&amp;"Template de desconto FLAT bundle - Velox XDSL - Varejo"),[2]BENEFICIOS!$A:$E,5,0))),"Criar",IF(CV18="","",VLOOKUP(($AY18&amp;CV18&amp;"Template de desconto FLAT bundle - Velox XDSL - Varejo"),[2]BENEFICIOS!$A:$E,5,0)))</f>
        <v>MKT-1-9828260926</v>
      </c>
      <c r="CX18" s="167" t="s">
        <v>104</v>
      </c>
      <c r="CY18" s="168">
        <v>59.9</v>
      </c>
      <c r="CZ18" s="101">
        <f>IF(CY18=0,"",IF(CY18=VLOOKUP("PCS-30739g",[2]ARBOR!$A:$C,3,0),0.0001,IF(CY18&gt;VLOOKUP("PCS-30739g",[2]ARBOR!$A:$C,3,0),"Maior que CAP!",IF((DOLLAR(CY18+(VLOOKUP("PCS-30739g",[2]ARBOR!$A:$C,3,0)*-TRUNC(CY18/VLOOKUP("PCS-30739g",[2]ARBOR!$A:$C,3,0)-1,4)),6))&lt;&gt;(DOLLAR(VLOOKUP("PCS-30739g",[2]ARBOR!$A:$C,3,0),6)),-TRUNC(CY18/VLOOKUP("PCS-30739g",[2]ARBOR!$A:$C,3,0)-1,4)+0.0001,-TRUNC(CY18/VLOOKUP("PCS-30739g",[2]ARBOR!$A:$C,3,0)-1,4)))))</f>
        <v>0.71560000000000001</v>
      </c>
      <c r="DA18" s="169" t="str">
        <f>IF(ISERROR(IF(CZ18="","",VLOOKUP(($AY18&amp;CZ18&amp;"Template de desconto FLAT bundle - Velox XDSL - Varejo"),[2]BENEFICIOS!$A:$E,5,0))),"Criar",IF(CZ18="","",VLOOKUP(($AY18&amp;CZ18&amp;"Template de desconto FLAT bundle - Velox XDSL - Varejo"),[2]BENEFICIOS!$A:$E,5,0)))</f>
        <v>MKT-1-9828272465</v>
      </c>
      <c r="DB18" s="170">
        <v>29.95</v>
      </c>
      <c r="DC18" s="215">
        <v>6</v>
      </c>
      <c r="DD18" s="101">
        <f>IF(DB18=0,"",IF(DB18=VLOOKUP("PCS-30739g",[2]ARBOR!$A:$C,3,0),0.0001,IF(DB18&gt;VLOOKUP("PCS-30739g",[2]ARBOR!$A:$C,3,0),"Maior que CAP!",IF((DOLLAR(DB18+(VLOOKUP("PCS-30739g",[2]ARBOR!$A:$C,3,0)*-TRUNC(DB18/VLOOKUP("PCS-30739g",[2]ARBOR!$A:$C,3,0)-1,4)),6))&lt;&gt;(DOLLAR(VLOOKUP("PCS-30739g",[2]ARBOR!$A:$C,3,0),6)),(-TRUNC(DB18/VLOOKUP("PCS-30739g",[2]ARBOR!$A:$C,3,0)-1,4)+0.0001)-CZ18,-TRUNC(DB18/VLOOKUP("PCS-30739g",[2]ARBOR!$A:$C,3,0)-1,4)-CZ18))))</f>
        <v>0.14219999999999999</v>
      </c>
      <c r="DE18" s="163" t="str">
        <f>IF(ISERROR(IF(DD18="","",VLOOKUP(($AY18&amp;DD18&amp;"Template de desconto percentual Bundle - Velox XDSL - Varejo"),[2]BENEFICIOS!$A:$E,5,0))),"Criar",IF(DD18="","",VLOOKUP(($AY18&amp;DD18&amp;"Template de desconto percentual Bundle - Velox XDSL - Varejo"),[2]BENEFICIOS!$A:$E,5,0)))</f>
        <v>MKT-1-9832066535</v>
      </c>
      <c r="DF18" s="167" t="s">
        <v>104</v>
      </c>
      <c r="DG18" s="168">
        <v>59.9</v>
      </c>
      <c r="DH18" s="101">
        <f>IF(DG18=0,"",IF(DG18=VLOOKUP("PCS-30766g",[2]ARBOR!$A:$C,3,0),0.0001,IF(DG18&gt;VLOOKUP("PCS-30766g",[2]ARBOR!$A:$C,3,0),"Maior que CAP!",IF((DOLLAR(DG18+(VLOOKUP("PCS-30766g",[2]ARBOR!$A:$C,3,0)*-TRUNC(DG18/VLOOKUP("PCS-30766g",[2]ARBOR!$A:$C,3,0)-1,4)),6))&lt;&gt;(DOLLAR(VLOOKUP("PCS-30766g",[2]ARBOR!$A:$C,3,0),6)),-TRUNC(DG18/VLOOKUP("PCS-30766g",[2]ARBOR!$A:$C,3,0)-1,4)+0.0001,-TRUNC(DG18/VLOOKUP("PCS-30766g",[2]ARBOR!$A:$C,3,0)-1,4)))))</f>
        <v>0.78669999999999995</v>
      </c>
      <c r="DI18" s="169" t="str">
        <f>IF(ISERROR(IF(DH18="","",VLOOKUP(($AY18&amp;DH18&amp;"Template de desconto FLAT bundle - Velox XDSL - Varejo"),[2]BENEFICIOS!$A:$E,5,0))),"Criar",IF(DH18="","",VLOOKUP(($AY18&amp;DH18&amp;"Template de desconto FLAT bundle - Velox XDSL - Varejo"),[2]BENEFICIOS!$A:$E,5,0)))</f>
        <v>MKT-1-9828285890</v>
      </c>
      <c r="DJ18" s="170">
        <v>29.95</v>
      </c>
      <c r="DK18" s="215">
        <v>6</v>
      </c>
      <c r="DL18" s="101">
        <f>IF(DJ18=0,"",IF(DJ18=VLOOKUP("PCS-30766g",[2]ARBOR!$A:$C,3,0),0.0001,IF(DJ18&gt;VLOOKUP("PCS-30766g",[2]ARBOR!$A:$C,3,0),"Maior que CAP!",IF((DOLLAR(DJ18+(VLOOKUP("PCS-30766g",[2]ARBOR!$A:$C,3,0)*-TRUNC(DJ18/VLOOKUP("PCS-30766g",[2]ARBOR!$A:$C,3,0)-1,4)),6))&lt;&gt;(DOLLAR(VLOOKUP("PCS-30766g",[2]ARBOR!$A:$C,3,0),6)),(-TRUNC(DJ18/VLOOKUP("PCS-30766g",[2]ARBOR!$A:$C,3,0)-1,4)+0.0001)-DH18,-TRUNC(DJ18/VLOOKUP("PCS-30766g",[2]ARBOR!$A:$C,3,0)-1,4)-DH18))))</f>
        <v>0.10670000000000002</v>
      </c>
      <c r="DM18" s="163" t="str">
        <f>IF(ISERROR(IF(DL18="","",VLOOKUP(($AY18&amp;DL18&amp;"Template de desconto percentual Bundle - Velox XDSL - Varejo"),[2]BENEFICIOS!$A:$E,5,0))),"Criar",IF(DL18="","",VLOOKUP(($AY18&amp;DL18&amp;"Template de desconto percentual Bundle - Velox XDSL - Varejo"),[2]BENEFICIOS!$A:$E,5,0)))</f>
        <v>MKT-1-9832066763</v>
      </c>
      <c r="DN18" s="167" t="s">
        <v>210</v>
      </c>
      <c r="DO18" s="168">
        <v>69.900000000000006</v>
      </c>
      <c r="DP18" s="101">
        <f>IF(DO18=0,"",IF(DO18=VLOOKUP("PCS-30793g",[2]ARBOR!$A:$C,3,0),0.0001,IF(DO18&gt;VLOOKUP("PCS-30793g",[2]ARBOR!$A:$C,3,0),"Maior que CAP!",IF((DOLLAR(DO18+(VLOOKUP("PCS-30793g",[2]ARBOR!$A:$C,3,0)*-TRUNC(DO18/VLOOKUP("PCS-30793g",[2]ARBOR!$A:$C,3,0)-1,4)),6))&lt;&gt;(DOLLAR(VLOOKUP("PCS-30793g",[2]ARBOR!$A:$C,3,0),6)),-TRUNC(DO18/VLOOKUP("PCS-30793g",[2]ARBOR!$A:$C,3,0)-1,4)+0.0001,-TRUNC(DO18/VLOOKUP("PCS-30793g",[2]ARBOR!$A:$C,3,0)-1,4)))))</f>
        <v>0.75109999999999999</v>
      </c>
      <c r="DQ18" s="169" t="str">
        <f>IF(ISERROR(IF(DP18="","",VLOOKUP(($AY18&amp;DP18&amp;"Template de desconto FLAT bundle - Velox XDSL - Varejo"),[2]BENEFICIOS!$A:$E,5,0))),"Criar",IF(DP18="","",VLOOKUP(($AY18&amp;DP18&amp;"Template de desconto FLAT bundle - Velox XDSL - Varejo"),[2]BENEFICIOS!$A:$E,5,0)))</f>
        <v>MKT-1-9828314259</v>
      </c>
      <c r="DR18" s="170">
        <v>34.950000000000003</v>
      </c>
      <c r="DS18" s="215">
        <v>6</v>
      </c>
      <c r="DT18" s="101">
        <f>IF(DR18=0,"",IF(DR18=VLOOKUP("PCS-30793g",[2]ARBOR!$A:$C,3,0),0.0001,IF(DR18&gt;VLOOKUP("PCS-30793g",[2]ARBOR!$A:$C,3,0),"Maior que CAP!",IF((DOLLAR(DR18+(VLOOKUP("PCS-30793g",[2]ARBOR!$A:$C,3,0)*-TRUNC(DR18/VLOOKUP("PCS-30793g",[2]ARBOR!$A:$C,3,0)-1,4)),6))&lt;&gt;(DOLLAR(VLOOKUP("PCS-30793g",[2]ARBOR!$A:$C,3,0),6)),(-TRUNC(DR18/VLOOKUP("PCS-30793g",[2]ARBOR!$A:$C,3,0)-1,4)+0.0001)-DP18,-TRUNC(DR18/VLOOKUP("PCS-30793g",[2]ARBOR!$A:$C,3,0)-1,4)-DP18))))</f>
        <v>0.12449999999999994</v>
      </c>
      <c r="DU18" s="163" t="str">
        <f>IF(ISERROR(IF(DT18="","",VLOOKUP(($AY18&amp;DT18&amp;"Template de desconto percentual Bundle - Velox XDSL - Varejo"),[2]BENEFICIOS!$A:$E,5,0))),"Criar",IF(DT18="","",VLOOKUP(($AY18&amp;DT18&amp;"Template de desconto percentual Bundle - Velox XDSL - Varejo"),[2]BENEFICIOS!$A:$E,5,0)))</f>
        <v>MKT-1-9826047043</v>
      </c>
      <c r="DV18" s="167" t="s">
        <v>104</v>
      </c>
      <c r="DW18" s="168">
        <v>69.900000000000006</v>
      </c>
      <c r="DX18" s="101">
        <f>IF(DW18=0,"",IF(DW18=VLOOKUP("PCS-30820g",[2]ARBOR!$A:$C,3,0),0.0001,IF(DW18&gt;VLOOKUP("PCS-30820g",[2]ARBOR!$A:$C,3,0),"Maior que CAP!",IF((DOLLAR(DW18+(VLOOKUP("PCS-30820g",[2]ARBOR!$A:$C,3,0)*-TRUNC(DW18/VLOOKUP("PCS-30820g",[2]ARBOR!$A:$C,3,0)-1,4)),6))&lt;&gt;(DOLLAR(VLOOKUP("PCS-30820g",[2]ARBOR!$A:$C,3,0),6)),-TRUNC(DW18/VLOOKUP("PCS-30820g",[2]ARBOR!$A:$C,3,0)-1,4)+0.0001,-TRUNC(DW18/VLOOKUP("PCS-30820g",[2]ARBOR!$A:$C,3,0)-1,4)))))</f>
        <v>0.75109999999999999</v>
      </c>
      <c r="DY18" s="169" t="str">
        <f>IF(ISERROR(IF(DX18="","",VLOOKUP(($AY18&amp;DX18&amp;"Template de desconto FLAT bundle - Velox XDSL - Varejo"),[2]BENEFICIOS!$A:$E,5,0))),"Criar",IF(DX18="","",VLOOKUP(($AY18&amp;DX18&amp;"Template de desconto FLAT bundle - Velox XDSL - Varejo"),[2]BENEFICIOS!$A:$E,5,0)))</f>
        <v>MKT-1-9828314259</v>
      </c>
      <c r="DZ18" s="170">
        <v>34.950000000000003</v>
      </c>
      <c r="EA18" s="215">
        <v>6</v>
      </c>
      <c r="EB18" s="101">
        <f>IF(DZ18=0,"",IF(DZ18=VLOOKUP("PCS-30820g",[2]ARBOR!$A:$C,3,0),0.0001,IF(DZ18&gt;VLOOKUP("PCS-30820g",[2]ARBOR!$A:$C,3,0),"Maior que CAP!",IF((DOLLAR(DZ18+(VLOOKUP("PCS-30820g",[2]ARBOR!$A:$C,3,0)*-TRUNC(DZ18/VLOOKUP("PCS-30820g",[2]ARBOR!$A:$C,3,0)-1,4)),6))&lt;&gt;(DOLLAR(VLOOKUP("PCS-30820g",[2]ARBOR!$A:$C,3,0),6)),(-TRUNC(DZ18/VLOOKUP("PCS-30820g",[2]ARBOR!$A:$C,3,0)-1,4)+0.0001)-DX18,-TRUNC(DZ18/VLOOKUP("PCS-30820g",[2]ARBOR!$A:$C,3,0)-1,4)-DX18))))</f>
        <v>0.12449999999999994</v>
      </c>
      <c r="EC18" s="163" t="str">
        <f>IF(ISERROR(IF(EB18="","",VLOOKUP(($AY18&amp;EB18&amp;"Template de desconto percentual Bundle - Velox XDSL - Varejo"),[2]BENEFICIOS!$A:$E,5,0))),"Criar",IF(EB18="","",VLOOKUP(($AY18&amp;EB18&amp;"Template de desconto percentual Bundle - Velox XDSL - Varejo"),[2]BENEFICIOS!$A:$E,5,0)))</f>
        <v>MKT-1-9826047043</v>
      </c>
      <c r="ED18" s="172"/>
      <c r="EE18" s="101" t="str">
        <f>IF(ED18=0,"",IF(ED18=VLOOKUP("PCS-21448p2",[2]ARBOR!$A:$C,3,0),0.0001,IF(ED18&gt;VLOOKUP("PCS-21448p2",[2]ARBOR!$A:$C,3,0),"Maior que CAP!",IF((DOLLAR(ED18+(VLOOKUP("PCS-21448p2",[2]ARBOR!$A:$C,3,0)*-TRUNC(ED18/VLOOKUP("PCS-21448p2",[2]ARBOR!$A:$C,3,0)-1,4)),6))&lt;&gt;(DOLLAR(VLOOKUP("PCS-21448p2",[2]ARBOR!$A:$C,3,0),6)),-TRUNC(ED18/VLOOKUP("PCS-21448p2",[2]ARBOR!$A:$C,3,0)-1,4)+0.0001,-TRUNC(ED18/VLOOKUP("PCS-21448p2",[2]ARBOR!$A:$C,3,0)-1,4)))))</f>
        <v/>
      </c>
      <c r="EF18" s="101" t="str">
        <f>IF(ISERROR(IF(EE18="","",VLOOKUP(("Oi Conta Total Plug 10GB Downgrade"&amp;EE18&amp;"Template de desconto percentual BL Móvel - Internet Total - Varejo"),[2]BENEFICIOS!$A:$E,5,0))),"Criar",IF(EE18="","",VLOOKUP(("Oi Conta Total Plug 10GB Downgrade"&amp;EE18&amp;"Template de desconto percentual BL Móvel - Internet Total - Varejo"),[2]BENEFICIOS!$A:$E,5,0)))</f>
        <v/>
      </c>
      <c r="EG18" s="173">
        <v>19.899999999999999</v>
      </c>
      <c r="EH18" s="174">
        <f>IF(EG18=0,"",IF(EG18=VLOOKUP("SVA",[2]ARBOR!$A:$C,3,0),0.0001,IF(EG18&gt;VLOOKUP("SVA",[2]ARBOR!$A:$C,3,0),"Maior que CAP!",IF((DOLLAR(EG18+(VLOOKUP("SVA",[2]ARBOR!$A:$C,3,0)*-TRUNC(EG18/VLOOKUP("SVA",[2]ARBOR!$A:$C,3,0)-1,4)),6))&lt;&gt;(DOLLAR(VLOOKUP("SVA",[2]ARBOR!$A:$C,3,0),6)),-TRUNC(EG18/VLOOKUP("SVA",[2]ARBOR!$A:$C,3,0)-1,4)+0.0001,-TRUNC(EG18/VLOOKUP("SVA",[2]ARBOR!$A:$C,3,0)-1,4)))))</f>
        <v>7.1400000000000005E-2</v>
      </c>
      <c r="EI18" s="174" t="s">
        <v>211</v>
      </c>
      <c r="EJ18" s="175" t="s">
        <v>219</v>
      </c>
      <c r="EK18" s="176">
        <v>6</v>
      </c>
      <c r="EL18" s="177">
        <f t="shared" si="3"/>
        <v>0.92859999999999998</v>
      </c>
      <c r="EM18" s="174" t="s">
        <v>220</v>
      </c>
      <c r="EN18" s="103"/>
      <c r="EO18" s="101" t="str">
        <f>IF(EN18=0,"",IF(EN18=VLOOKUP("PCS-OzTL40",[2]ARBOR!$A:$C,3,0),0.0001,IF(EN18&gt;VLOOKUP("PCS-OzTL40",[2]ARBOR!$A:$C,3,0),"Maior que CAP!",IF((DOLLAR(EN18+(VLOOKUP("PCS-OzTL40",[2]ARBOR!$A:$C,3,0)*-TRUNC(EN18/VLOOKUP("PCS-OzTL40",[2]ARBOR!$A:$C,3,0)-1,4)),6))&lt;&gt;(DOLLAR(VLOOKUP("PCS-OzTL40",[2]ARBOR!$A:$C,3,0),6)),-TRUNC(EN18/VLOOKUP("PCS-OzTL40",[2]ARBOR!$A:$C,3,0)-1,4)+0.0001,-TRUNC(EN18/VLOOKUP("PCS-OzTL40",[2]ARBOR!$A:$C,3,0)-1,4)))))</f>
        <v/>
      </c>
      <c r="EP18" s="163" t="str">
        <f>IF(ISERROR(IF(EO18="","",VLOOKUP(($AY18&amp;EO18&amp;"Template desconto FLAT Plano Principal Oi TV nível conta"),[2]BENEFICIOS!$A:$G,5,0))),"Criar",IF(EO18="","",VLOOKUP(($AY18&amp;EO18&amp;"Template desconto FLAT Plano Principal Oi TV nível conta"),[2]BENEFICIOS!$A:$G,5,0)))</f>
        <v/>
      </c>
      <c r="EQ18" s="103"/>
      <c r="ER18" s="101" t="str">
        <f>IF(EQ18=0,"",IF(EQ18=VLOOKUP("PCS-OzTL41",[2]ARBOR!$A:$C,3,0),0.0001,IF(EQ18&gt;VLOOKUP("PCS-OzTL41",[2]ARBOR!$A:$C,3,0),"Maior que CAP!",IF((DOLLAR(EQ18+(VLOOKUP("PCS-OzTL41",[2]ARBOR!$A:$C,3,0)*-TRUNC(EQ18/VLOOKUP("PCS-OzTL41",[2]ARBOR!$A:$C,3,0)-1,4)),6))&lt;&gt;(DOLLAR(VLOOKUP("PCS-OzTL41",[2]ARBOR!$A:$C,3,0),6)),-TRUNC(EQ18/VLOOKUP("PCS-OzTL41",[2]ARBOR!$A:$C,3,0)-1,4)+0.0001,-TRUNC(EQ18/VLOOKUP("PCS-OzTL41",[2]ARBOR!$A:$C,3,0)-1,4)))))</f>
        <v/>
      </c>
      <c r="ES18" s="178" t="str">
        <f>IF(ISERROR(IF(ER18="","",VLOOKUP(($AY18&amp;ER18&amp;"Template desconto FLAT Plano Principal Oi TV nível conta"),[2]BENEFICIOS!$A:$G,5,0))),"Criar",IF(ER18="","",VLOOKUP(($AY18&amp;ER18&amp;"Template desconto FLAT Plano Principal Oi TV nível conta"),[2]BENEFICIOS!$A:$G,5,0)))</f>
        <v/>
      </c>
      <c r="ET18" s="103"/>
      <c r="EU18" s="101" t="str">
        <f>IF(ET18=0,"",IF(ET18=VLOOKUP("PCS-OzTL44",[2]ARBOR!$A:$C,3,0),0.0001,IF(ET18&gt;VLOOKUP("PCS-OzTL44",[2]ARBOR!$A:$C,3,0),"Maior que CAP!",IF((DOLLAR(ET18+(VLOOKUP("PCS-OzTL44",[2]ARBOR!$A:$C,3,0)*-TRUNC(ET18/VLOOKUP("PCS-OzTL44",[2]ARBOR!$A:$C,3,0)-1,4)),6))&lt;&gt;(DOLLAR(VLOOKUP("PCS-OzTL44",[2]ARBOR!$A:$C,3,0),6)),-TRUNC(ET18/VLOOKUP("PCS-OzTL44",[2]ARBOR!$A:$C,3,0)-1,4)+0.0001,-TRUNC(ET18/VLOOKUP("PCS-OzTL44",[2]ARBOR!$A:$C,3,0)-1,4)))))</f>
        <v/>
      </c>
      <c r="EV18" s="178" t="str">
        <f>IF(ISERROR(IF(EU18="","",VLOOKUP(($AY18&amp;EU18&amp;"Template desconto FLAT Plano Principal Oi TV nível conta"),[2]BENEFICIOS!$A:$G,5,0))),"Criar",IF(EU18="","",VLOOKUP(($AY18&amp;EU18&amp;"Template desconto FLAT Plano Principal Oi TV nível conta"),[2]BENEFICIOS!$A:$G,5,0)))</f>
        <v/>
      </c>
      <c r="EW18" s="103"/>
      <c r="EX18" s="101" t="str">
        <f>IF(EW18=0,"",IF(EW18=VLOOKUP("PCS-OzTL43",[2]ARBOR!$A:$C,3,0),0.0001,IF(EW18&gt;VLOOKUP("PCS-OzTL43",[2]ARBOR!$A:$C,3,0),"Maior que CAP!",IF((DOLLAR(EW18+(VLOOKUP("PCS-OzTL43",[2]ARBOR!$A:$C,3,0)*-TRUNC(EW18/VLOOKUP("PCS-OzTL43",[2]ARBOR!$A:$C,3,0)-1,4)),6))&lt;&gt;(DOLLAR(VLOOKUP("PCS-OzTL43",[2]ARBOR!$A:$C,3,0),6)),-TRUNC(EW18/VLOOKUP("PCS-OzTL43",[2]ARBOR!$A:$C,3,0)-1,4)+0.0001,-TRUNC(EW18/VLOOKUP("PCS-OzTL43",[2]ARBOR!$A:$C,3,0)-1,4)))))</f>
        <v/>
      </c>
      <c r="EY18" s="178" t="str">
        <f>IF(ISERROR(IF(EX18="","",VLOOKUP(($AY18&amp;EX18&amp;"Template desconto FLAT Plano Principal Oi TV nível conta"),[2]BENEFICIOS!$A:$G,5,0))),"Criar",IF(EX18="","",VLOOKUP(($AY18&amp;EX18&amp;"Template desconto FLAT Plano Principal Oi TV nível conta"),[2]BENEFICIOS!$A:$G,5,0)))</f>
        <v/>
      </c>
      <c r="EZ18" s="103"/>
      <c r="FA18" s="101" t="str">
        <f>IF(EZ18=0,"",IF(EZ18=VLOOKUP("PCS-OzTL45",[2]ARBOR!$A:$C,3,0),0.0001,IF(EZ18&gt;VLOOKUP("PCS-OzTL45",[2]ARBOR!$A:$C,3,0),"Maior que CAP!",IF((DOLLAR(EZ18+(VLOOKUP("PCS-OzTL45",[2]ARBOR!$A:$C,3,0)*-TRUNC(EZ18/VLOOKUP("PCS-OzTL45",[2]ARBOR!$A:$C,3,0)-1,4)),6))&lt;&gt;(DOLLAR(VLOOKUP("PCS-OzTL45",[2]ARBOR!$A:$C,3,0),6)),-TRUNC(EZ18/VLOOKUP("PCS-OzTL45",[2]ARBOR!$A:$C,3,0)-1,4)+0.0001,-TRUNC(EZ18/VLOOKUP("PCS-OzTL45",[2]ARBOR!$A:$C,3,0)-1,4)))))</f>
        <v/>
      </c>
      <c r="FB18" s="178" t="str">
        <f>IF(ISERROR(IF(FA18="","",VLOOKUP(($AY18&amp;FA18&amp;"Template desconto FLAT Plano Principal Oi TV nível conta"),[2]BENEFICIOS!$A:$G,5,0))),"Criar",IF(FA18="","",VLOOKUP(($AY18&amp;FA18&amp;"Template desconto FLAT Plano Principal Oi TV nível conta"),[2]BENEFICIOS!$A:$G,5,0)))</f>
        <v/>
      </c>
      <c r="FC18" s="103"/>
      <c r="FD18" s="101" t="str">
        <f>IF(FC18=0,"",IF(FC18=VLOOKUP("PCS-OzTL741",[2]ARBOR!$A:$C,3,0),0.0001,IF(FC18&gt;VLOOKUP("PCS-OzTL741",[2]ARBOR!$A:$C,3,0),"Maior que CAP!",IF((DOLLAR(FC18+(VLOOKUP("PCS-OzTL741",[2]ARBOR!$A:$C,3,0)*-TRUNC(FC18/VLOOKUP("PCS-OzTL741",[2]ARBOR!$A:$C,3,0)-1,4)),6))&lt;&gt;(DOLLAR(VLOOKUP("PCS-OzTL741",[2]ARBOR!$A:$C,3,0),6)),-TRUNC(FC18/VLOOKUP("PCS-OzTL741",[2]ARBOR!$A:$C,3,0)-1,4)+0.0001,-TRUNC(FC18/VLOOKUP("PCS-OzTL741",[2]ARBOR!$A:$C,3,0)-1,4)))))</f>
        <v/>
      </c>
      <c r="FE18" s="178" t="str">
        <f>IF(ISERROR(IF(FD18="","",VLOOKUP(($AY18&amp;FD18&amp;"Template desconto FLAT Plano Principal Oi TV nível conta"),[2]BENEFICIOS!$A:$G,5,0))),"Criar",IF(FD18="","",VLOOKUP(($AY18&amp;FD18&amp;"Template desconto FLAT Plano Principal Oi TV nível conta"),[2]BENEFICIOS!$A:$G,5,0)))</f>
        <v/>
      </c>
      <c r="FF18" s="103"/>
      <c r="FG18" s="101" t="str">
        <f>IF(FF18=0,"",IF(FF18=VLOOKUP("PCS-OzTL744",[2]ARBOR!$A:$C,3,0),0.0001,IF(FF18&gt;VLOOKUP("PCS-OzTL744",[2]ARBOR!$A:$C,3,0),"Maior que CAP!",IF((DOLLAR(FF18+(VLOOKUP("PCS-OzTL744",[2]ARBOR!$A:$C,3,0)*-TRUNC(FF18/VLOOKUP("PCS-OzTL744",[2]ARBOR!$A:$C,3,0)-1,4)),6))&lt;&gt;(DOLLAR(VLOOKUP("PCS-OzTL744",[2]ARBOR!$A:$C,3,0),6)),-TRUNC(FF18/VLOOKUP("PCS-OzTL744",[2]ARBOR!$A:$C,3,0)-1,4)+0.0001,-TRUNC(FF18/VLOOKUP("PCS-OzTL744",[2]ARBOR!$A:$C,3,0)-1,4)))))</f>
        <v/>
      </c>
      <c r="FH18" s="178" t="str">
        <f>IF(ISERROR(IF(FG18="","",VLOOKUP(($AY18&amp;FG18&amp;"Template desconto FLAT Plano Principal Oi TV nível conta"),[2]BENEFICIOS!$A:$G,5,0))),"Criar",IF(FG18="","",VLOOKUP(($AY18&amp;FG18&amp;"Template desconto FLAT Plano Principal Oi TV nível conta"),[2]BENEFICIOS!$A:$G,5,0)))</f>
        <v/>
      </c>
      <c r="FI18" s="103"/>
      <c r="FJ18" s="101" t="str">
        <f>IF(FI18=0,"",IF(FI18=VLOOKUP("PCS-OzTL743",[2]ARBOR!$A:$C,3,0),0.0001,IF(FI18&gt;VLOOKUP("PCS-OzTL743",[2]ARBOR!$A:$C,3,0),"Maior que CAP!",IF((DOLLAR(FI18+(VLOOKUP("PCS-OzTL743",[2]ARBOR!$A:$C,3,0)*-TRUNC(FI18/VLOOKUP("PCS-OzTL743",[2]ARBOR!$A:$C,3,0)-1,4)),6))&lt;&gt;(DOLLAR(VLOOKUP("PCS-OzTL743",[2]ARBOR!$A:$C,3,0),6)),-TRUNC(FI18/VLOOKUP("PCS-OzTL743",[2]ARBOR!$A:$C,3,0)-1,4)+0.0001,-TRUNC(FI18/VLOOKUP("PCS-OzTL743",[2]ARBOR!$A:$C,3,0)-1,4)))))</f>
        <v/>
      </c>
      <c r="FK18" s="178" t="str">
        <f>IF(ISERROR(IF(FJ18="","",VLOOKUP(($AY18&amp;FJ18&amp;"Template desconto FLAT Plano Principal Oi TV nível conta"),[2]BENEFICIOS!$A:$G,5,0))),"Criar",IF(FJ18="","",VLOOKUP(($AY18&amp;FJ18&amp;"Template desconto FLAT Plano Principal Oi TV nível conta"),[2]BENEFICIOS!$A:$G,5,0)))</f>
        <v/>
      </c>
      <c r="FL18" s="103"/>
      <c r="FM18" s="101" t="str">
        <f>IF(FL18=0,"",IF(FL18=VLOOKUP("PCS-OzTL745",[2]ARBOR!$A:$C,3,0),0.0001,IF(FL18&gt;VLOOKUP("PCS-OzTL745",[2]ARBOR!$A:$C,3,0),"Maior que CAP!",IF((DOLLAR(FL18+(VLOOKUP("PCS-OzTL745",[2]ARBOR!$A:$C,3,0)*-TRUNC(FL18/VLOOKUP("PCS-OzTL745",[2]ARBOR!$A:$C,3,0)-1,4)),6))&lt;&gt;(DOLLAR(VLOOKUP("PCS-OzTL745",[2]ARBOR!$A:$C,3,0),6)),-TRUNC(FL18/VLOOKUP("PCS-OzTL745",[2]ARBOR!$A:$C,3,0)-1,4)+0.0001,-TRUNC(FL18/VLOOKUP("PCS-OzTL745",[2]ARBOR!$A:$C,3,0)-1,4)))))</f>
        <v/>
      </c>
      <c r="FN18" s="178" t="str">
        <f>IF(ISERROR(IF(FM18="","",VLOOKUP(($AY18&amp;FM18&amp;"Template desconto FLAT Plano Principal Oi TV nível conta"),[2]BENEFICIOS!$A:$G,5,0))),"Criar",IF(FM18="","",VLOOKUP(($AY18&amp;FM18&amp;"Template desconto FLAT Plano Principal Oi TV nível conta"),[2]BENEFICIOS!$A:$G,5,0)))</f>
        <v/>
      </c>
      <c r="FO18" s="103"/>
      <c r="FP18" s="101" t="str">
        <f>IF(FO18=0,"",IF(FO18=VLOOKUP("PCS-OzTL42",[2]ARBOR!$A:$C,3,0),0.0001,IF(FO18&gt;VLOOKUP("PCS-OzTL42",[2]ARBOR!$A:$C,3,0),"Maior que CAP!",IF((DOLLAR(FO18+(VLOOKUP("PCS-OzTL42",[2]ARBOR!$A:$C,3,0)*-TRUNC(FO18/VLOOKUP("PCS-OzTL42",[2]ARBOR!$A:$C,3,0)-1,4)),6))&lt;&gt;(DOLLAR(VLOOKUP("PCS-OzTL42",[2]ARBOR!$A:$C,3,0),6)),-TRUNC(FO18/VLOOKUP("PCS-OzTL42",[2]ARBOR!$A:$C,3,0)-1,4)+0.0001,-TRUNC(FO18/VLOOKUP("PCS-OzTL42",[2]ARBOR!$A:$C,3,0)-1,4)))))</f>
        <v/>
      </c>
      <c r="FQ18" s="178" t="str">
        <f>IF(ISERROR(IF(FP18="","",VLOOKUP(($AY18&amp;FP18&amp;"Template desconto FLAT Plano Principal Oi TV nível conta"),[2]BENEFICIOS!$A:$G,5,0))),"Criar",IF(FP18="","",VLOOKUP(($AY18&amp;FP18&amp;"Template desconto FLAT Plano Principal Oi TV nível conta"),[2]BENEFICIOS!$A:$G,5,0)))</f>
        <v/>
      </c>
      <c r="FR18" s="103"/>
      <c r="FS18" s="101" t="str">
        <f>IF(FR18=0,"",IF(FR18=VLOOKUP("PCS-OzTL47",[2]ARBOR!$A:$C,3,0),0.0001,IF(FR18&gt;VLOOKUP("PCS-OzTL47",[2]ARBOR!$A:$C,3,0),"Maior que CAP!",IF((DOLLAR(FR18+(VLOOKUP("PCS-OzTL47",[2]ARBOR!$A:$C,3,0)*-TRUNC(FR18/VLOOKUP("PCS-OzTL47",[2]ARBOR!$A:$C,3,0)-1,4)),6))&lt;&gt;(DOLLAR(VLOOKUP("PCS-OzTL47",[2]ARBOR!$A:$C,3,0),6)),-TRUNC(FR18/VLOOKUP("PCS-OzTL47",[2]ARBOR!$A:$C,3,0)-1,4)+0.0001,-TRUNC(FR18/VLOOKUP("PCS-OzTL47",[2]ARBOR!$A:$C,3,0)-1,4)))))</f>
        <v/>
      </c>
      <c r="FT18" s="178" t="str">
        <f>IF(ISERROR(IF(FS18="","",VLOOKUP(($AY18&amp;FS18&amp;"Template desconto FLAT Plano Principal Oi TV nível conta"),[2]BENEFICIOS!$A:$G,5,0))),"Criar",IF(FS18="","",VLOOKUP(($AY18&amp;FS18&amp;"Template desconto FLAT Plano Principal Oi TV nível conta"),[2]BENEFICIOS!$A:$G,5,0)))</f>
        <v/>
      </c>
      <c r="FU18" s="103">
        <v>149.9</v>
      </c>
      <c r="FV18" s="101">
        <f>IF(FU18=0,"",IF(FU18=VLOOKUP("PCS-OzTL46",[2]ARBOR!$A:$C,3,0),0.0001,IF(FU18&gt;VLOOKUP("PCS-OzTL46",[2]ARBOR!$A:$C,3,0),"Maior que CAP!",IF((DOLLAR(FU18+(VLOOKUP("PCS-OzTL46",[2]ARBOR!$A:$C,3,0)*-TRUNC(FU18/VLOOKUP("PCS-OzTL46",[2]ARBOR!$A:$C,3,0)-1,4)),6))&lt;&gt;(DOLLAR(VLOOKUP("PCS-OzTL46",[2]ARBOR!$A:$C,3,0),6)),-TRUNC(FU18/VLOOKUP("PCS-OzTL46",[2]ARBOR!$A:$C,3,0)-1,4)+0.0001,-TRUNC(FU18/VLOOKUP("PCS-OzTL46",[2]ARBOR!$A:$C,3,0)-1,4)))))</f>
        <v>0.30169999999999997</v>
      </c>
      <c r="FW18" s="178" t="str">
        <f>IF(ISERROR(IF(FV18="","",VLOOKUP(($AY18&amp;FV18&amp;"Template desconto FLAT Plano Principal Oi TV nível conta"),[2]BENEFICIOS!$A:$G,5,0))),"Criar",IF(FV18="","",VLOOKUP(($AY18&amp;FV18&amp;"Template desconto FLAT Plano Principal Oi TV nível conta"),[2]BENEFICIOS!$A:$G,5,0)))</f>
        <v>MKT-1-10140936051</v>
      </c>
      <c r="FX18" s="103"/>
      <c r="FY18" s="101" t="str">
        <f>IF(FX18=0,"",IF(FX18=VLOOKUP("PCS-OzTL48",[2]ARBOR!$A:$C,3,0),0.0001,IF(FX18&gt;VLOOKUP("PCS-OzTL48",[2]ARBOR!$A:$C,3,0),"Maior que CAP!",IF((DOLLAR(FX18+(VLOOKUP("PCS-OzTL48",[2]ARBOR!$A:$C,3,0)*-TRUNC(FX18/VLOOKUP("PCS-OzTL48",[2]ARBOR!$A:$C,3,0)-1,4)),6))&lt;&gt;(DOLLAR(VLOOKUP("PCS-OzTL48",[2]ARBOR!$A:$C,3,0),6)),-TRUNC(FX18/VLOOKUP("PCS-OzTL48",[2]ARBOR!$A:$C,3,0)-1,4)+0.0001,-TRUNC(FX18/VLOOKUP("PCS-OzTL48",[2]ARBOR!$A:$C,3,0)-1,4)))))</f>
        <v/>
      </c>
      <c r="FZ18" s="178" t="str">
        <f>IF(ISERROR(IF(FY18="","",VLOOKUP(($AY18&amp;FY18&amp;"Template desconto FLAT Plano Principal Oi TV nível conta"),[2]BENEFICIOS!$A:$G,5,0))),"Criar",IF(FY18="","",VLOOKUP(($AY18&amp;FY18&amp;"Template desconto FLAT Plano Principal Oi TV nível conta"),[2]BENEFICIOS!$A:$G,5,0)))</f>
        <v/>
      </c>
      <c r="GA18" s="103"/>
      <c r="GB18" s="101" t="str">
        <f>IF(GA18=0,"",IF(GA18=VLOOKUP("PCS-OzTL742",[2]ARBOR!$A:$C,3,0),0.0001,IF(GA18&gt;VLOOKUP("PCS-OzTL742",[2]ARBOR!$A:$C,3,0),"Maior que CAP!",IF((DOLLAR(GA18+(VLOOKUP("PCS-OzTL742",[2]ARBOR!$A:$C,3,0)*-TRUNC(GA18/VLOOKUP("PCS-OzTL742",[2]ARBOR!$A:$C,3,0)-1,4)),6))&lt;&gt;(DOLLAR(VLOOKUP("PCS-OzTL742",[2]ARBOR!$A:$C,3,0),6)),-TRUNC(GA18/VLOOKUP("PCS-OzTL742",[2]ARBOR!$A:$C,3,0)-1,4)+0.0001,-TRUNC(GA18/VLOOKUP("PCS-OzTL742",[2]ARBOR!$A:$C,3,0)-1,4)))))</f>
        <v/>
      </c>
      <c r="GC18" s="178" t="str">
        <f>IF(ISERROR(IF(GB18="","",VLOOKUP(($AY18&amp;GB18&amp;"Template desconto FLAT Plano Principal Oi TV nível conta"),[2]BENEFICIOS!$A:$G,5,0))),"Criar",IF(GB18="","",VLOOKUP(($AY18&amp;GB18&amp;"Template desconto FLAT Plano Principal Oi TV nível conta"),[2]BENEFICIOS!$A:$G,5,0)))</f>
        <v/>
      </c>
      <c r="GD18" s="103"/>
      <c r="GE18" s="101" t="str">
        <f>IF(GD18=0,"",IF(GD18=VLOOKUP("PCS-OzTL747",[2]ARBOR!$A:$C,3,0),0.0001,IF(GD18&gt;VLOOKUP("PCS-OzTL747",[2]ARBOR!$A:$C,3,0),"Maior que CAP!",IF((DOLLAR(GD18+(VLOOKUP("PCS-OzTL747",[2]ARBOR!$A:$C,3,0)*-TRUNC(GD18/VLOOKUP("PCS-OzTL747",[2]ARBOR!$A:$C,3,0)-1,4)),6))&lt;&gt;(DOLLAR(VLOOKUP("PCS-OzTL747",[2]ARBOR!$A:$C,3,0),6)),-TRUNC(GD18/VLOOKUP("PCS-OzTL747",[2]ARBOR!$A:$C,3,0)-1,4)+0.0001,-TRUNC(GD18/VLOOKUP("PCS-OzTL747",[2]ARBOR!$A:$C,3,0)-1,4)))))</f>
        <v/>
      </c>
      <c r="GF18" s="178" t="str">
        <f>IF(ISERROR(IF(GE18="","",VLOOKUP(($AY18&amp;GE18&amp;"Template desconto FLAT Plano Principal Oi TV nível conta"),[2]BENEFICIOS!$A:$G,5,0))),"Criar",IF(GE18="","",VLOOKUP(($AY18&amp;GE18&amp;"Template desconto FLAT Plano Principal Oi TV nível conta"),[2]BENEFICIOS!$A:$G,5,0)))</f>
        <v/>
      </c>
      <c r="GG18" s="103">
        <v>169.9</v>
      </c>
      <c r="GH18" s="101">
        <f>IF(GG18=0,"",IF(GG18=VLOOKUP("PCS-OzTL746",[2]ARBOR!$A:$C,3,0),0.0001,IF(GG18&gt;VLOOKUP("PCS-OzTL746",[2]ARBOR!$A:$C,3,0),"Maior que CAP!",IF((DOLLAR(GG18+(VLOOKUP("PCS-OzTL746",[2]ARBOR!$A:$C,3,0)*-TRUNC(GG18/VLOOKUP("PCS-OzTL746",[2]ARBOR!$A:$C,3,0)-1,4)),6))&lt;&gt;(DOLLAR(VLOOKUP("PCS-OzTL746",[2]ARBOR!$A:$C,3,0),6)),-TRUNC(GG18/VLOOKUP("PCS-OzTL746",[2]ARBOR!$A:$C,3,0)-1,4)+0.0001,-TRUNC(GG18/VLOOKUP("PCS-OzTL746",[2]ARBOR!$A:$C,3,0)-1,4)))))</f>
        <v>0.37009999999999998</v>
      </c>
      <c r="GI18" s="178" t="str">
        <f>IF(ISERROR(IF(GH18="","",VLOOKUP(($AY18&amp;GH18&amp;"Template desconto FLAT Plano Principal Oi TV nível conta"),[2]BENEFICIOS!$A:$G,5,0))),"Criar",IF(GH18="","",VLOOKUP(($AY18&amp;GH18&amp;"Template desconto FLAT Plano Principal Oi TV nível conta"),[2]BENEFICIOS!$A:$G,5,0)))</f>
        <v>MKT-1-10140958331</v>
      </c>
      <c r="GJ18" s="103"/>
      <c r="GK18" s="101" t="str">
        <f>IF(GJ18=0,"",IF(GJ18=VLOOKUP("PCS-OzTL748",[2]ARBOR!$A:$C,3,0),0.0001,IF(GJ18&gt;VLOOKUP("PCS-OzTL748",[2]ARBOR!$A:$C,3,0),"Maior que CAP!",IF((DOLLAR(GJ18+(VLOOKUP("PCS-OzTL748",[2]ARBOR!$A:$C,3,0)*-TRUNC(GJ18/VLOOKUP("PCS-OzTL748",[2]ARBOR!$A:$C,3,0)-1,4)),6))&lt;&gt;(DOLLAR(VLOOKUP("PCS-OzTL748",[2]ARBOR!$A:$C,3,0),6)),-TRUNC(GJ18/VLOOKUP("PCS-OzTL748",[2]ARBOR!$A:$C,3,0)-1,4)+0.0001,-TRUNC(GJ18/VLOOKUP("PCS-OzTL748",[2]ARBOR!$A:$C,3,0)-1,4)))))</f>
        <v/>
      </c>
      <c r="GL18" s="178" t="str">
        <f>IF(ISERROR(IF(GK18="","",VLOOKUP(($AY18&amp;GK18&amp;"Template desconto FLAT Plano Principal Oi TV nível conta"),[2]BENEFICIOS!$A:$G,5,0))),"Criar",IF(GK18="","",VLOOKUP(($AY18&amp;GK18&amp;"Template desconto FLAT Plano Principal Oi TV nível conta"),[2]BENEFICIOS!$A:$G,5,0)))</f>
        <v/>
      </c>
      <c r="GM18" s="103">
        <v>75</v>
      </c>
      <c r="GN18" s="101">
        <f>IF(GM18=0,"",IF(GM18=VLOOKUP("PCS-OzTL34",[2]ARBOR!$A:$C,3,0),0.0001,IF(GM18&gt;VLOOKUP("PCS-OzTL34",[2]ARBOR!$A:$C,3,0),"Maior que CAP!",IF((DOLLAR(GM18+(VLOOKUP("PCS-OzTL34",[2]ARBOR!$A:$C,3,0)*-TRUNC(GM18/VLOOKUP("PCS-OzTL34",[2]ARBOR!$A:$C,3,0)-1,4)),6))&lt;&gt;(DOLLAR(VLOOKUP("PCS-OzTL34",[2]ARBOR!$A:$C,3,0),6)),-TRUNC(GM18/VLOOKUP("PCS-OzTL34",[2]ARBOR!$A:$C,3,0)-1,4)+0.0001,-TRUNC(GM18/VLOOKUP("PCS-OzTL34",[2]ARBOR!$A:$C,3,0)-1,4)))))</f>
        <v>0.31900000000000001</v>
      </c>
      <c r="GO18" s="178" t="s">
        <v>178</v>
      </c>
      <c r="GP18" s="103">
        <v>19.899999999999999</v>
      </c>
      <c r="GQ18" s="101">
        <f>IF(GP18=0,"",IF(GP18=VLOOKUP("PCS-OzTL31",[2]ARBOR!$A:$C,3,0),0.0001,IF(GP18&gt;VLOOKUP("PCS-OzTL31",[2]ARBOR!$A:$C,3,0),"Maior que CAP!",IF((DOLLAR(GP18+(VLOOKUP("PCS-OzTL31",[2]ARBOR!$A:$C,3,0)*-TRUNC(GP18/VLOOKUP("PCS-OzTL31",[2]ARBOR!$A:$C,3,0)-1,4)),6))&lt;&gt;(DOLLAR(VLOOKUP("PCS-OzTL31",[2]ARBOR!$A:$C,3,0),6)),-TRUNC(GP18/VLOOKUP("PCS-OzTL31",[2]ARBOR!$A:$C,3,0)-1,4)+0.0001,-TRUNC(GP18/VLOOKUP("PCS-OzTL31",[2]ARBOR!$A:$C,3,0)-1,4)))))</f>
        <v>9.1800000000000007E-2</v>
      </c>
      <c r="GR18" s="178" t="s">
        <v>179</v>
      </c>
      <c r="GS18" s="103">
        <v>19.899999999999999</v>
      </c>
      <c r="GT18" s="101">
        <f>IF(GS18=0,"",IF(GS18=VLOOKUP("PCS-OzTL32",[2]ARBOR!$A:$C,3,0),0.0001,IF(GS18&gt;VLOOKUP("PCS-OzTL32",[2]ARBOR!$A:$C,3,0),"Maior que CAP!",IF((DOLLAR(GS18+(VLOOKUP("PCS-OzTL32",[2]ARBOR!$A:$C,3,0)*-TRUNC(GS18/VLOOKUP("PCS-OzTL32",[2]ARBOR!$A:$C,3,0)-1,4)),6))&lt;&gt;(DOLLAR(VLOOKUP("PCS-OzTL32",[2]ARBOR!$A:$C,3,0),6)),-TRUNC(GS18/VLOOKUP("PCS-OzTL32",[2]ARBOR!$A:$C,3,0)-1,4)+0.0001,-TRUNC(GS18/VLOOKUP("PCS-OzTL32",[2]ARBOR!$A:$C,3,0)-1,4)))))</f>
        <v>9.1800000000000007E-2</v>
      </c>
      <c r="GU18" s="178" t="s">
        <v>180</v>
      </c>
      <c r="GV18" s="103">
        <v>29.9</v>
      </c>
      <c r="GW18" s="101">
        <f>IF(GV18=0,"",IF(GV18=VLOOKUP("PCS-OzTL33",[2]ARBOR!$A:$C,3,0),0.0001,IF(GV18&gt;VLOOKUP("PCS-OzTL33",[2]ARBOR!$A:$C,3,0),"Maior que CAP!",IF((DOLLAR(GV18+(VLOOKUP("PCS-OzTL33",[2]ARBOR!$A:$C,3,0)*-TRUNC(GV18/VLOOKUP("PCS-OzTL33",[2]ARBOR!$A:$C,3,0)-1,4)),6))&lt;&gt;(DOLLAR(VLOOKUP("PCS-OzTL33",[2]ARBOR!$A:$C,3,0),6)),-TRUNC(GV18/VLOOKUP("PCS-OzTL33",[2]ARBOR!$A:$C,3,0)-1,4)+0.0001,-TRUNC(GV18/VLOOKUP("PCS-OzTL33",[2]ARBOR!$A:$C,3,0)-1,4)))))</f>
        <v>9.1800000000000007E-2</v>
      </c>
      <c r="GX18" s="178" t="s">
        <v>181</v>
      </c>
      <c r="GY18" s="103">
        <v>14.9</v>
      </c>
      <c r="GZ18" s="101">
        <f>IF(GY18=0,"",IF(GY18=VLOOKUP("PCS-OzTL503",[2]ARBOR!$A:$C,3,0),0.0001,IF(GY18&gt;VLOOKUP("PCS-OzTL503",[2]ARBOR!$A:$C,3,0),"Maior que CAP!",IF((DOLLAR(GY18+(VLOOKUP("PCS-OzTL503",[2]ARBOR!$A:$C,3,0)*-TRUNC(GY18/VLOOKUP("PCS-OzTL503",[2]ARBOR!$A:$C,3,0)-1,4)),6))&lt;&gt;(DOLLAR(VLOOKUP("PCS-OzTL503",[2]ARBOR!$A:$C,3,0),6)),-TRUNC(GY18/VLOOKUP("PCS-OzTL503",[2]ARBOR!$A:$C,3,0)-1,4)+0.0001,-TRUNC(GY18/VLOOKUP("PCS-OzTL503",[2]ARBOR!$A:$C,3,0)-1,4)))))</f>
        <v>9.1499999999999998E-2</v>
      </c>
      <c r="HA18" s="178" t="s">
        <v>182</v>
      </c>
      <c r="HB18" s="103">
        <v>10</v>
      </c>
      <c r="HC18" s="101">
        <f>IF(HB18=0,"",IF(HB18=VLOOKUP("PCS-OzTL500",[2]ARBOR!$A:$C,3,0),0.0001,IF(HB18&gt;VLOOKUP("PCS-OzTL500",[2]ARBOR!$A:$C,3,0),"Maior que CAP!",IF((DOLLAR(HB18+(VLOOKUP("PCS-OzTL500",[2]ARBOR!$A:$C,3,0)*-TRUNC(HB18/VLOOKUP("PCS-OzTL500",[2]ARBOR!$A:$C,3,0)-1,4)),6))&lt;&gt;(DOLLAR(VLOOKUP("PCS-OzTL500",[2]ARBOR!$A:$C,3,0),6)),-TRUNC(HB18/VLOOKUP("PCS-OzTL500",[2]ARBOR!$A:$C,3,0)-1,4)+0.0001,-TRUNC(HB18/VLOOKUP("PCS-OzTL500",[2]ARBOR!$A:$C,3,0)-1,4)))))</f>
        <v>9.1800000000000007E-2</v>
      </c>
      <c r="HD18" s="178" t="s">
        <v>183</v>
      </c>
      <c r="HE18" s="103" t="s">
        <v>184</v>
      </c>
      <c r="HF18" s="101"/>
      <c r="HG18" s="178"/>
      <c r="HH18" s="103" t="s">
        <v>185</v>
      </c>
      <c r="HI18" s="101"/>
      <c r="HJ18" s="178"/>
      <c r="HK18" s="103" t="s">
        <v>186</v>
      </c>
      <c r="HL18" s="101"/>
      <c r="HM18" s="178"/>
      <c r="HN18" s="103" t="s">
        <v>187</v>
      </c>
      <c r="HO18" s="101"/>
      <c r="HP18" s="178"/>
      <c r="HQ18" s="103" t="s">
        <v>188</v>
      </c>
      <c r="HR18" s="101"/>
      <c r="HS18" s="178"/>
      <c r="HT18" s="103">
        <v>24.9</v>
      </c>
      <c r="HU18" s="101">
        <f>IF(HT18=0,"",IF(HT18=VLOOKUP("PCS-OzTL99",[2]ARBOR!$A:$C,3,0),0.0001,IF(HT18&gt;VLOOKUP("PCS-OzTL99",[2]ARBOR!$A:$C,3,0),"Maior que CAP!",IF((DOLLAR(HT18+(VLOOKUP("PCS-OzTL99",[2]ARBOR!$A:$C,3,0)*-TRUNC(HT18/VLOOKUP("PCS-OzTL99",[2]ARBOR!$A:$C,3,0)-1,4)),6))&lt;&gt;(DOLLAR(VLOOKUP("PCS-OzTL99",[2]ARBOR!$A:$C,3,0),6)),-TRUNC(HT18/VLOOKUP("PCS-OzTL99",[2]ARBOR!$A:$C,3,0)-1,4)+0.0001,-TRUNC(HT18/VLOOKUP("PCS-OzTL99",[2]ARBOR!$A:$C,3,0)-1,4)))))</f>
        <v>0.16729999999999998</v>
      </c>
      <c r="HV18" s="179" t="s">
        <v>189</v>
      </c>
      <c r="HW18" s="170" t="s">
        <v>167</v>
      </c>
      <c r="HX18" s="178" t="str">
        <f t="shared" si="4"/>
        <v>PCS-34704</v>
      </c>
      <c r="HY18" s="180" t="str">
        <f>IFERROR((IF(AZ18="","",VLOOKUP(AZ18,[2]ARBOR!A:C,3,0))),"")</f>
        <v/>
      </c>
      <c r="HZ18" s="181"/>
      <c r="IA18" s="158" t="str">
        <f>IF(HZ18="","",ROUND(1-(HZ18/VLOOKUP(AZ18&amp;"ASS",[2]ARBOR!A:C,3,0)),4))</f>
        <v/>
      </c>
      <c r="IB18" s="158"/>
      <c r="IC18" s="182"/>
      <c r="ID18" s="183"/>
      <c r="IE18" s="101" t="str">
        <f>IF(ID18="","",ROUND(IF(ID18=0,"",IF(ID18=HY18,0.0001,1-((ID18+(VLOOKUP(AZ18&amp;"ASS",[2]ARBOR!A:C,3,0)-HZ18))/HY18))),4))</f>
        <v/>
      </c>
      <c r="IF18" s="101" t="str">
        <f>IF(ISERROR(IF(IE18="","",VLOOKUP(($AY18&amp;IE18&amp;"Template de desconto percentual FLAT Móvel - Conta Total - Varejo - Ganho Tributário Cross"),[2]BENEFICIOS!$A:$E,5,0))),"Criar",IF(IE18="","",VLOOKUP(($AY18&amp;IE18&amp;"Template de desconto percentual FLAT Móvel - Conta Total - Varejo - Ganho Tributário Cross"),[2]BENEFICIOS!$A:$E,5,0)))</f>
        <v/>
      </c>
      <c r="IG18" s="167"/>
      <c r="IH18" s="101"/>
      <c r="II18" s="184"/>
      <c r="IJ18" s="185"/>
      <c r="IK18" s="101"/>
      <c r="IL18" s="101"/>
      <c r="IM18" s="186"/>
      <c r="IN18" s="186"/>
      <c r="IO18" s="187"/>
      <c r="IP18" s="188" t="str">
        <f>IF(IO18=0,"",IF(IO18=VLOOKUP("PCS-813566",[2]ARBOR!$A:$C,3,0),0.0001,IF(IO18&gt;VLOOKUP("PCS-813566",[2]ARBOR!$A:$C,3,0),"Maior que CAP!",ROUND(-1*(IO18/VLOOKUP("PCS-813566",[2]ARBOR!$A:$C,3,0)-1),4))))</f>
        <v/>
      </c>
      <c r="IQ18" s="189" t="str">
        <f>IF(ISERROR(IF(IP18="","",VLOOKUP(("Oi Internet Pra Celular 300MB"&amp;IP18&amp;"Template Flat Instância Dados"),[2]BENEFICIOS!$A:$E,5,0))),"Criar",IF(IP18="","",VLOOKUP(("Oi Internet Pra Celular 300MB"&amp;IP18&amp;"Template Flat Instância Dados"),[2]BENEFICIOS!$A:$E,5,0)))</f>
        <v/>
      </c>
      <c r="IR18" s="190"/>
      <c r="IS18" s="191" t="str">
        <f>IF(IR18=0,"",IF(IR18=VLOOKUP("sva_bancas",[2]ARBOR!$A:$C,3,0),0.0001,IF(IR18&gt;VLOOKUP("sva_livros",[2]ARBOR!$A:$C,3,0),"Maior que CAP!",ROUND(-1*(IR18/VLOOKUP("sva_bancas",[2]ARBOR!$A:$C,3,0)-1),4))))</f>
        <v/>
      </c>
      <c r="IT18" s="192" t="str">
        <f>IF(ISERROR(IF(IS18="","",VLOOKUP(("Oi Internet Pra Celular 300MB"&amp;IS18&amp;"Template Desconto % SVA DADOS B2C"),[2]BENEFICIOS!$A:$E,5,0))),"Criar",IF(IS18="","",VLOOKUP(("Oi Internet Pra Celular 300MB"&amp;IS18&amp;"Template Desconto % SVA DADOS B2C"),[2]BENEFICIOS!$A:$E,5,0)))</f>
        <v/>
      </c>
      <c r="IU18" s="187"/>
      <c r="IV18" s="188" t="str">
        <f>IF(IU18=0,"",IF(IU18=VLOOKUP("PCS-813564",[2]ARBOR!$A:$C,3,0),0.0001,IF(IU18&gt;VLOOKUP("PCS-813564",[2]ARBOR!$A:$C,3,0),"Maior que CAP!",ROUND(-1*(IU18/VLOOKUP("PCS-813564",[2]ARBOR!$A:$C,3,0)-1),4))))</f>
        <v/>
      </c>
      <c r="IW18" s="189" t="str">
        <f>IF(ISERROR(IF(IV18="","",VLOOKUP(("Oi Internet Pra Celular 500MB"&amp;IV18&amp;"Template Flat Instância Dados"),[2]BENEFICIOS!$A:$E,5,0))),"Criar",IF(IV18="","",VLOOKUP(("Oi Internet Pra Celular 500MB"&amp;IV18&amp;"Template Flat Instância Dados"),[2]BENEFICIOS!$A:$E,5,0)))</f>
        <v/>
      </c>
      <c r="IX18" s="190"/>
      <c r="IY18" s="191" t="str">
        <f>IF(IX18=0,"",IF(IX18=VLOOKUP("sva_livros",[2]ARBOR!$A:$C,3,0),0.0001,IF(IX18&gt;VLOOKUP("sva_livros",[2]ARBOR!$A:$C,3,0),"Maior que CAP!",ROUND(-1*(IX18/VLOOKUP("sva_livros",[2]ARBOR!$A:$C,3,0)-1),4))))</f>
        <v/>
      </c>
      <c r="IZ18" s="192" t="str">
        <f>IF(ISERROR(IF(IY18="","",VLOOKUP(("Oi Internet Pra Celular 500MB"&amp;IY18&amp;"Template Desconto % SVA DADOS B2C"),[2]BENEFICIOS!$A:$E,5,0))),"Criar",IF(IY18="","",VLOOKUP(("Oi Internet Pra Celular 500MB"&amp;IY18&amp;"Template Desconto % SVA DADOS B2C"),[2]BENEFICIOS!$A:$E,5,0)))</f>
        <v/>
      </c>
      <c r="JA18" s="187"/>
      <c r="JB18" s="188" t="str">
        <f>IF(JA18=0,"",IF(JA18=VLOOKUP("PCS-10357",[2]ARBOR!$A:$C,3,0),0.0001,IF(JA18&gt;VLOOKUP("PCS-10357",[2]ARBOR!$A:$C,3,0),"Maior que CAP!",ROUND(-1*(JA18/VLOOKUP("PCS-10357",[2]ARBOR!$A:$C,3,0)-1),4))))</f>
        <v/>
      </c>
      <c r="JC18" s="189" t="str">
        <f>IF(ISERROR(IF(JB18="","",VLOOKUP(("Oi Internet Pra Celular 1GB"&amp;JB18&amp;"Template Flat Instância Dados"),[2]BENEFICIOS!$A:$E,5,0))),"Criar",IF(JB18="","",VLOOKUP(("Oi Internet Pra Celular 1GB"&amp;JB18&amp;"Template Flat Instância Dados"),[2]BENEFICIOS!$A:$E,5,0)))</f>
        <v/>
      </c>
      <c r="JD18" s="190"/>
      <c r="JE18" s="191" t="str">
        <f>IF(JD18=0,"",IF(JD18=VLOOKUP("sva_livros",[2]ARBOR!$A:$C,3,0),0.0001,IF(JD18&gt;VLOOKUP("sva_livros",[2]ARBOR!$A:$C,3,0),"Maior que CAP!",ROUND(-1*(JD18/VLOOKUP("sva_livros",[2]ARBOR!$A:$C,3,0)-1),4))))</f>
        <v/>
      </c>
      <c r="JF18" s="192" t="str">
        <f>IF(ISERROR(IF(JE18="","",VLOOKUP(("Oi Internet Pra Celular 1GB"&amp;JE18&amp;"Template Desconto % SVA DADOS B2C"),[2]BENEFICIOS!$A:$E,5,0))),"Criar",IF(JE18="","",VLOOKUP(("Oi Internet Pra Celular 1GB"&amp;JE18&amp;"Template Desconto % SVA DADOS B2C"),[2]BENEFICIOS!$A:$E,5,0)))</f>
        <v/>
      </c>
      <c r="JG18" s="187"/>
      <c r="JH18" s="188" t="str">
        <f>IF(JG18=0,"",IF(JG18=VLOOKUP("PCS-813565",[2]ARBOR!$A:$C,3,0),0.0001,IF(JG18&gt;VLOOKUP("PCS-813565",[2]ARBOR!$A:$C,3,0),"Maior que CAP!",ROUND(-1*(JG18/VLOOKUP("PCS-813565",[2]ARBOR!$A:$C,3,0)-1),4))))</f>
        <v/>
      </c>
      <c r="JI18" s="189" t="str">
        <f>IF(ISERROR(IF(JH18="","",VLOOKUP(("Oi Internet Pra Celular 2GB"&amp;JH18&amp;"Template Flat Instância Dados"),[2]BENEFICIOS!$A:$E,5,0))),"Criar",IF(JH18="","",VLOOKUP(("Oi Internet Pra Celular 2GB"&amp;JH18&amp;"Template Flat Instância Dados"),[2]BENEFICIOS!$A:$E,5,0)))</f>
        <v/>
      </c>
      <c r="JJ18" s="190"/>
      <c r="JK18" s="191" t="str">
        <f>IF(JJ18=0,"",IF(JJ18=VLOOKUP("sva_livros",[2]ARBOR!$A:$C,3,0),0.0001,IF(JJ18&gt;VLOOKUP("sva_livros",[2]ARBOR!$A:$C,3,0),"Maior que CAP!",ROUND(-1*(JJ18/VLOOKUP("sva_livros",[2]ARBOR!$A:$C,3,0)-1),4))))</f>
        <v/>
      </c>
      <c r="JL18" s="192" t="str">
        <f>IF(ISERROR(IF(JK18="","",VLOOKUP(("Oi Internet Pra Celular 2GB"&amp;JK18&amp;"Template Desconto % SVA DADOS B2C"),[2]BENEFICIOS!$A:$E,5,0))),"Criar",IF(JK18="","",VLOOKUP(("Oi Internet Pra Celular 2GB"&amp;JK18&amp;"Template Desconto % SVA DADOS B2C"),[2]BENEFICIOS!$A:$E,5,0)))</f>
        <v/>
      </c>
      <c r="JM18" s="187"/>
      <c r="JN18" s="188" t="str">
        <f>IF(JM18=0,"",IF(JM18=VLOOKUP("PCS-7171B",[2]ARBOR!$A:$C,3,0),0.0001,IF(JM18&gt;VLOOKUP("PCS-7171B",[2]ARBOR!$A:$C,3,0),"Maior que CAP!",ROUND(-1*(JM18/VLOOKUP("PCS-7171B",[2]ARBOR!$A:$C,3,0)-1),4))))</f>
        <v/>
      </c>
      <c r="JO18" s="189" t="str">
        <f>IF(ISERROR(IF(JN18="","",VLOOKUP(("Oi Internet Pra Celular 3GB"&amp;JN18&amp;"Template Flat Instância Dados"),[2]BENEFICIOS!$A:$E,5,0))),"Criar",IF(JN18="","",VLOOKUP(("Oi Internet Pra Celular 3GB"&amp;JN18&amp;"Template Flat Instância Dados"),[2]BENEFICIOS!$A:$E,5,0)))</f>
        <v/>
      </c>
      <c r="JP18" s="190"/>
      <c r="JQ18" s="191" t="str">
        <f>IF(JP18=0,"",IF(JP18=VLOOKUP("sva_livros",[2]ARBOR!$A:$C,3,0),0.0001,IF(JP18&gt;VLOOKUP("sva_livros",[2]ARBOR!$A:$C,3,0),"Maior que CAP!",ROUND(-1*(JP18/VLOOKUP("sva_livros",[2]ARBOR!$A:$C,3,0)-1),4))))</f>
        <v/>
      </c>
      <c r="JR18" s="192" t="str">
        <f>IF(ISERROR(IF(JQ18="","",VLOOKUP(("Oi Internet Pra Celular 3GB"&amp;JQ18&amp;"Template Desconto % SVA DADOS B2C"),[2]BENEFICIOS!$A:$E,5,0))),"Criar",IF(JQ18="","",VLOOKUP(("Oi Internet Pra Celular 3GB"&amp;JQ18&amp;"Template Desconto % SVA DADOS B2C"),[2]BENEFICIOS!$A:$E,5,0)))</f>
        <v/>
      </c>
      <c r="JS18" s="187"/>
      <c r="JT18" s="188" t="str">
        <f>IF(JS18=0,"",IF(JS18=VLOOKUP("PCS-51793o08",[2]ARBOR!$A:$C,3,0),0.0001,IF(JS18&gt;VLOOKUP("PCS-51793o08",[2]ARBOR!$A:$C,3,0),"Maior que CAP!",ROUND(-1*(JS18/VLOOKUP("PCS-51793o08",[2]ARBOR!$A:$C,3,0)-1),4))))</f>
        <v/>
      </c>
      <c r="JU18" s="189" t="str">
        <f>IF(ISERROR(IF(JT18="","",VLOOKUP(("Oi Internet Pra Celular 5GB"&amp;JT18&amp;"Template Flat Instância Dados"),[2]BENEFICIOS!$A:$E,5,0))),"Criar",IF(JT18="","",VLOOKUP(("Oi Internet Pra Celular 5GB"&amp;JT18&amp;"Template Flat Instância Dados"),[2]BENEFICIOS!$A:$E,5,0)))</f>
        <v/>
      </c>
      <c r="JV18" s="190"/>
      <c r="JW18" s="191" t="str">
        <f>IF(JV18=0,"",IF(JV18=VLOOKUP("sva_curtas",[2]ARBOR!$A:$C,3,0),0.0001,IF(JV18&gt;VLOOKUP("sva_curtas",[2]ARBOR!$A:$C,3,0),"Maior que CAP!",ROUND(-1*(JV18/VLOOKUP("sva_curtas",[2]ARBOR!$A:$C,3,0)-1),4))))</f>
        <v/>
      </c>
      <c r="JX18" s="192" t="str">
        <f>IF(ISERROR(IF(JW18="","",VLOOKUP(("Oi Internet Pra Celular 5GB"&amp;JW18&amp;"Template Desconto % SVA DADOS B2C"),[2]BENEFICIOS!$A:$E,5,0))),"Criar",IF(JW18="","",VLOOKUP(("Oi Internet Pra Celular 5GB"&amp;JW18&amp;"Template Desconto % SVA DADOS B2C"),[2]BENEFICIOS!$A:$E,5,0)))</f>
        <v/>
      </c>
      <c r="JY18" s="187"/>
      <c r="JZ18" s="188" t="str">
        <f>IF(JY18=0,"",IF(JY18=VLOOKUP("PCS-7171A",[2]ARBOR!$A:$C,3,0),0.0001,IF(JY18&gt;VLOOKUP("PCS-7171A",[2]ARBOR!$A:$C,3,0),"Maior que CAP!",ROUND(-1*(JY18/VLOOKUP("PCS-7171A",[2]ARBOR!$A:$C,3,0)-1),4))))</f>
        <v/>
      </c>
      <c r="KA18" s="193" t="str">
        <f>IF(ISERROR(IF(JZ18="","",VLOOKUP(("Oi Internet Pra Celular 10GB"&amp;JZ18&amp;"Template Flat Instância Dados"),[2]BENEFICIOS!$A:$E,5,0))),"Criar",IF(JZ18="","",VLOOKUP(("Oi Internet Pra Celular 10GB"&amp;JZ18&amp;"Template Flat Instância Dados"),[2]BENEFICIOS!$A:$E,5,0)))</f>
        <v/>
      </c>
      <c r="KB18" s="190"/>
      <c r="KC18" s="191" t="str">
        <f>IF(KB18=0,"",IF(KB18=VLOOKUP("sva_curtas",[2]ARBOR!$A:$C,3,0),0.0001,IF(KB18&gt;VLOOKUP("sva_curtas",[2]ARBOR!$A:$C,3,0),"Maior que CAP!",ROUND(-1*(KB18/VLOOKUP("sva_curtas",[2]ARBOR!$A:$C,3,0)-1),4))))</f>
        <v/>
      </c>
      <c r="KD18" s="192" t="str">
        <f>IF(ISERROR(IF(KC18="","",VLOOKUP(("Oi Internet Pra Celular 10GB"&amp;KC18&amp;"Template Desconto % SVA DADOS B2C"),[2]BENEFICIOS!$A:$E,5,0))),"Criar",IF(KC18="","",VLOOKUP(("Oi Internet Pra Celular 10GB"&amp;KC18&amp;"Template Desconto % SVA DADOS B2C"),[2]BENEFICIOS!$A:$E,5,0)))</f>
        <v/>
      </c>
      <c r="KE18" s="194"/>
      <c r="KF18" s="195"/>
      <c r="KG18" s="196" t="s">
        <v>167</v>
      </c>
      <c r="KH18" s="197" t="s">
        <v>190</v>
      </c>
      <c r="KI18" s="198">
        <v>799</v>
      </c>
      <c r="KJ18" s="197">
        <v>12</v>
      </c>
      <c r="KK18" s="199" t="str">
        <f t="shared" si="5"/>
        <v>Oi benefício fidelização Multiprodutos</v>
      </c>
      <c r="KL18" s="200" t="str">
        <f t="shared" si="6"/>
        <v>PCS-Fk83324</v>
      </c>
      <c r="KM18" s="200" t="str">
        <f t="shared" si="7"/>
        <v>PCS-SBL553142</v>
      </c>
      <c r="KN18" s="201" t="s">
        <v>191</v>
      </c>
      <c r="KO18" s="202" t="s">
        <v>192</v>
      </c>
      <c r="KP18" s="202" t="s">
        <v>193</v>
      </c>
      <c r="KQ18" s="201" t="s">
        <v>194</v>
      </c>
      <c r="KR18" s="199" t="s">
        <v>195</v>
      </c>
      <c r="KS18" s="200" t="s">
        <v>196</v>
      </c>
      <c r="KT18" s="203" t="s">
        <v>197</v>
      </c>
      <c r="KU18" s="129"/>
      <c r="KV18" s="129"/>
      <c r="KW18" s="129"/>
      <c r="KX18" s="129"/>
      <c r="KY18" s="129"/>
      <c r="KZ18" s="129"/>
      <c r="LA18" s="129"/>
      <c r="LB18" s="129"/>
      <c r="LC18" s="129"/>
      <c r="LD18" s="129"/>
      <c r="LE18" s="129"/>
      <c r="LF18" s="129"/>
      <c r="LG18" s="129"/>
      <c r="LH18" s="129"/>
      <c r="LI18" s="129"/>
      <c r="LJ18" s="129"/>
      <c r="LK18" s="204"/>
      <c r="LL18" s="212"/>
      <c r="LM18" s="213"/>
      <c r="LN18" s="213"/>
      <c r="LO18" s="213"/>
      <c r="LP18" s="213"/>
      <c r="LQ18" s="213"/>
      <c r="LR18" s="213"/>
      <c r="LS18" s="213"/>
      <c r="LT18" s="213"/>
      <c r="LU18" s="214"/>
      <c r="LV18" t="s">
        <v>224</v>
      </c>
      <c r="LW18" t="s">
        <v>200</v>
      </c>
    </row>
    <row r="19" spans="1:335" x14ac:dyDescent="0.25">
      <c r="A19" s="134" t="s">
        <v>164</v>
      </c>
      <c r="B19" s="135" t="s">
        <v>165</v>
      </c>
      <c r="C19" s="135" t="s">
        <v>166</v>
      </c>
      <c r="D19" s="136" t="s">
        <v>167</v>
      </c>
      <c r="E19" s="137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9"/>
      <c r="Q19" s="139"/>
      <c r="R19" s="139"/>
      <c r="S19" s="140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41"/>
      <c r="AF19" s="138"/>
      <c r="AG19" s="138"/>
      <c r="AH19" s="142"/>
      <c r="AI19" s="209" t="s">
        <v>225</v>
      </c>
      <c r="AJ19" s="59" t="s">
        <v>168</v>
      </c>
      <c r="AK19" s="60" t="s">
        <v>209</v>
      </c>
      <c r="AL19" s="143">
        <v>43039</v>
      </c>
      <c r="AM19" s="144">
        <v>43159</v>
      </c>
      <c r="AN19" s="63" t="s">
        <v>170</v>
      </c>
      <c r="AO19" s="64" t="s">
        <v>170</v>
      </c>
      <c r="AP19" s="145"/>
      <c r="AQ19" s="145" t="s">
        <v>171</v>
      </c>
      <c r="AR19" s="145">
        <v>20</v>
      </c>
      <c r="AS19" s="145">
        <v>10000</v>
      </c>
      <c r="AT19" s="146" t="s">
        <v>172</v>
      </c>
      <c r="AU19" s="147" t="s">
        <v>167</v>
      </c>
      <c r="AV19" s="148" t="s">
        <v>173</v>
      </c>
      <c r="AW19" s="149" t="s">
        <v>173</v>
      </c>
      <c r="AX19" s="150" t="s">
        <v>225</v>
      </c>
      <c r="AY19" s="151" t="s">
        <v>203</v>
      </c>
      <c r="AZ19" s="152" t="str">
        <f>IF(ISERROR(VLOOKUP(AY19,[2]PLANOS!B:C,2,0)),"",VLOOKUP(AY19,[2]PLANOS!B:C,2,0))</f>
        <v>PCS-3PHipi</v>
      </c>
      <c r="BA19" s="153" t="s">
        <v>173</v>
      </c>
      <c r="BB19" s="154" t="str">
        <f t="shared" si="1"/>
        <v/>
      </c>
      <c r="BC19" s="155"/>
      <c r="BD19" s="156"/>
      <c r="BE19" s="157">
        <v>50.11</v>
      </c>
      <c r="BF19" s="101">
        <f>IF(BE19=0,"",IF(BE19=VLOOKUP("FIXO",[2]ARBOR!$A:$C,3,0),0.0001,IF(BE19&gt;VLOOKUP("FIXO",[2]ARBOR!$A:$C,3,0),"Maior que CAP!",IF((DOLLAR(BE19+(VLOOKUP("FIXO",[2]ARBOR!$A:$C,3,0)*-TRUNC(BE19/VLOOKUP("FIXO",[2]ARBOR!$A:$C,3,0)-1,4)),6))&lt;&gt;(DOLLAR(VLOOKUP("FIXO",[2]ARBOR!$A:$C,3,0),6)),-TRUNC(BE19/VLOOKUP("FIXO",[2]ARBOR!$A:$C,3,0)-1,4)+0.0001,-TRUNC(BE19/VLOOKUP("FIXO",[2]ARBOR!$A:$C,3,0)-1,4)))))</f>
        <v>0.33929999999999999</v>
      </c>
      <c r="BG19" s="158"/>
      <c r="BH19" s="101" t="str">
        <f>IF(BG19=0,"",IF(BG19=VLOOKUP("FIXO",[2]ARBOR!$A:$C,3,0),0.0001,IF(BG19&gt;VLOOKUP("FIXO",[2]ARBOR!$A:$C,3,0),"Maior que CAP!",IF((DOLLAR(BG19+(VLOOKUP("FIXO",[2]ARBOR!$A:$C,3,0)*-TRUNC(BG19/VLOOKUP("FIXO",[2]ARBOR!$A:$C,3,0)-1,4)),6))&lt;&gt;(DOLLAR(VLOOKUP("FIXO",[2]ARBOR!$A:$C,3,0),6)),-TRUNC(BG19/VLOOKUP("FIXO",[2]ARBOR!$A:$C,3,0)-1,4)+0.0001,-TRUNC(BG19/VLOOKUP("FIXO",[2]ARBOR!$A:$C,3,0)-1,4)))))</f>
        <v/>
      </c>
      <c r="BI19" s="101" t="str">
        <f>IF(ISERROR(IF(BF19="","",VLOOKUP(($AY19&amp;BF19&amp;"Template de desconto FLAT bundle - Fixo - Varejo - Ganho Tributário Cross"),[2]BENEFICIOS!$A:$E,5,0))),"Criar",IF(BF19="","",VLOOKUP(($AY19&amp;BF19&amp;"Template de desconto FLAT bundle - Fixo - Varejo - Ganho Tributário Cross"),[2]BENEFICIOS!$A:$E,5,0)))</f>
        <v>MKT-1-9825728196</v>
      </c>
      <c r="BJ19" s="159"/>
      <c r="BK19" s="101" t="str">
        <f t="shared" si="2"/>
        <v/>
      </c>
      <c r="BL19" s="160"/>
      <c r="BM19" s="101" t="str">
        <f>IF(BL19=0,"",IF(BL19=VLOOKUP("FIXO",[2]ARBOR!$A:$C,3,0),0.0001,IF(BL19&gt;VLOOKUP("FIXO",[2]ARBOR!$A:$C,3,0),"Maior que CAP!",IF(BF19&lt;&gt;"",-ROUND(BL19/VLOOKUP("FIXO",[2]ARBOR!$A:$C,3,0)-1,4)-BF19,-ROUND(BL19/VLOOKUP("FIXO",[2]ARBOR!$A:$C,3,0)-1,4)))))</f>
        <v/>
      </c>
      <c r="BN19" s="161"/>
      <c r="BO19" s="101" t="str">
        <f>IF(ISERROR(IF(BK19="","",VLOOKUP(($AY19&amp;BK19&amp;"Template de desconto FLAT bundle - Fixo - Varejo - Ganho Tributário Cross"),[2]BENEFICIOS!$A:$E,5,0))),"Criar",IF(BK19="","",VLOOKUP(($AY19&amp;BK19&amp;"Template de desconto FLAT bundle - Fixo - Varejo - Ganho Tributário Cross"),[2]BENEFICIOS!$A:$E,5,0)))</f>
        <v/>
      </c>
      <c r="BP19" s="162" t="s">
        <v>175</v>
      </c>
      <c r="BQ19" s="163" t="s">
        <v>176</v>
      </c>
      <c r="BR19" s="164" t="s">
        <v>173</v>
      </c>
      <c r="BS19" s="165" t="str">
        <f t="shared" si="0"/>
        <v/>
      </c>
      <c r="BT19" s="155"/>
      <c r="BU19" s="166"/>
      <c r="BV19" s="167" t="s">
        <v>210</v>
      </c>
      <c r="BW19" s="168">
        <v>44.9</v>
      </c>
      <c r="BX19" s="101">
        <f>IF(BW19=0,"",IF(BW19=VLOOKUP("PCS-30874g",[2]ARBOR!$A:$C,3,0),0.0001,IF(BW19&gt;VLOOKUP("PCS-30874g",[2]ARBOR!$A:$C,3,0),"Maior que CAP!",IF((DOLLAR(BW19+(VLOOKUP("PCS-30874g",[2]ARBOR!$A:$C,3,0)*-TRUNC(BW19/VLOOKUP("PCS-30874g",[2]ARBOR!$A:$C,3,0)-1,4)),6))&lt;&gt;(DOLLAR(VLOOKUP("PCS-30874g",[2]ARBOR!$A:$C,3,0),6)),-TRUNC(BW19/VLOOKUP("PCS-30874g",[2]ARBOR!$A:$C,3,0)-1,4)+0.0001,-TRUNC(BW19/VLOOKUP("PCS-30874g",[2]ARBOR!$A:$C,3,0)-1,4)))))</f>
        <v>0.53679999999999994</v>
      </c>
      <c r="BY19" s="163" t="str">
        <f>IF(ISERROR(IF(BX19="","",VLOOKUP(($AY19&amp;BX19&amp;"Template de desconto FLAT bundle - Velox XDSL - Varejo"),[2]BENEFICIOS!$A:$E,5,0))),"Criar",IF(BX19="","",VLOOKUP(($AY19&amp;BX19&amp;"Template de desconto FLAT bundle - Velox XDSL - Varejo"),[2]BENEFICIOS!$A:$E,5,0)))</f>
        <v>MKT-1-9829477373</v>
      </c>
      <c r="BZ19" s="167" t="s">
        <v>210</v>
      </c>
      <c r="CA19" s="168">
        <v>44.9</v>
      </c>
      <c r="CB19" s="101">
        <f>IF(CA19=0,"",IF(CA19=VLOOKUP("PCS-30577g",[2]ARBOR!$A:$C,3,0),0.0001,IF(CA19&gt;VLOOKUP("PCS-30577g",[2]ARBOR!$A:$C,3,0),"Maior que CAP!",IF((DOLLAR(CA19+(VLOOKUP("PCS-30577g",[2]ARBOR!$A:$C,3,0)*-TRUNC(CA19/VLOOKUP("PCS-30577g",[2]ARBOR!$A:$C,3,0)-1,4)),6))&lt;&gt;(DOLLAR(VLOOKUP("PCS-30577g",[2]ARBOR!$A:$C,3,0),6)),-TRUNC(CA19/VLOOKUP("PCS-30577g",[2]ARBOR!$A:$C,3,0)-1,4)+0.0001,-TRUNC(CA19/VLOOKUP("PCS-30577g",[2]ARBOR!$A:$C,3,0)-1,4)))))</f>
        <v>0.53679999999999994</v>
      </c>
      <c r="CC19" s="163" t="str">
        <f>IF(ISERROR(IF(CB19="","",VLOOKUP(($AY19&amp;CB19&amp;"Template de desconto FLAT bundle - Velox XDSL - Varejo"),[2]BENEFICIOS!$A:$E,5,0))),"Criar",IF(CB19="","",VLOOKUP(($AY19&amp;CB19&amp;"Template de desconto FLAT bundle - Velox XDSL - Varejo"),[2]BENEFICIOS!$A:$E,5,0)))</f>
        <v>MKT-1-9829477373</v>
      </c>
      <c r="CD19" s="167" t="s">
        <v>210</v>
      </c>
      <c r="CE19" s="168">
        <v>44.9</v>
      </c>
      <c r="CF19" s="101">
        <f>IF(CE19=0,"",IF(CE19=VLOOKUP("PCS-30604g",[2]ARBOR!$A:$C,3,0),0.0001,IF(CE19&gt;VLOOKUP("PCS-30604g",[2]ARBOR!$A:$C,3,0),"Maior que CAP!",IF((DOLLAR(CE19+(VLOOKUP("PCS-30604g",[2]ARBOR!$A:$C,3,0)*-TRUNC(CE19/VLOOKUP("PCS-30604g",[2]ARBOR!$A:$C,3,0)-1,4)),6))&lt;&gt;(DOLLAR(VLOOKUP("PCS-30604g",[2]ARBOR!$A:$C,3,0),6)),-TRUNC(CE19/VLOOKUP("PCS-30604g",[2]ARBOR!$A:$C,3,0)-1,4)+0.0001,-TRUNC(CE19/VLOOKUP("PCS-30604g",[2]ARBOR!$A:$C,3,0)-1,4)))))</f>
        <v>0.53679999999999994</v>
      </c>
      <c r="CG19" s="163" t="str">
        <f>IF(ISERROR(IF(CF19="","",VLOOKUP(($AY19&amp;CF19&amp;"Template de desconto FLAT bundle - Velox XDSL - Varejo"),[2]BENEFICIOS!$A:$E,5,0))),"Criar",IF(CF19="","",VLOOKUP(($AY19&amp;CF19&amp;"Template de desconto FLAT bundle - Velox XDSL - Varejo"),[2]BENEFICIOS!$A:$E,5,0)))</f>
        <v>MKT-1-9829477373</v>
      </c>
      <c r="CH19" s="167" t="s">
        <v>210</v>
      </c>
      <c r="CI19" s="168">
        <v>44.9</v>
      </c>
      <c r="CJ19" s="101">
        <f>IF(CI19=0,"",IF(CI19=VLOOKUP("PCS-30631g",[2]ARBOR!$A:$C,3,0),0.0001,IF(CI19&gt;VLOOKUP("PCS-30631g",[2]ARBOR!$A:$C,3,0),"Maior que CAP!",IF((DOLLAR(CI19+(VLOOKUP("PCS-30631g",[2]ARBOR!$A:$C,3,0)*-TRUNC(CI19/VLOOKUP("PCS-30631g",[2]ARBOR!$A:$C,3,0)-1,4)),6))&lt;&gt;(DOLLAR(VLOOKUP("PCS-30631g",[2]ARBOR!$A:$C,3,0),6)),-TRUNC(CI19/VLOOKUP("PCS-30631g",[2]ARBOR!$A:$C,3,0)-1,4)+0.0001,-TRUNC(CI19/VLOOKUP("PCS-30631g",[2]ARBOR!$A:$C,3,0)-1,4)))))</f>
        <v>0.54310000000000003</v>
      </c>
      <c r="CK19" s="163" t="str">
        <f>IF(ISERROR(IF(CJ19="","",VLOOKUP(($AY19&amp;CJ19&amp;"Template de desconto FLAT bundle - Velox XDSL - Varejo"),[2]BENEFICIOS!$A:$E,5,0))),"Criar",IF(CJ19="","",VLOOKUP(($AY19&amp;CJ19&amp;"Template de desconto FLAT bundle - Velox XDSL - Varejo"),[2]BENEFICIOS!$A:$E,5,0)))</f>
        <v>MKT-1-9828219079</v>
      </c>
      <c r="CL19" s="167" t="s">
        <v>104</v>
      </c>
      <c r="CM19" s="168">
        <v>49.9</v>
      </c>
      <c r="CN19" s="101">
        <f>IF(CM19=0,"",IF(CM19=VLOOKUP("PCS-30658g",[2]ARBOR!$A:$C,3,0),0.0001,IF(CM19&gt;VLOOKUP("PCS-30658g",[2]ARBOR!$A:$C,3,0),"Maior que CAP!",IF((DOLLAR(CM19+(VLOOKUP("PCS-30658g",[2]ARBOR!$A:$C,3,0)*-TRUNC(CM19/VLOOKUP("PCS-30658g",[2]ARBOR!$A:$C,3,0)-1,4)),6))&lt;&gt;(DOLLAR(VLOOKUP("PCS-30658g",[2]ARBOR!$A:$C,3,0),6)),-TRUNC(CM19/VLOOKUP("PCS-30658g",[2]ARBOR!$A:$C,3,0)-1,4)+0.0001,-TRUNC(CM19/VLOOKUP("PCS-30658g",[2]ARBOR!$A:$C,3,0)-1,4)))))</f>
        <v>0.55569999999999997</v>
      </c>
      <c r="CO19" s="163" t="str">
        <f>IF(ISERROR(IF(CN19="","",VLOOKUP(($AY19&amp;CN19&amp;"Template de desconto FLAT bundle - Velox XDSL - Varejo"),[2]BENEFICIOS!$A:$E,5,0))),"Criar",IF(CN19="","",VLOOKUP(($AY19&amp;CN19&amp;"Template de desconto FLAT bundle - Velox XDSL - Varejo"),[2]BENEFICIOS!$A:$E,5,0)))</f>
        <v>MKT-1-9828243608</v>
      </c>
      <c r="CP19" s="167" t="s">
        <v>104</v>
      </c>
      <c r="CQ19" s="168">
        <v>49.9</v>
      </c>
      <c r="CR19" s="101">
        <f>IF(CQ19=0,"",IF(CQ19=VLOOKUP("PCS-30685g",[2]ARBOR!$A:$C,3,0),0.0001,IF(CQ19&gt;VLOOKUP("PCS-30685g",[2]ARBOR!$A:$C,3,0),"Maior que CAP!",IF((DOLLAR(CQ19+(VLOOKUP("PCS-30685g",[2]ARBOR!$A:$C,3,0)*-TRUNC(CQ19/VLOOKUP("PCS-30685g",[2]ARBOR!$A:$C,3,0)-1,4)),6))&lt;&gt;(DOLLAR(VLOOKUP("PCS-30685g",[2]ARBOR!$A:$C,3,0),6)),-TRUNC(CQ19/VLOOKUP("PCS-30685g",[2]ARBOR!$A:$C,3,0)-1,4)+0.0001,-TRUNC(CQ19/VLOOKUP("PCS-30685g",[2]ARBOR!$A:$C,3,0)-1,4)))))</f>
        <v>0.60509999999999997</v>
      </c>
      <c r="CS19" s="163" t="str">
        <f>IF(ISERROR(IF(CR19="","",VLOOKUP(($AY19&amp;CR19&amp;"Template de desconto FLAT bundle - Velox XDSL - Varejo"),[2]BENEFICIOS!$A:$E,5,0))),"Criar",IF(CR19="","",VLOOKUP(($AY19&amp;CR19&amp;"Template de desconto FLAT bundle - Velox XDSL - Varejo"),[2]BENEFICIOS!$A:$E,5,0)))</f>
        <v>MKT-1-9828260647</v>
      </c>
      <c r="CT19" s="167" t="s">
        <v>104</v>
      </c>
      <c r="CU19" s="168">
        <v>49.9</v>
      </c>
      <c r="CV19" s="101">
        <f>IF(CU19=0,"",IF(CU19=VLOOKUP("PCS-30712g",[2]ARBOR!$A:$C,3,0),0.0001,IF(CU19&gt;VLOOKUP("PCS-30712g",[2]ARBOR!$A:$C,3,0),"Maior que CAP!",IF((DOLLAR(CU19+(VLOOKUP("PCS-30712g",[2]ARBOR!$A:$C,3,0)*-TRUNC(CU19/VLOOKUP("PCS-30712g",[2]ARBOR!$A:$C,3,0)-1,4)),6))&lt;&gt;(DOLLAR(VLOOKUP("PCS-30712g",[2]ARBOR!$A:$C,3,0),6)),-TRUNC(CU19/VLOOKUP("PCS-30712g",[2]ARBOR!$A:$C,3,0)-1,4)+0.0001,-TRUNC(CU19/VLOOKUP("PCS-30712g",[2]ARBOR!$A:$C,3,0)-1,4)))))</f>
        <v>0.64459999999999995</v>
      </c>
      <c r="CW19" s="163" t="str">
        <f>IF(ISERROR(IF(CV19="","",VLOOKUP(($AY19&amp;CV19&amp;"Template de desconto FLAT bundle - Velox XDSL - Varejo"),[2]BENEFICIOS!$A:$E,5,0))),"Criar",IF(CV19="","",VLOOKUP(($AY19&amp;CV19&amp;"Template de desconto FLAT bundle - Velox XDSL - Varejo"),[2]BENEFICIOS!$A:$E,5,0)))</f>
        <v>MKT-1-9828260926</v>
      </c>
      <c r="CX19" s="167" t="s">
        <v>104</v>
      </c>
      <c r="CY19" s="168">
        <v>59.9</v>
      </c>
      <c r="CZ19" s="101">
        <f>IF(CY19=0,"",IF(CY19=VLOOKUP("PCS-30739g",[2]ARBOR!$A:$C,3,0),0.0001,IF(CY19&gt;VLOOKUP("PCS-30739g",[2]ARBOR!$A:$C,3,0),"Maior que CAP!",IF((DOLLAR(CY19+(VLOOKUP("PCS-30739g",[2]ARBOR!$A:$C,3,0)*-TRUNC(CY19/VLOOKUP("PCS-30739g",[2]ARBOR!$A:$C,3,0)-1,4)),6))&lt;&gt;(DOLLAR(VLOOKUP("PCS-30739g",[2]ARBOR!$A:$C,3,0),6)),-TRUNC(CY19/VLOOKUP("PCS-30739g",[2]ARBOR!$A:$C,3,0)-1,4)+0.0001,-TRUNC(CY19/VLOOKUP("PCS-30739g",[2]ARBOR!$A:$C,3,0)-1,4)))))</f>
        <v>0.71560000000000001</v>
      </c>
      <c r="DA19" s="169" t="str">
        <f>IF(ISERROR(IF(CZ19="","",VLOOKUP(($AY19&amp;CZ19&amp;"Template de desconto FLAT bundle - Velox XDSL - Varejo"),[2]BENEFICIOS!$A:$E,5,0))),"Criar",IF(CZ19="","",VLOOKUP(($AY19&amp;CZ19&amp;"Template de desconto FLAT bundle - Velox XDSL - Varejo"),[2]BENEFICIOS!$A:$E,5,0)))</f>
        <v>MKT-1-9828272465</v>
      </c>
      <c r="DB19" s="170">
        <v>29.95</v>
      </c>
      <c r="DC19" s="215">
        <v>6</v>
      </c>
      <c r="DD19" s="101">
        <f>IF(DB19=0,"",IF(DB19=VLOOKUP("PCS-30739g",[2]ARBOR!$A:$C,3,0),0.0001,IF(DB19&gt;VLOOKUP("PCS-30739g",[2]ARBOR!$A:$C,3,0),"Maior que CAP!",IF((DOLLAR(DB19+(VLOOKUP("PCS-30739g",[2]ARBOR!$A:$C,3,0)*-TRUNC(DB19/VLOOKUP("PCS-30739g",[2]ARBOR!$A:$C,3,0)-1,4)),6))&lt;&gt;(DOLLAR(VLOOKUP("PCS-30739g",[2]ARBOR!$A:$C,3,0),6)),(-TRUNC(DB19/VLOOKUP("PCS-30739g",[2]ARBOR!$A:$C,3,0)-1,4)+0.0001)-CZ19,-TRUNC(DB19/VLOOKUP("PCS-30739g",[2]ARBOR!$A:$C,3,0)-1,4)-CZ19))))</f>
        <v>0.14219999999999999</v>
      </c>
      <c r="DE19" s="163" t="str">
        <f>IF(ISERROR(IF(DD19="","",VLOOKUP(($AY19&amp;DD19&amp;"Template de desconto percentual Bundle - Velox XDSL - Varejo"),[2]BENEFICIOS!$A:$E,5,0))),"Criar",IF(DD19="","",VLOOKUP(($AY19&amp;DD19&amp;"Template de desconto percentual Bundle - Velox XDSL - Varejo"),[2]BENEFICIOS!$A:$E,5,0)))</f>
        <v>MKT-1-9832066535</v>
      </c>
      <c r="DF19" s="167" t="s">
        <v>104</v>
      </c>
      <c r="DG19" s="168">
        <v>59.9</v>
      </c>
      <c r="DH19" s="101">
        <f>IF(DG19=0,"",IF(DG19=VLOOKUP("PCS-30766g",[2]ARBOR!$A:$C,3,0),0.0001,IF(DG19&gt;VLOOKUP("PCS-30766g",[2]ARBOR!$A:$C,3,0),"Maior que CAP!",IF((DOLLAR(DG19+(VLOOKUP("PCS-30766g",[2]ARBOR!$A:$C,3,0)*-TRUNC(DG19/VLOOKUP("PCS-30766g",[2]ARBOR!$A:$C,3,0)-1,4)),6))&lt;&gt;(DOLLAR(VLOOKUP("PCS-30766g",[2]ARBOR!$A:$C,3,0),6)),-TRUNC(DG19/VLOOKUP("PCS-30766g",[2]ARBOR!$A:$C,3,0)-1,4)+0.0001,-TRUNC(DG19/VLOOKUP("PCS-30766g",[2]ARBOR!$A:$C,3,0)-1,4)))))</f>
        <v>0.78669999999999995</v>
      </c>
      <c r="DI19" s="169" t="str">
        <f>IF(ISERROR(IF(DH19="","",VLOOKUP(($AY19&amp;DH19&amp;"Template de desconto FLAT bundle - Velox XDSL - Varejo"),[2]BENEFICIOS!$A:$E,5,0))),"Criar",IF(DH19="","",VLOOKUP(($AY19&amp;DH19&amp;"Template de desconto FLAT bundle - Velox XDSL - Varejo"),[2]BENEFICIOS!$A:$E,5,0)))</f>
        <v>MKT-1-9828285890</v>
      </c>
      <c r="DJ19" s="170">
        <v>29.95</v>
      </c>
      <c r="DK19" s="215">
        <v>6</v>
      </c>
      <c r="DL19" s="101">
        <f>IF(DJ19=0,"",IF(DJ19=VLOOKUP("PCS-30766g",[2]ARBOR!$A:$C,3,0),0.0001,IF(DJ19&gt;VLOOKUP("PCS-30766g",[2]ARBOR!$A:$C,3,0),"Maior que CAP!",IF((DOLLAR(DJ19+(VLOOKUP("PCS-30766g",[2]ARBOR!$A:$C,3,0)*-TRUNC(DJ19/VLOOKUP("PCS-30766g",[2]ARBOR!$A:$C,3,0)-1,4)),6))&lt;&gt;(DOLLAR(VLOOKUP("PCS-30766g",[2]ARBOR!$A:$C,3,0),6)),(-TRUNC(DJ19/VLOOKUP("PCS-30766g",[2]ARBOR!$A:$C,3,0)-1,4)+0.0001)-DH19,-TRUNC(DJ19/VLOOKUP("PCS-30766g",[2]ARBOR!$A:$C,3,0)-1,4)-DH19))))</f>
        <v>0.10670000000000002</v>
      </c>
      <c r="DM19" s="163" t="str">
        <f>IF(ISERROR(IF(DL19="","",VLOOKUP(($AY19&amp;DL19&amp;"Template de desconto percentual Bundle - Velox XDSL - Varejo"),[2]BENEFICIOS!$A:$E,5,0))),"Criar",IF(DL19="","",VLOOKUP(($AY19&amp;DL19&amp;"Template de desconto percentual Bundle - Velox XDSL - Varejo"),[2]BENEFICIOS!$A:$E,5,0)))</f>
        <v>MKT-1-9832066763</v>
      </c>
      <c r="DN19" s="167" t="s">
        <v>210</v>
      </c>
      <c r="DO19" s="168">
        <v>69.900000000000006</v>
      </c>
      <c r="DP19" s="101">
        <f>IF(DO19=0,"",IF(DO19=VLOOKUP("PCS-30793g",[2]ARBOR!$A:$C,3,0),0.0001,IF(DO19&gt;VLOOKUP("PCS-30793g",[2]ARBOR!$A:$C,3,0),"Maior que CAP!",IF((DOLLAR(DO19+(VLOOKUP("PCS-30793g",[2]ARBOR!$A:$C,3,0)*-TRUNC(DO19/VLOOKUP("PCS-30793g",[2]ARBOR!$A:$C,3,0)-1,4)),6))&lt;&gt;(DOLLAR(VLOOKUP("PCS-30793g",[2]ARBOR!$A:$C,3,0),6)),-TRUNC(DO19/VLOOKUP("PCS-30793g",[2]ARBOR!$A:$C,3,0)-1,4)+0.0001,-TRUNC(DO19/VLOOKUP("PCS-30793g",[2]ARBOR!$A:$C,3,0)-1,4)))))</f>
        <v>0.75109999999999999</v>
      </c>
      <c r="DQ19" s="169" t="str">
        <f>IF(ISERROR(IF(DP19="","",VLOOKUP(($AY19&amp;DP19&amp;"Template de desconto FLAT bundle - Velox XDSL - Varejo"),[2]BENEFICIOS!$A:$E,5,0))),"Criar",IF(DP19="","",VLOOKUP(($AY19&amp;DP19&amp;"Template de desconto FLAT bundle - Velox XDSL - Varejo"),[2]BENEFICIOS!$A:$E,5,0)))</f>
        <v>MKT-1-9828314259</v>
      </c>
      <c r="DR19" s="170">
        <v>34.950000000000003</v>
      </c>
      <c r="DS19" s="215">
        <v>6</v>
      </c>
      <c r="DT19" s="101">
        <f>IF(DR19=0,"",IF(DR19=VLOOKUP("PCS-30793g",[2]ARBOR!$A:$C,3,0),0.0001,IF(DR19&gt;VLOOKUP("PCS-30793g",[2]ARBOR!$A:$C,3,0),"Maior que CAP!",IF((DOLLAR(DR19+(VLOOKUP("PCS-30793g",[2]ARBOR!$A:$C,3,0)*-TRUNC(DR19/VLOOKUP("PCS-30793g",[2]ARBOR!$A:$C,3,0)-1,4)),6))&lt;&gt;(DOLLAR(VLOOKUP("PCS-30793g",[2]ARBOR!$A:$C,3,0),6)),(-TRUNC(DR19/VLOOKUP("PCS-30793g",[2]ARBOR!$A:$C,3,0)-1,4)+0.0001)-DP19,-TRUNC(DR19/VLOOKUP("PCS-30793g",[2]ARBOR!$A:$C,3,0)-1,4)-DP19))))</f>
        <v>0.12449999999999994</v>
      </c>
      <c r="DU19" s="163" t="str">
        <f>IF(ISERROR(IF(DT19="","",VLOOKUP(($AY19&amp;DT19&amp;"Template de desconto percentual Bundle - Velox XDSL - Varejo"),[2]BENEFICIOS!$A:$E,5,0))),"Criar",IF(DT19="","",VLOOKUP(($AY19&amp;DT19&amp;"Template de desconto percentual Bundle - Velox XDSL - Varejo"),[2]BENEFICIOS!$A:$E,5,0)))</f>
        <v>MKT-1-9826047043</v>
      </c>
      <c r="DV19" s="167" t="s">
        <v>104</v>
      </c>
      <c r="DW19" s="168">
        <v>69.900000000000006</v>
      </c>
      <c r="DX19" s="101">
        <f>IF(DW19=0,"",IF(DW19=VLOOKUP("PCS-30820g",[2]ARBOR!$A:$C,3,0),0.0001,IF(DW19&gt;VLOOKUP("PCS-30820g",[2]ARBOR!$A:$C,3,0),"Maior que CAP!",IF((DOLLAR(DW19+(VLOOKUP("PCS-30820g",[2]ARBOR!$A:$C,3,0)*-TRUNC(DW19/VLOOKUP("PCS-30820g",[2]ARBOR!$A:$C,3,0)-1,4)),6))&lt;&gt;(DOLLAR(VLOOKUP("PCS-30820g",[2]ARBOR!$A:$C,3,0),6)),-TRUNC(DW19/VLOOKUP("PCS-30820g",[2]ARBOR!$A:$C,3,0)-1,4)+0.0001,-TRUNC(DW19/VLOOKUP("PCS-30820g",[2]ARBOR!$A:$C,3,0)-1,4)))))</f>
        <v>0.75109999999999999</v>
      </c>
      <c r="DY19" s="169" t="str">
        <f>IF(ISERROR(IF(DX19="","",VLOOKUP(($AY19&amp;DX19&amp;"Template de desconto FLAT bundle - Velox XDSL - Varejo"),[2]BENEFICIOS!$A:$E,5,0))),"Criar",IF(DX19="","",VLOOKUP(($AY19&amp;DX19&amp;"Template de desconto FLAT bundle - Velox XDSL - Varejo"),[2]BENEFICIOS!$A:$E,5,0)))</f>
        <v>MKT-1-9828314259</v>
      </c>
      <c r="DZ19" s="170">
        <v>34.950000000000003</v>
      </c>
      <c r="EA19" s="215">
        <v>6</v>
      </c>
      <c r="EB19" s="101">
        <f>IF(DZ19=0,"",IF(DZ19=VLOOKUP("PCS-30820g",[2]ARBOR!$A:$C,3,0),0.0001,IF(DZ19&gt;VLOOKUP("PCS-30820g",[2]ARBOR!$A:$C,3,0),"Maior que CAP!",IF((DOLLAR(DZ19+(VLOOKUP("PCS-30820g",[2]ARBOR!$A:$C,3,0)*-TRUNC(DZ19/VLOOKUP("PCS-30820g",[2]ARBOR!$A:$C,3,0)-1,4)),6))&lt;&gt;(DOLLAR(VLOOKUP("PCS-30820g",[2]ARBOR!$A:$C,3,0),6)),(-TRUNC(DZ19/VLOOKUP("PCS-30820g",[2]ARBOR!$A:$C,3,0)-1,4)+0.0001)-DX19,-TRUNC(DZ19/VLOOKUP("PCS-30820g",[2]ARBOR!$A:$C,3,0)-1,4)-DX19))))</f>
        <v>0.12449999999999994</v>
      </c>
      <c r="EC19" s="163" t="str">
        <f>IF(ISERROR(IF(EB19="","",VLOOKUP(($AY19&amp;EB19&amp;"Template de desconto percentual Bundle - Velox XDSL - Varejo"),[2]BENEFICIOS!$A:$E,5,0))),"Criar",IF(EB19="","",VLOOKUP(($AY19&amp;EB19&amp;"Template de desconto percentual Bundle - Velox XDSL - Varejo"),[2]BENEFICIOS!$A:$E,5,0)))</f>
        <v>MKT-1-9826047043</v>
      </c>
      <c r="ED19" s="172"/>
      <c r="EE19" s="101" t="str">
        <f>IF(ED19=0,"",IF(ED19=VLOOKUP("PCS-21448p2",[2]ARBOR!$A:$C,3,0),0.0001,IF(ED19&gt;VLOOKUP("PCS-21448p2",[2]ARBOR!$A:$C,3,0),"Maior que CAP!",IF((DOLLAR(ED19+(VLOOKUP("PCS-21448p2",[2]ARBOR!$A:$C,3,0)*-TRUNC(ED19/VLOOKUP("PCS-21448p2",[2]ARBOR!$A:$C,3,0)-1,4)),6))&lt;&gt;(DOLLAR(VLOOKUP("PCS-21448p2",[2]ARBOR!$A:$C,3,0),6)),-TRUNC(ED19/VLOOKUP("PCS-21448p2",[2]ARBOR!$A:$C,3,0)-1,4)+0.0001,-TRUNC(ED19/VLOOKUP("PCS-21448p2",[2]ARBOR!$A:$C,3,0)-1,4)))))</f>
        <v/>
      </c>
      <c r="EF19" s="101" t="str">
        <f>IF(ISERROR(IF(EE19="","",VLOOKUP(("Oi Conta Total Plug 10GB Downgrade"&amp;EE19&amp;"Template de desconto percentual BL Móvel - Internet Total - Varejo"),[2]BENEFICIOS!$A:$E,5,0))),"Criar",IF(EE19="","",VLOOKUP(("Oi Conta Total Plug 10GB Downgrade"&amp;EE19&amp;"Template de desconto percentual BL Móvel - Internet Total - Varejo"),[2]BENEFICIOS!$A:$E,5,0)))</f>
        <v/>
      </c>
      <c r="EG19" s="173">
        <v>19.899999999999999</v>
      </c>
      <c r="EH19" s="174">
        <f>IF(EG19=0,"",IF(EG19=VLOOKUP("SVA",[2]ARBOR!$A:$C,3,0),0.0001,IF(EG19&gt;VLOOKUP("SVA",[2]ARBOR!$A:$C,3,0),"Maior que CAP!",IF((DOLLAR(EG19+(VLOOKUP("SVA",[2]ARBOR!$A:$C,3,0)*-TRUNC(EG19/VLOOKUP("SVA",[2]ARBOR!$A:$C,3,0)-1,4)),6))&lt;&gt;(DOLLAR(VLOOKUP("SVA",[2]ARBOR!$A:$C,3,0),6)),-TRUNC(EG19/VLOOKUP("SVA",[2]ARBOR!$A:$C,3,0)-1,4)+0.0001,-TRUNC(EG19/VLOOKUP("SVA",[2]ARBOR!$A:$C,3,0)-1,4)))))</f>
        <v>7.1400000000000005E-2</v>
      </c>
      <c r="EI19" s="174" t="s">
        <v>211</v>
      </c>
      <c r="EJ19" s="175" t="s">
        <v>219</v>
      </c>
      <c r="EK19" s="176">
        <v>6</v>
      </c>
      <c r="EL19" s="177">
        <f t="shared" si="3"/>
        <v>0.92859999999999998</v>
      </c>
      <c r="EM19" s="174" t="s">
        <v>220</v>
      </c>
      <c r="EN19" s="103"/>
      <c r="EO19" s="101" t="str">
        <f>IF(EN19=0,"",IF(EN19=VLOOKUP("PCS-OzTL40",[2]ARBOR!$A:$C,3,0),0.0001,IF(EN19&gt;VLOOKUP("PCS-OzTL40",[2]ARBOR!$A:$C,3,0),"Maior que CAP!",IF((DOLLAR(EN19+(VLOOKUP("PCS-OzTL40",[2]ARBOR!$A:$C,3,0)*-TRUNC(EN19/VLOOKUP("PCS-OzTL40",[2]ARBOR!$A:$C,3,0)-1,4)),6))&lt;&gt;(DOLLAR(VLOOKUP("PCS-OzTL40",[2]ARBOR!$A:$C,3,0),6)),-TRUNC(EN19/VLOOKUP("PCS-OzTL40",[2]ARBOR!$A:$C,3,0)-1,4)+0.0001,-TRUNC(EN19/VLOOKUP("PCS-OzTL40",[2]ARBOR!$A:$C,3,0)-1,4)))))</f>
        <v/>
      </c>
      <c r="EP19" s="163" t="str">
        <f>IF(ISERROR(IF(EO19="","",VLOOKUP(($AY19&amp;EO19&amp;"Template desconto FLAT Plano Principal Oi TV nível conta"),[2]BENEFICIOS!$A:$G,5,0))),"Criar",IF(EO19="","",VLOOKUP(($AY19&amp;EO19&amp;"Template desconto FLAT Plano Principal Oi TV nível conta"),[2]BENEFICIOS!$A:$G,5,0)))</f>
        <v/>
      </c>
      <c r="EQ19" s="103"/>
      <c r="ER19" s="101" t="str">
        <f>IF(EQ19=0,"",IF(EQ19=VLOOKUP("PCS-OzTL41",[2]ARBOR!$A:$C,3,0),0.0001,IF(EQ19&gt;VLOOKUP("PCS-OzTL41",[2]ARBOR!$A:$C,3,0),"Maior que CAP!",IF((DOLLAR(EQ19+(VLOOKUP("PCS-OzTL41",[2]ARBOR!$A:$C,3,0)*-TRUNC(EQ19/VLOOKUP("PCS-OzTL41",[2]ARBOR!$A:$C,3,0)-1,4)),6))&lt;&gt;(DOLLAR(VLOOKUP("PCS-OzTL41",[2]ARBOR!$A:$C,3,0),6)),-TRUNC(EQ19/VLOOKUP("PCS-OzTL41",[2]ARBOR!$A:$C,3,0)-1,4)+0.0001,-TRUNC(EQ19/VLOOKUP("PCS-OzTL41",[2]ARBOR!$A:$C,3,0)-1,4)))))</f>
        <v/>
      </c>
      <c r="ES19" s="178" t="str">
        <f>IF(ISERROR(IF(ER19="","",VLOOKUP(($AY19&amp;ER19&amp;"Template desconto FLAT Plano Principal Oi TV nível conta"),[2]BENEFICIOS!$A:$G,5,0))),"Criar",IF(ER19="","",VLOOKUP(($AY19&amp;ER19&amp;"Template desconto FLAT Plano Principal Oi TV nível conta"),[2]BENEFICIOS!$A:$G,5,0)))</f>
        <v/>
      </c>
      <c r="ET19" s="103"/>
      <c r="EU19" s="101" t="str">
        <f>IF(ET19=0,"",IF(ET19=VLOOKUP("PCS-OzTL44",[2]ARBOR!$A:$C,3,0),0.0001,IF(ET19&gt;VLOOKUP("PCS-OzTL44",[2]ARBOR!$A:$C,3,0),"Maior que CAP!",IF((DOLLAR(ET19+(VLOOKUP("PCS-OzTL44",[2]ARBOR!$A:$C,3,0)*-TRUNC(ET19/VLOOKUP("PCS-OzTL44",[2]ARBOR!$A:$C,3,0)-1,4)),6))&lt;&gt;(DOLLAR(VLOOKUP("PCS-OzTL44",[2]ARBOR!$A:$C,3,0),6)),-TRUNC(ET19/VLOOKUP("PCS-OzTL44",[2]ARBOR!$A:$C,3,0)-1,4)+0.0001,-TRUNC(ET19/VLOOKUP("PCS-OzTL44",[2]ARBOR!$A:$C,3,0)-1,4)))))</f>
        <v/>
      </c>
      <c r="EV19" s="178" t="str">
        <f>IF(ISERROR(IF(EU19="","",VLOOKUP(($AY19&amp;EU19&amp;"Template desconto FLAT Plano Principal Oi TV nível conta"),[2]BENEFICIOS!$A:$G,5,0))),"Criar",IF(EU19="","",VLOOKUP(($AY19&amp;EU19&amp;"Template desconto FLAT Plano Principal Oi TV nível conta"),[2]BENEFICIOS!$A:$G,5,0)))</f>
        <v/>
      </c>
      <c r="EW19" s="103"/>
      <c r="EX19" s="101" t="str">
        <f>IF(EW19=0,"",IF(EW19=VLOOKUP("PCS-OzTL43",[2]ARBOR!$A:$C,3,0),0.0001,IF(EW19&gt;VLOOKUP("PCS-OzTL43",[2]ARBOR!$A:$C,3,0),"Maior que CAP!",IF((DOLLAR(EW19+(VLOOKUP("PCS-OzTL43",[2]ARBOR!$A:$C,3,0)*-TRUNC(EW19/VLOOKUP("PCS-OzTL43",[2]ARBOR!$A:$C,3,0)-1,4)),6))&lt;&gt;(DOLLAR(VLOOKUP("PCS-OzTL43",[2]ARBOR!$A:$C,3,0),6)),-TRUNC(EW19/VLOOKUP("PCS-OzTL43",[2]ARBOR!$A:$C,3,0)-1,4)+0.0001,-TRUNC(EW19/VLOOKUP("PCS-OzTL43",[2]ARBOR!$A:$C,3,0)-1,4)))))</f>
        <v/>
      </c>
      <c r="EY19" s="178" t="str">
        <f>IF(ISERROR(IF(EX19="","",VLOOKUP(($AY19&amp;EX19&amp;"Template desconto FLAT Plano Principal Oi TV nível conta"),[2]BENEFICIOS!$A:$G,5,0))),"Criar",IF(EX19="","",VLOOKUP(($AY19&amp;EX19&amp;"Template desconto FLAT Plano Principal Oi TV nível conta"),[2]BENEFICIOS!$A:$G,5,0)))</f>
        <v/>
      </c>
      <c r="EZ19" s="103"/>
      <c r="FA19" s="101" t="str">
        <f>IF(EZ19=0,"",IF(EZ19=VLOOKUP("PCS-OzTL45",[2]ARBOR!$A:$C,3,0),0.0001,IF(EZ19&gt;VLOOKUP("PCS-OzTL45",[2]ARBOR!$A:$C,3,0),"Maior que CAP!",IF((DOLLAR(EZ19+(VLOOKUP("PCS-OzTL45",[2]ARBOR!$A:$C,3,0)*-TRUNC(EZ19/VLOOKUP("PCS-OzTL45",[2]ARBOR!$A:$C,3,0)-1,4)),6))&lt;&gt;(DOLLAR(VLOOKUP("PCS-OzTL45",[2]ARBOR!$A:$C,3,0),6)),-TRUNC(EZ19/VLOOKUP("PCS-OzTL45",[2]ARBOR!$A:$C,3,0)-1,4)+0.0001,-TRUNC(EZ19/VLOOKUP("PCS-OzTL45",[2]ARBOR!$A:$C,3,0)-1,4)))))</f>
        <v/>
      </c>
      <c r="FB19" s="178" t="str">
        <f>IF(ISERROR(IF(FA19="","",VLOOKUP(($AY19&amp;FA19&amp;"Template desconto FLAT Plano Principal Oi TV nível conta"),[2]BENEFICIOS!$A:$G,5,0))),"Criar",IF(FA19="","",VLOOKUP(($AY19&amp;FA19&amp;"Template desconto FLAT Plano Principal Oi TV nível conta"),[2]BENEFICIOS!$A:$G,5,0)))</f>
        <v/>
      </c>
      <c r="FC19" s="103"/>
      <c r="FD19" s="101" t="str">
        <f>IF(FC19=0,"",IF(FC19=VLOOKUP("PCS-OzTL741",[2]ARBOR!$A:$C,3,0),0.0001,IF(FC19&gt;VLOOKUP("PCS-OzTL741",[2]ARBOR!$A:$C,3,0),"Maior que CAP!",IF((DOLLAR(FC19+(VLOOKUP("PCS-OzTL741",[2]ARBOR!$A:$C,3,0)*-TRUNC(FC19/VLOOKUP("PCS-OzTL741",[2]ARBOR!$A:$C,3,0)-1,4)),6))&lt;&gt;(DOLLAR(VLOOKUP("PCS-OzTL741",[2]ARBOR!$A:$C,3,0),6)),-TRUNC(FC19/VLOOKUP("PCS-OzTL741",[2]ARBOR!$A:$C,3,0)-1,4)+0.0001,-TRUNC(FC19/VLOOKUP("PCS-OzTL741",[2]ARBOR!$A:$C,3,0)-1,4)))))</f>
        <v/>
      </c>
      <c r="FE19" s="178" t="str">
        <f>IF(ISERROR(IF(FD19="","",VLOOKUP(($AY19&amp;FD19&amp;"Template desconto FLAT Plano Principal Oi TV nível conta"),[2]BENEFICIOS!$A:$G,5,0))),"Criar",IF(FD19="","",VLOOKUP(($AY19&amp;FD19&amp;"Template desconto FLAT Plano Principal Oi TV nível conta"),[2]BENEFICIOS!$A:$G,5,0)))</f>
        <v/>
      </c>
      <c r="FF19" s="103"/>
      <c r="FG19" s="101" t="str">
        <f>IF(FF19=0,"",IF(FF19=VLOOKUP("PCS-OzTL744",[2]ARBOR!$A:$C,3,0),0.0001,IF(FF19&gt;VLOOKUP("PCS-OzTL744",[2]ARBOR!$A:$C,3,0),"Maior que CAP!",IF((DOLLAR(FF19+(VLOOKUP("PCS-OzTL744",[2]ARBOR!$A:$C,3,0)*-TRUNC(FF19/VLOOKUP("PCS-OzTL744",[2]ARBOR!$A:$C,3,0)-1,4)),6))&lt;&gt;(DOLLAR(VLOOKUP("PCS-OzTL744",[2]ARBOR!$A:$C,3,0),6)),-TRUNC(FF19/VLOOKUP("PCS-OzTL744",[2]ARBOR!$A:$C,3,0)-1,4)+0.0001,-TRUNC(FF19/VLOOKUP("PCS-OzTL744",[2]ARBOR!$A:$C,3,0)-1,4)))))</f>
        <v/>
      </c>
      <c r="FH19" s="178" t="str">
        <f>IF(ISERROR(IF(FG19="","",VLOOKUP(($AY19&amp;FG19&amp;"Template desconto FLAT Plano Principal Oi TV nível conta"),[2]BENEFICIOS!$A:$G,5,0))),"Criar",IF(FG19="","",VLOOKUP(($AY19&amp;FG19&amp;"Template desconto FLAT Plano Principal Oi TV nível conta"),[2]BENEFICIOS!$A:$G,5,0)))</f>
        <v/>
      </c>
      <c r="FI19" s="103"/>
      <c r="FJ19" s="101" t="str">
        <f>IF(FI19=0,"",IF(FI19=VLOOKUP("PCS-OzTL743",[2]ARBOR!$A:$C,3,0),0.0001,IF(FI19&gt;VLOOKUP("PCS-OzTL743",[2]ARBOR!$A:$C,3,0),"Maior que CAP!",IF((DOLLAR(FI19+(VLOOKUP("PCS-OzTL743",[2]ARBOR!$A:$C,3,0)*-TRUNC(FI19/VLOOKUP("PCS-OzTL743",[2]ARBOR!$A:$C,3,0)-1,4)),6))&lt;&gt;(DOLLAR(VLOOKUP("PCS-OzTL743",[2]ARBOR!$A:$C,3,0),6)),-TRUNC(FI19/VLOOKUP("PCS-OzTL743",[2]ARBOR!$A:$C,3,0)-1,4)+0.0001,-TRUNC(FI19/VLOOKUP("PCS-OzTL743",[2]ARBOR!$A:$C,3,0)-1,4)))))</f>
        <v/>
      </c>
      <c r="FK19" s="178" t="str">
        <f>IF(ISERROR(IF(FJ19="","",VLOOKUP(($AY19&amp;FJ19&amp;"Template desconto FLAT Plano Principal Oi TV nível conta"),[2]BENEFICIOS!$A:$G,5,0))),"Criar",IF(FJ19="","",VLOOKUP(($AY19&amp;FJ19&amp;"Template desconto FLAT Plano Principal Oi TV nível conta"),[2]BENEFICIOS!$A:$G,5,0)))</f>
        <v/>
      </c>
      <c r="FL19" s="103"/>
      <c r="FM19" s="101" t="str">
        <f>IF(FL19=0,"",IF(FL19=VLOOKUP("PCS-OzTL745",[2]ARBOR!$A:$C,3,0),0.0001,IF(FL19&gt;VLOOKUP("PCS-OzTL745",[2]ARBOR!$A:$C,3,0),"Maior que CAP!",IF((DOLLAR(FL19+(VLOOKUP("PCS-OzTL745",[2]ARBOR!$A:$C,3,0)*-TRUNC(FL19/VLOOKUP("PCS-OzTL745",[2]ARBOR!$A:$C,3,0)-1,4)),6))&lt;&gt;(DOLLAR(VLOOKUP("PCS-OzTL745",[2]ARBOR!$A:$C,3,0),6)),-TRUNC(FL19/VLOOKUP("PCS-OzTL745",[2]ARBOR!$A:$C,3,0)-1,4)+0.0001,-TRUNC(FL19/VLOOKUP("PCS-OzTL745",[2]ARBOR!$A:$C,3,0)-1,4)))))</f>
        <v/>
      </c>
      <c r="FN19" s="178" t="str">
        <f>IF(ISERROR(IF(FM19="","",VLOOKUP(($AY19&amp;FM19&amp;"Template desconto FLAT Plano Principal Oi TV nível conta"),[2]BENEFICIOS!$A:$G,5,0))),"Criar",IF(FM19="","",VLOOKUP(($AY19&amp;FM19&amp;"Template desconto FLAT Plano Principal Oi TV nível conta"),[2]BENEFICIOS!$A:$G,5,0)))</f>
        <v/>
      </c>
      <c r="FO19" s="103"/>
      <c r="FP19" s="101" t="str">
        <f>IF(FO19=0,"",IF(FO19=VLOOKUP("PCS-OzTL42",[2]ARBOR!$A:$C,3,0),0.0001,IF(FO19&gt;VLOOKUP("PCS-OzTL42",[2]ARBOR!$A:$C,3,0),"Maior que CAP!",IF((DOLLAR(FO19+(VLOOKUP("PCS-OzTL42",[2]ARBOR!$A:$C,3,0)*-TRUNC(FO19/VLOOKUP("PCS-OzTL42",[2]ARBOR!$A:$C,3,0)-1,4)),6))&lt;&gt;(DOLLAR(VLOOKUP("PCS-OzTL42",[2]ARBOR!$A:$C,3,0),6)),-TRUNC(FO19/VLOOKUP("PCS-OzTL42",[2]ARBOR!$A:$C,3,0)-1,4)+0.0001,-TRUNC(FO19/VLOOKUP("PCS-OzTL42",[2]ARBOR!$A:$C,3,0)-1,4)))))</f>
        <v/>
      </c>
      <c r="FQ19" s="178" t="str">
        <f>IF(ISERROR(IF(FP19="","",VLOOKUP(($AY19&amp;FP19&amp;"Template desconto FLAT Plano Principal Oi TV nível conta"),[2]BENEFICIOS!$A:$G,5,0))),"Criar",IF(FP19="","",VLOOKUP(($AY19&amp;FP19&amp;"Template desconto FLAT Plano Principal Oi TV nível conta"),[2]BENEFICIOS!$A:$G,5,0)))</f>
        <v/>
      </c>
      <c r="FR19" s="103"/>
      <c r="FS19" s="101" t="str">
        <f>IF(FR19=0,"",IF(FR19=VLOOKUP("PCS-OzTL47",[2]ARBOR!$A:$C,3,0),0.0001,IF(FR19&gt;VLOOKUP("PCS-OzTL47",[2]ARBOR!$A:$C,3,0),"Maior que CAP!",IF((DOLLAR(FR19+(VLOOKUP("PCS-OzTL47",[2]ARBOR!$A:$C,3,0)*-TRUNC(FR19/VLOOKUP("PCS-OzTL47",[2]ARBOR!$A:$C,3,0)-1,4)),6))&lt;&gt;(DOLLAR(VLOOKUP("PCS-OzTL47",[2]ARBOR!$A:$C,3,0),6)),-TRUNC(FR19/VLOOKUP("PCS-OzTL47",[2]ARBOR!$A:$C,3,0)-1,4)+0.0001,-TRUNC(FR19/VLOOKUP("PCS-OzTL47",[2]ARBOR!$A:$C,3,0)-1,4)))))</f>
        <v/>
      </c>
      <c r="FT19" s="178" t="str">
        <f>IF(ISERROR(IF(FS19="","",VLOOKUP(($AY19&amp;FS19&amp;"Template desconto FLAT Plano Principal Oi TV nível conta"),[2]BENEFICIOS!$A:$G,5,0))),"Criar",IF(FS19="","",VLOOKUP(($AY19&amp;FS19&amp;"Template desconto FLAT Plano Principal Oi TV nível conta"),[2]BENEFICIOS!$A:$G,5,0)))</f>
        <v/>
      </c>
      <c r="FU19" s="103"/>
      <c r="FV19" s="101" t="str">
        <f>IF(FU19=0,"",IF(FU19=VLOOKUP("PCS-OzTL46",[2]ARBOR!$A:$C,3,0),0.0001,IF(FU19&gt;VLOOKUP("PCS-OzTL46",[2]ARBOR!$A:$C,3,0),"Maior que CAP!",IF((DOLLAR(FU19+(VLOOKUP("PCS-OzTL46",[2]ARBOR!$A:$C,3,0)*-TRUNC(FU19/VLOOKUP("PCS-OzTL46",[2]ARBOR!$A:$C,3,0)-1,4)),6))&lt;&gt;(DOLLAR(VLOOKUP("PCS-OzTL46",[2]ARBOR!$A:$C,3,0),6)),-TRUNC(FU19/VLOOKUP("PCS-OzTL46",[2]ARBOR!$A:$C,3,0)-1,4)+0.0001,-TRUNC(FU19/VLOOKUP("PCS-OzTL46",[2]ARBOR!$A:$C,3,0)-1,4)))))</f>
        <v/>
      </c>
      <c r="FW19" s="178" t="str">
        <f>IF(ISERROR(IF(FV19="","",VLOOKUP(($AY19&amp;FV19&amp;"Template desconto FLAT Plano Principal Oi TV nível conta"),[2]BENEFICIOS!$A:$G,5,0))),"Criar",IF(FV19="","",VLOOKUP(($AY19&amp;FV19&amp;"Template desconto FLAT Plano Principal Oi TV nível conta"),[2]BENEFICIOS!$A:$G,5,0)))</f>
        <v/>
      </c>
      <c r="FX19" s="103"/>
      <c r="FY19" s="101" t="str">
        <f>IF(FX19=0,"",IF(FX19=VLOOKUP("PCS-OzTL48",[2]ARBOR!$A:$C,3,0),0.0001,IF(FX19&gt;VLOOKUP("PCS-OzTL48",[2]ARBOR!$A:$C,3,0),"Maior que CAP!",IF((DOLLAR(FX19+(VLOOKUP("PCS-OzTL48",[2]ARBOR!$A:$C,3,0)*-TRUNC(FX19/VLOOKUP("PCS-OzTL48",[2]ARBOR!$A:$C,3,0)-1,4)),6))&lt;&gt;(DOLLAR(VLOOKUP("PCS-OzTL48",[2]ARBOR!$A:$C,3,0),6)),-TRUNC(FX19/VLOOKUP("PCS-OzTL48",[2]ARBOR!$A:$C,3,0)-1,4)+0.0001,-TRUNC(FX19/VLOOKUP("PCS-OzTL48",[2]ARBOR!$A:$C,3,0)-1,4)))))</f>
        <v/>
      </c>
      <c r="FZ19" s="178" t="str">
        <f>IF(ISERROR(IF(FY19="","",VLOOKUP(($AY19&amp;FY19&amp;"Template desconto FLAT Plano Principal Oi TV nível conta"),[2]BENEFICIOS!$A:$G,5,0))),"Criar",IF(FY19="","",VLOOKUP(($AY19&amp;FY19&amp;"Template desconto FLAT Plano Principal Oi TV nível conta"),[2]BENEFICIOS!$A:$G,5,0)))</f>
        <v/>
      </c>
      <c r="GA19" s="103"/>
      <c r="GB19" s="101" t="str">
        <f>IF(GA19=0,"",IF(GA19=VLOOKUP("PCS-OzTL742",[2]ARBOR!$A:$C,3,0),0.0001,IF(GA19&gt;VLOOKUP("PCS-OzTL742",[2]ARBOR!$A:$C,3,0),"Maior que CAP!",IF((DOLLAR(GA19+(VLOOKUP("PCS-OzTL742",[2]ARBOR!$A:$C,3,0)*-TRUNC(GA19/VLOOKUP("PCS-OzTL742",[2]ARBOR!$A:$C,3,0)-1,4)),6))&lt;&gt;(DOLLAR(VLOOKUP("PCS-OzTL742",[2]ARBOR!$A:$C,3,0),6)),-TRUNC(GA19/VLOOKUP("PCS-OzTL742",[2]ARBOR!$A:$C,3,0)-1,4)+0.0001,-TRUNC(GA19/VLOOKUP("PCS-OzTL742",[2]ARBOR!$A:$C,3,0)-1,4)))))</f>
        <v/>
      </c>
      <c r="GC19" s="178" t="str">
        <f>IF(ISERROR(IF(GB19="","",VLOOKUP(($AY19&amp;GB19&amp;"Template desconto FLAT Plano Principal Oi TV nível conta"),[2]BENEFICIOS!$A:$G,5,0))),"Criar",IF(GB19="","",VLOOKUP(($AY19&amp;GB19&amp;"Template desconto FLAT Plano Principal Oi TV nível conta"),[2]BENEFICIOS!$A:$G,5,0)))</f>
        <v/>
      </c>
      <c r="GD19" s="103"/>
      <c r="GE19" s="101" t="str">
        <f>IF(GD19=0,"",IF(GD19=VLOOKUP("PCS-OzTL747",[2]ARBOR!$A:$C,3,0),0.0001,IF(GD19&gt;VLOOKUP("PCS-OzTL747",[2]ARBOR!$A:$C,3,0),"Maior que CAP!",IF((DOLLAR(GD19+(VLOOKUP("PCS-OzTL747",[2]ARBOR!$A:$C,3,0)*-TRUNC(GD19/VLOOKUP("PCS-OzTL747",[2]ARBOR!$A:$C,3,0)-1,4)),6))&lt;&gt;(DOLLAR(VLOOKUP("PCS-OzTL747",[2]ARBOR!$A:$C,3,0),6)),-TRUNC(GD19/VLOOKUP("PCS-OzTL747",[2]ARBOR!$A:$C,3,0)-1,4)+0.0001,-TRUNC(GD19/VLOOKUP("PCS-OzTL747",[2]ARBOR!$A:$C,3,0)-1,4)))))</f>
        <v/>
      </c>
      <c r="GF19" s="178" t="str">
        <f>IF(ISERROR(IF(GE19="","",VLOOKUP(($AY19&amp;GE19&amp;"Template desconto FLAT Plano Principal Oi TV nível conta"),[2]BENEFICIOS!$A:$G,5,0))),"Criar",IF(GE19="","",VLOOKUP(($AY19&amp;GE19&amp;"Template desconto FLAT Plano Principal Oi TV nível conta"),[2]BENEFICIOS!$A:$G,5,0)))</f>
        <v/>
      </c>
      <c r="GG19" s="103"/>
      <c r="GH19" s="101" t="str">
        <f>IF(GG19=0,"",IF(GG19=VLOOKUP("PCS-OzTL746",[2]ARBOR!$A:$C,3,0),0.0001,IF(GG19&gt;VLOOKUP("PCS-OzTL746",[2]ARBOR!$A:$C,3,0),"Maior que CAP!",IF((DOLLAR(GG19+(VLOOKUP("PCS-OzTL746",[2]ARBOR!$A:$C,3,0)*-TRUNC(GG19/VLOOKUP("PCS-OzTL746",[2]ARBOR!$A:$C,3,0)-1,4)),6))&lt;&gt;(DOLLAR(VLOOKUP("PCS-OzTL746",[2]ARBOR!$A:$C,3,0),6)),-TRUNC(GG19/VLOOKUP("PCS-OzTL746",[2]ARBOR!$A:$C,3,0)-1,4)+0.0001,-TRUNC(GG19/VLOOKUP("PCS-OzTL746",[2]ARBOR!$A:$C,3,0)-1,4)))))</f>
        <v/>
      </c>
      <c r="GI19" s="178" t="str">
        <f>IF(ISERROR(IF(GH19="","",VLOOKUP(($AY19&amp;GH19&amp;"Template desconto FLAT Plano Principal Oi TV nível conta"),[2]BENEFICIOS!$A:$G,5,0))),"Criar",IF(GH19="","",VLOOKUP(($AY19&amp;GH19&amp;"Template desconto FLAT Plano Principal Oi TV nível conta"),[2]BENEFICIOS!$A:$G,5,0)))</f>
        <v/>
      </c>
      <c r="GJ19" s="103">
        <v>189.9</v>
      </c>
      <c r="GK19" s="101">
        <f>IF(GJ19=0,"",IF(GJ19=VLOOKUP("PCS-OzTL748",[2]ARBOR!$A:$C,3,0),0.0001,IF(GJ19&gt;VLOOKUP("PCS-OzTL748",[2]ARBOR!$A:$C,3,0),"Maior que CAP!",IF((DOLLAR(GJ19+(VLOOKUP("PCS-OzTL748",[2]ARBOR!$A:$C,3,0)*-TRUNC(GJ19/VLOOKUP("PCS-OzTL748",[2]ARBOR!$A:$C,3,0)-1,4)),6))&lt;&gt;(DOLLAR(VLOOKUP("PCS-OzTL748",[2]ARBOR!$A:$C,3,0),6)),-TRUNC(GJ19/VLOOKUP("PCS-OzTL748",[2]ARBOR!$A:$C,3,0)-1,4)+0.0001,-TRUNC(GJ19/VLOOKUP("PCS-OzTL748",[2]ARBOR!$A:$C,3,0)-1,4)))))</f>
        <v>0.38400000000000001</v>
      </c>
      <c r="GL19" s="178" t="str">
        <f>IF(ISERROR(IF(GK19="","",VLOOKUP(($AY19&amp;GK19&amp;"Template desconto FLAT Plano Principal Oi TV nível conta"),[2]BENEFICIOS!$A:$G,5,0))),"Criar",IF(GK19="","",VLOOKUP(($AY19&amp;GK19&amp;"Template desconto FLAT Plano Principal Oi TV nível conta"),[2]BENEFICIOS!$A:$G,5,0)))</f>
        <v>MKT-1-9827464097</v>
      </c>
      <c r="GM19" s="103">
        <v>75</v>
      </c>
      <c r="GN19" s="101">
        <f>IF(GM19=0,"",IF(GM19=VLOOKUP("PCS-OzTL34",[2]ARBOR!$A:$C,3,0),0.0001,IF(GM19&gt;VLOOKUP("PCS-OzTL34",[2]ARBOR!$A:$C,3,0),"Maior que CAP!",IF((DOLLAR(GM19+(VLOOKUP("PCS-OzTL34",[2]ARBOR!$A:$C,3,0)*-TRUNC(GM19/VLOOKUP("PCS-OzTL34",[2]ARBOR!$A:$C,3,0)-1,4)),6))&lt;&gt;(DOLLAR(VLOOKUP("PCS-OzTL34",[2]ARBOR!$A:$C,3,0),6)),-TRUNC(GM19/VLOOKUP("PCS-OzTL34",[2]ARBOR!$A:$C,3,0)-1,4)+0.0001,-TRUNC(GM19/VLOOKUP("PCS-OzTL34",[2]ARBOR!$A:$C,3,0)-1,4)))))</f>
        <v>0.31900000000000001</v>
      </c>
      <c r="GO19" s="178" t="s">
        <v>178</v>
      </c>
      <c r="GP19" s="103">
        <v>19.899999999999999</v>
      </c>
      <c r="GQ19" s="101">
        <f>IF(GP19=0,"",IF(GP19=VLOOKUP("PCS-OzTL31",[2]ARBOR!$A:$C,3,0),0.0001,IF(GP19&gt;VLOOKUP("PCS-OzTL31",[2]ARBOR!$A:$C,3,0),"Maior que CAP!",IF((DOLLAR(GP19+(VLOOKUP("PCS-OzTL31",[2]ARBOR!$A:$C,3,0)*-TRUNC(GP19/VLOOKUP("PCS-OzTL31",[2]ARBOR!$A:$C,3,0)-1,4)),6))&lt;&gt;(DOLLAR(VLOOKUP("PCS-OzTL31",[2]ARBOR!$A:$C,3,0),6)),-TRUNC(GP19/VLOOKUP("PCS-OzTL31",[2]ARBOR!$A:$C,3,0)-1,4)+0.0001,-TRUNC(GP19/VLOOKUP("PCS-OzTL31",[2]ARBOR!$A:$C,3,0)-1,4)))))</f>
        <v>9.1800000000000007E-2</v>
      </c>
      <c r="GR19" s="178" t="s">
        <v>179</v>
      </c>
      <c r="GS19" s="103">
        <v>19.899999999999999</v>
      </c>
      <c r="GT19" s="101">
        <f>IF(GS19=0,"",IF(GS19=VLOOKUP("PCS-OzTL32",[2]ARBOR!$A:$C,3,0),0.0001,IF(GS19&gt;VLOOKUP("PCS-OzTL32",[2]ARBOR!$A:$C,3,0),"Maior que CAP!",IF((DOLLAR(GS19+(VLOOKUP("PCS-OzTL32",[2]ARBOR!$A:$C,3,0)*-TRUNC(GS19/VLOOKUP("PCS-OzTL32",[2]ARBOR!$A:$C,3,0)-1,4)),6))&lt;&gt;(DOLLAR(VLOOKUP("PCS-OzTL32",[2]ARBOR!$A:$C,3,0),6)),-TRUNC(GS19/VLOOKUP("PCS-OzTL32",[2]ARBOR!$A:$C,3,0)-1,4)+0.0001,-TRUNC(GS19/VLOOKUP("PCS-OzTL32",[2]ARBOR!$A:$C,3,0)-1,4)))))</f>
        <v>9.1800000000000007E-2</v>
      </c>
      <c r="GU19" s="178" t="s">
        <v>180</v>
      </c>
      <c r="GV19" s="103">
        <v>29.9</v>
      </c>
      <c r="GW19" s="101">
        <f>IF(GV19=0,"",IF(GV19=VLOOKUP("PCS-OzTL33",[2]ARBOR!$A:$C,3,0),0.0001,IF(GV19&gt;VLOOKUP("PCS-OzTL33",[2]ARBOR!$A:$C,3,0),"Maior que CAP!",IF((DOLLAR(GV19+(VLOOKUP("PCS-OzTL33",[2]ARBOR!$A:$C,3,0)*-TRUNC(GV19/VLOOKUP("PCS-OzTL33",[2]ARBOR!$A:$C,3,0)-1,4)),6))&lt;&gt;(DOLLAR(VLOOKUP("PCS-OzTL33",[2]ARBOR!$A:$C,3,0),6)),-TRUNC(GV19/VLOOKUP("PCS-OzTL33",[2]ARBOR!$A:$C,3,0)-1,4)+0.0001,-TRUNC(GV19/VLOOKUP("PCS-OzTL33",[2]ARBOR!$A:$C,3,0)-1,4)))))</f>
        <v>9.1800000000000007E-2</v>
      </c>
      <c r="GX19" s="178" t="s">
        <v>181</v>
      </c>
      <c r="GY19" s="103">
        <v>14.9</v>
      </c>
      <c r="GZ19" s="101">
        <f>IF(GY19=0,"",IF(GY19=VLOOKUP("PCS-OzTL503",[2]ARBOR!$A:$C,3,0),0.0001,IF(GY19&gt;VLOOKUP("PCS-OzTL503",[2]ARBOR!$A:$C,3,0),"Maior que CAP!",IF((DOLLAR(GY19+(VLOOKUP("PCS-OzTL503",[2]ARBOR!$A:$C,3,0)*-TRUNC(GY19/VLOOKUP("PCS-OzTL503",[2]ARBOR!$A:$C,3,0)-1,4)),6))&lt;&gt;(DOLLAR(VLOOKUP("PCS-OzTL503",[2]ARBOR!$A:$C,3,0),6)),-TRUNC(GY19/VLOOKUP("PCS-OzTL503",[2]ARBOR!$A:$C,3,0)-1,4)+0.0001,-TRUNC(GY19/VLOOKUP("PCS-OzTL503",[2]ARBOR!$A:$C,3,0)-1,4)))))</f>
        <v>9.1499999999999998E-2</v>
      </c>
      <c r="HA19" s="178" t="s">
        <v>182</v>
      </c>
      <c r="HB19" s="103">
        <v>10</v>
      </c>
      <c r="HC19" s="101">
        <f>IF(HB19=0,"",IF(HB19=VLOOKUP("PCS-OzTL500",[2]ARBOR!$A:$C,3,0),0.0001,IF(HB19&gt;VLOOKUP("PCS-OzTL500",[2]ARBOR!$A:$C,3,0),"Maior que CAP!",IF((DOLLAR(HB19+(VLOOKUP("PCS-OzTL500",[2]ARBOR!$A:$C,3,0)*-TRUNC(HB19/VLOOKUP("PCS-OzTL500",[2]ARBOR!$A:$C,3,0)-1,4)),6))&lt;&gt;(DOLLAR(VLOOKUP("PCS-OzTL500",[2]ARBOR!$A:$C,3,0),6)),-TRUNC(HB19/VLOOKUP("PCS-OzTL500",[2]ARBOR!$A:$C,3,0)-1,4)+0.0001,-TRUNC(HB19/VLOOKUP("PCS-OzTL500",[2]ARBOR!$A:$C,3,0)-1,4)))))</f>
        <v>9.1800000000000007E-2</v>
      </c>
      <c r="HD19" s="178" t="s">
        <v>183</v>
      </c>
      <c r="HE19" s="103" t="s">
        <v>184</v>
      </c>
      <c r="HF19" s="101"/>
      <c r="HG19" s="178"/>
      <c r="HH19" s="103" t="s">
        <v>185</v>
      </c>
      <c r="HI19" s="101"/>
      <c r="HJ19" s="178"/>
      <c r="HK19" s="103" t="s">
        <v>186</v>
      </c>
      <c r="HL19" s="101"/>
      <c r="HM19" s="178"/>
      <c r="HN19" s="103" t="s">
        <v>187</v>
      </c>
      <c r="HO19" s="101"/>
      <c r="HP19" s="178"/>
      <c r="HQ19" s="103" t="s">
        <v>188</v>
      </c>
      <c r="HR19" s="101"/>
      <c r="HS19" s="178"/>
      <c r="HT19" s="103">
        <v>24.9</v>
      </c>
      <c r="HU19" s="101">
        <f>IF(HT19=0,"",IF(HT19=VLOOKUP("PCS-OzTL99",[2]ARBOR!$A:$C,3,0),0.0001,IF(HT19&gt;VLOOKUP("PCS-OzTL99",[2]ARBOR!$A:$C,3,0),"Maior que CAP!",IF((DOLLAR(HT19+(VLOOKUP("PCS-OzTL99",[2]ARBOR!$A:$C,3,0)*-TRUNC(HT19/VLOOKUP("PCS-OzTL99",[2]ARBOR!$A:$C,3,0)-1,4)),6))&lt;&gt;(DOLLAR(VLOOKUP("PCS-OzTL99",[2]ARBOR!$A:$C,3,0),6)),-TRUNC(HT19/VLOOKUP("PCS-OzTL99",[2]ARBOR!$A:$C,3,0)-1,4)+0.0001,-TRUNC(HT19/VLOOKUP("PCS-OzTL99",[2]ARBOR!$A:$C,3,0)-1,4)))))</f>
        <v>0.16729999999999998</v>
      </c>
      <c r="HV19" s="179" t="s">
        <v>189</v>
      </c>
      <c r="HW19" s="170" t="s">
        <v>167</v>
      </c>
      <c r="HX19" s="178" t="str">
        <f t="shared" si="4"/>
        <v>PCS-34704</v>
      </c>
      <c r="HY19" s="180" t="str">
        <f>IFERROR((IF(AZ19="","",VLOOKUP(AZ19,[2]ARBOR!A:C,3,0))),"")</f>
        <v/>
      </c>
      <c r="HZ19" s="181"/>
      <c r="IA19" s="158" t="str">
        <f>IF(HZ19="","",ROUND(1-(HZ19/VLOOKUP(AZ19&amp;"ASS",[2]ARBOR!A:C,3,0)),4))</f>
        <v/>
      </c>
      <c r="IB19" s="158"/>
      <c r="IC19" s="182"/>
      <c r="ID19" s="183"/>
      <c r="IE19" s="101" t="str">
        <f>IF(ID19="","",ROUND(IF(ID19=0,"",IF(ID19=HY19,0.0001,1-((ID19+(VLOOKUP(AZ19&amp;"ASS",[2]ARBOR!A:C,3,0)-HZ19))/HY19))),4))</f>
        <v/>
      </c>
      <c r="IF19" s="101" t="str">
        <f>IF(ISERROR(IF(IE19="","",VLOOKUP(($AY19&amp;IE19&amp;"Template de desconto percentual FLAT Móvel - Conta Total - Varejo - Ganho Tributário Cross"),[2]BENEFICIOS!$A:$E,5,0))),"Criar",IF(IE19="","",VLOOKUP(($AY19&amp;IE19&amp;"Template de desconto percentual FLAT Móvel - Conta Total - Varejo - Ganho Tributário Cross"),[2]BENEFICIOS!$A:$E,5,0)))</f>
        <v/>
      </c>
      <c r="IG19" s="167"/>
      <c r="IH19" s="101"/>
      <c r="II19" s="184"/>
      <c r="IJ19" s="185"/>
      <c r="IK19" s="101"/>
      <c r="IL19" s="101"/>
      <c r="IM19" s="186"/>
      <c r="IN19" s="186"/>
      <c r="IO19" s="187"/>
      <c r="IP19" s="188" t="str">
        <f>IF(IO19=0,"",IF(IO19=VLOOKUP("PCS-813566",[2]ARBOR!$A:$C,3,0),0.0001,IF(IO19&gt;VLOOKUP("PCS-813566",[2]ARBOR!$A:$C,3,0),"Maior que CAP!",ROUND(-1*(IO19/VLOOKUP("PCS-813566",[2]ARBOR!$A:$C,3,0)-1),4))))</f>
        <v/>
      </c>
      <c r="IQ19" s="189" t="str">
        <f>IF(ISERROR(IF(IP19="","",VLOOKUP(("Oi Internet Pra Celular 300MB"&amp;IP19&amp;"Template Flat Instância Dados"),[2]BENEFICIOS!$A:$E,5,0))),"Criar",IF(IP19="","",VLOOKUP(("Oi Internet Pra Celular 300MB"&amp;IP19&amp;"Template Flat Instância Dados"),[2]BENEFICIOS!$A:$E,5,0)))</f>
        <v/>
      </c>
      <c r="IR19" s="190"/>
      <c r="IS19" s="191" t="str">
        <f>IF(IR19=0,"",IF(IR19=VLOOKUP("sva_bancas",[2]ARBOR!$A:$C,3,0),0.0001,IF(IR19&gt;VLOOKUP("sva_livros",[2]ARBOR!$A:$C,3,0),"Maior que CAP!",ROUND(-1*(IR19/VLOOKUP("sva_bancas",[2]ARBOR!$A:$C,3,0)-1),4))))</f>
        <v/>
      </c>
      <c r="IT19" s="192" t="str">
        <f>IF(ISERROR(IF(IS19="","",VLOOKUP(("Oi Internet Pra Celular 300MB"&amp;IS19&amp;"Template Desconto % SVA DADOS B2C"),[2]BENEFICIOS!$A:$E,5,0))),"Criar",IF(IS19="","",VLOOKUP(("Oi Internet Pra Celular 300MB"&amp;IS19&amp;"Template Desconto % SVA DADOS B2C"),[2]BENEFICIOS!$A:$E,5,0)))</f>
        <v/>
      </c>
      <c r="IU19" s="187"/>
      <c r="IV19" s="188" t="str">
        <f>IF(IU19=0,"",IF(IU19=VLOOKUP("PCS-813564",[2]ARBOR!$A:$C,3,0),0.0001,IF(IU19&gt;VLOOKUP("PCS-813564",[2]ARBOR!$A:$C,3,0),"Maior que CAP!",ROUND(-1*(IU19/VLOOKUP("PCS-813564",[2]ARBOR!$A:$C,3,0)-1),4))))</f>
        <v/>
      </c>
      <c r="IW19" s="189" t="str">
        <f>IF(ISERROR(IF(IV19="","",VLOOKUP(("Oi Internet Pra Celular 500MB"&amp;IV19&amp;"Template Flat Instância Dados"),[2]BENEFICIOS!$A:$E,5,0))),"Criar",IF(IV19="","",VLOOKUP(("Oi Internet Pra Celular 500MB"&amp;IV19&amp;"Template Flat Instância Dados"),[2]BENEFICIOS!$A:$E,5,0)))</f>
        <v/>
      </c>
      <c r="IX19" s="190"/>
      <c r="IY19" s="191" t="str">
        <f>IF(IX19=0,"",IF(IX19=VLOOKUP("sva_livros",[2]ARBOR!$A:$C,3,0),0.0001,IF(IX19&gt;VLOOKUP("sva_livros",[2]ARBOR!$A:$C,3,0),"Maior que CAP!",ROUND(-1*(IX19/VLOOKUP("sva_livros",[2]ARBOR!$A:$C,3,0)-1),4))))</f>
        <v/>
      </c>
      <c r="IZ19" s="192" t="str">
        <f>IF(ISERROR(IF(IY19="","",VLOOKUP(("Oi Internet Pra Celular 500MB"&amp;IY19&amp;"Template Desconto % SVA DADOS B2C"),[2]BENEFICIOS!$A:$E,5,0))),"Criar",IF(IY19="","",VLOOKUP(("Oi Internet Pra Celular 500MB"&amp;IY19&amp;"Template Desconto % SVA DADOS B2C"),[2]BENEFICIOS!$A:$E,5,0)))</f>
        <v/>
      </c>
      <c r="JA19" s="187"/>
      <c r="JB19" s="188" t="str">
        <f>IF(JA19=0,"",IF(JA19=VLOOKUP("PCS-10357",[2]ARBOR!$A:$C,3,0),0.0001,IF(JA19&gt;VLOOKUP("PCS-10357",[2]ARBOR!$A:$C,3,0),"Maior que CAP!",ROUND(-1*(JA19/VLOOKUP("PCS-10357",[2]ARBOR!$A:$C,3,0)-1),4))))</f>
        <v/>
      </c>
      <c r="JC19" s="189" t="str">
        <f>IF(ISERROR(IF(JB19="","",VLOOKUP(("Oi Internet Pra Celular 1GB"&amp;JB19&amp;"Template Flat Instância Dados"),[2]BENEFICIOS!$A:$E,5,0))),"Criar",IF(JB19="","",VLOOKUP(("Oi Internet Pra Celular 1GB"&amp;JB19&amp;"Template Flat Instância Dados"),[2]BENEFICIOS!$A:$E,5,0)))</f>
        <v/>
      </c>
      <c r="JD19" s="190"/>
      <c r="JE19" s="191" t="str">
        <f>IF(JD19=0,"",IF(JD19=VLOOKUP("sva_livros",[2]ARBOR!$A:$C,3,0),0.0001,IF(JD19&gt;VLOOKUP("sva_livros",[2]ARBOR!$A:$C,3,0),"Maior que CAP!",ROUND(-1*(JD19/VLOOKUP("sva_livros",[2]ARBOR!$A:$C,3,0)-1),4))))</f>
        <v/>
      </c>
      <c r="JF19" s="192" t="str">
        <f>IF(ISERROR(IF(JE19="","",VLOOKUP(("Oi Internet Pra Celular 1GB"&amp;JE19&amp;"Template Desconto % SVA DADOS B2C"),[2]BENEFICIOS!$A:$E,5,0))),"Criar",IF(JE19="","",VLOOKUP(("Oi Internet Pra Celular 1GB"&amp;JE19&amp;"Template Desconto % SVA DADOS B2C"),[2]BENEFICIOS!$A:$E,5,0)))</f>
        <v/>
      </c>
      <c r="JG19" s="187"/>
      <c r="JH19" s="188" t="str">
        <f>IF(JG19=0,"",IF(JG19=VLOOKUP("PCS-813565",[2]ARBOR!$A:$C,3,0),0.0001,IF(JG19&gt;VLOOKUP("PCS-813565",[2]ARBOR!$A:$C,3,0),"Maior que CAP!",ROUND(-1*(JG19/VLOOKUP("PCS-813565",[2]ARBOR!$A:$C,3,0)-1),4))))</f>
        <v/>
      </c>
      <c r="JI19" s="189" t="str">
        <f>IF(ISERROR(IF(JH19="","",VLOOKUP(("Oi Internet Pra Celular 2GB"&amp;JH19&amp;"Template Flat Instância Dados"),[2]BENEFICIOS!$A:$E,5,0))),"Criar",IF(JH19="","",VLOOKUP(("Oi Internet Pra Celular 2GB"&amp;JH19&amp;"Template Flat Instância Dados"),[2]BENEFICIOS!$A:$E,5,0)))</f>
        <v/>
      </c>
      <c r="JJ19" s="190"/>
      <c r="JK19" s="191" t="str">
        <f>IF(JJ19=0,"",IF(JJ19=VLOOKUP("sva_livros",[2]ARBOR!$A:$C,3,0),0.0001,IF(JJ19&gt;VLOOKUP("sva_livros",[2]ARBOR!$A:$C,3,0),"Maior que CAP!",ROUND(-1*(JJ19/VLOOKUP("sva_livros",[2]ARBOR!$A:$C,3,0)-1),4))))</f>
        <v/>
      </c>
      <c r="JL19" s="192" t="str">
        <f>IF(ISERROR(IF(JK19="","",VLOOKUP(("Oi Internet Pra Celular 2GB"&amp;JK19&amp;"Template Desconto % SVA DADOS B2C"),[2]BENEFICIOS!$A:$E,5,0))),"Criar",IF(JK19="","",VLOOKUP(("Oi Internet Pra Celular 2GB"&amp;JK19&amp;"Template Desconto % SVA DADOS B2C"),[2]BENEFICIOS!$A:$E,5,0)))</f>
        <v/>
      </c>
      <c r="JM19" s="187"/>
      <c r="JN19" s="188" t="str">
        <f>IF(JM19=0,"",IF(JM19=VLOOKUP("PCS-7171B",[2]ARBOR!$A:$C,3,0),0.0001,IF(JM19&gt;VLOOKUP("PCS-7171B",[2]ARBOR!$A:$C,3,0),"Maior que CAP!",ROUND(-1*(JM19/VLOOKUP("PCS-7171B",[2]ARBOR!$A:$C,3,0)-1),4))))</f>
        <v/>
      </c>
      <c r="JO19" s="189" t="str">
        <f>IF(ISERROR(IF(JN19="","",VLOOKUP(("Oi Internet Pra Celular 3GB"&amp;JN19&amp;"Template Flat Instância Dados"),[2]BENEFICIOS!$A:$E,5,0))),"Criar",IF(JN19="","",VLOOKUP(("Oi Internet Pra Celular 3GB"&amp;JN19&amp;"Template Flat Instância Dados"),[2]BENEFICIOS!$A:$E,5,0)))</f>
        <v/>
      </c>
      <c r="JP19" s="190"/>
      <c r="JQ19" s="191" t="str">
        <f>IF(JP19=0,"",IF(JP19=VLOOKUP("sva_livros",[2]ARBOR!$A:$C,3,0),0.0001,IF(JP19&gt;VLOOKUP("sva_livros",[2]ARBOR!$A:$C,3,0),"Maior que CAP!",ROUND(-1*(JP19/VLOOKUP("sva_livros",[2]ARBOR!$A:$C,3,0)-1),4))))</f>
        <v/>
      </c>
      <c r="JR19" s="192" t="str">
        <f>IF(ISERROR(IF(JQ19="","",VLOOKUP(("Oi Internet Pra Celular 3GB"&amp;JQ19&amp;"Template Desconto % SVA DADOS B2C"),[2]BENEFICIOS!$A:$E,5,0))),"Criar",IF(JQ19="","",VLOOKUP(("Oi Internet Pra Celular 3GB"&amp;JQ19&amp;"Template Desconto % SVA DADOS B2C"),[2]BENEFICIOS!$A:$E,5,0)))</f>
        <v/>
      </c>
      <c r="JS19" s="187"/>
      <c r="JT19" s="188" t="str">
        <f>IF(JS19=0,"",IF(JS19=VLOOKUP("PCS-51793o08",[2]ARBOR!$A:$C,3,0),0.0001,IF(JS19&gt;VLOOKUP("PCS-51793o08",[2]ARBOR!$A:$C,3,0),"Maior que CAP!",ROUND(-1*(JS19/VLOOKUP("PCS-51793o08",[2]ARBOR!$A:$C,3,0)-1),4))))</f>
        <v/>
      </c>
      <c r="JU19" s="189" t="str">
        <f>IF(ISERROR(IF(JT19="","",VLOOKUP(("Oi Internet Pra Celular 5GB"&amp;JT19&amp;"Template Flat Instância Dados"),[2]BENEFICIOS!$A:$E,5,0))),"Criar",IF(JT19="","",VLOOKUP(("Oi Internet Pra Celular 5GB"&amp;JT19&amp;"Template Flat Instância Dados"),[2]BENEFICIOS!$A:$E,5,0)))</f>
        <v/>
      </c>
      <c r="JV19" s="190"/>
      <c r="JW19" s="191" t="str">
        <f>IF(JV19=0,"",IF(JV19=VLOOKUP("sva_curtas",[2]ARBOR!$A:$C,3,0),0.0001,IF(JV19&gt;VLOOKUP("sva_curtas",[2]ARBOR!$A:$C,3,0),"Maior que CAP!",ROUND(-1*(JV19/VLOOKUP("sva_curtas",[2]ARBOR!$A:$C,3,0)-1),4))))</f>
        <v/>
      </c>
      <c r="JX19" s="192" t="str">
        <f>IF(ISERROR(IF(JW19="","",VLOOKUP(("Oi Internet Pra Celular 5GB"&amp;JW19&amp;"Template Desconto % SVA DADOS B2C"),[2]BENEFICIOS!$A:$E,5,0))),"Criar",IF(JW19="","",VLOOKUP(("Oi Internet Pra Celular 5GB"&amp;JW19&amp;"Template Desconto % SVA DADOS B2C"),[2]BENEFICIOS!$A:$E,5,0)))</f>
        <v/>
      </c>
      <c r="JY19" s="187"/>
      <c r="JZ19" s="188" t="str">
        <f>IF(JY19=0,"",IF(JY19=VLOOKUP("PCS-7171A",[2]ARBOR!$A:$C,3,0),0.0001,IF(JY19&gt;VLOOKUP("PCS-7171A",[2]ARBOR!$A:$C,3,0),"Maior que CAP!",ROUND(-1*(JY19/VLOOKUP("PCS-7171A",[2]ARBOR!$A:$C,3,0)-1),4))))</f>
        <v/>
      </c>
      <c r="KA19" s="193" t="str">
        <f>IF(ISERROR(IF(JZ19="","",VLOOKUP(("Oi Internet Pra Celular 10GB"&amp;JZ19&amp;"Template Flat Instância Dados"),[2]BENEFICIOS!$A:$E,5,0))),"Criar",IF(JZ19="","",VLOOKUP(("Oi Internet Pra Celular 10GB"&amp;JZ19&amp;"Template Flat Instância Dados"),[2]BENEFICIOS!$A:$E,5,0)))</f>
        <v/>
      </c>
      <c r="KB19" s="190"/>
      <c r="KC19" s="191" t="str">
        <f>IF(KB19=0,"",IF(KB19=VLOOKUP("sva_curtas",[2]ARBOR!$A:$C,3,0),0.0001,IF(KB19&gt;VLOOKUP("sva_curtas",[2]ARBOR!$A:$C,3,0),"Maior que CAP!",ROUND(-1*(KB19/VLOOKUP("sva_curtas",[2]ARBOR!$A:$C,3,0)-1),4))))</f>
        <v/>
      </c>
      <c r="KD19" s="192" t="str">
        <f>IF(ISERROR(IF(KC19="","",VLOOKUP(("Oi Internet Pra Celular 10GB"&amp;KC19&amp;"Template Desconto % SVA DADOS B2C"),[2]BENEFICIOS!$A:$E,5,0))),"Criar",IF(KC19="","",VLOOKUP(("Oi Internet Pra Celular 10GB"&amp;KC19&amp;"Template Desconto % SVA DADOS B2C"),[2]BENEFICIOS!$A:$E,5,0)))</f>
        <v/>
      </c>
      <c r="KE19" s="194"/>
      <c r="KF19" s="195"/>
      <c r="KG19" s="196" t="s">
        <v>167</v>
      </c>
      <c r="KH19" s="197" t="s">
        <v>190</v>
      </c>
      <c r="KI19" s="198">
        <v>899</v>
      </c>
      <c r="KJ19" s="197">
        <v>12</v>
      </c>
      <c r="KK19" s="199" t="str">
        <f t="shared" si="5"/>
        <v>Oi benefício fidelização Multiprodutos</v>
      </c>
      <c r="KL19" s="200" t="str">
        <f t="shared" si="6"/>
        <v>PCS-Fk83324</v>
      </c>
      <c r="KM19" s="200" t="str">
        <f t="shared" si="7"/>
        <v>PCS-SBL553142</v>
      </c>
      <c r="KN19" s="201" t="s">
        <v>191</v>
      </c>
      <c r="KO19" s="202" t="s">
        <v>192</v>
      </c>
      <c r="KP19" s="202" t="s">
        <v>193</v>
      </c>
      <c r="KQ19" s="201" t="s">
        <v>194</v>
      </c>
      <c r="KR19" s="199" t="s">
        <v>195</v>
      </c>
      <c r="KS19" s="200" t="s">
        <v>196</v>
      </c>
      <c r="KT19" s="203" t="s">
        <v>197</v>
      </c>
      <c r="KU19" s="129" t="s">
        <v>198</v>
      </c>
      <c r="KV19" s="129" t="s">
        <v>198</v>
      </c>
      <c r="KW19" s="129" t="s">
        <v>198</v>
      </c>
      <c r="KX19" s="129" t="s">
        <v>198</v>
      </c>
      <c r="KY19" s="129" t="s">
        <v>198</v>
      </c>
      <c r="KZ19" s="129" t="s">
        <v>198</v>
      </c>
      <c r="LA19" s="129" t="s">
        <v>198</v>
      </c>
      <c r="LB19" s="129" t="s">
        <v>198</v>
      </c>
      <c r="LC19" s="129" t="s">
        <v>198</v>
      </c>
      <c r="LD19" s="129" t="s">
        <v>198</v>
      </c>
      <c r="LE19" s="129" t="s">
        <v>198</v>
      </c>
      <c r="LF19" s="129" t="s">
        <v>198</v>
      </c>
      <c r="LG19" s="129" t="s">
        <v>198</v>
      </c>
      <c r="LH19" s="129" t="s">
        <v>198</v>
      </c>
      <c r="LI19" s="129" t="s">
        <v>198</v>
      </c>
      <c r="LJ19" s="129" t="s">
        <v>198</v>
      </c>
      <c r="LK19" s="204">
        <v>289.90999999999997</v>
      </c>
      <c r="LL19" s="212"/>
      <c r="LM19" s="213"/>
      <c r="LN19" s="213"/>
      <c r="LO19" s="213"/>
      <c r="LP19" s="213"/>
      <c r="LQ19" s="213"/>
      <c r="LR19" s="213"/>
      <c r="LS19" s="213"/>
      <c r="LT19" s="213"/>
      <c r="LU19" s="214"/>
      <c r="LV19" t="s">
        <v>226</v>
      </c>
      <c r="LW19" t="s">
        <v>200</v>
      </c>
    </row>
  </sheetData>
  <mergeCells count="75">
    <mergeCell ref="AU1:AW1"/>
    <mergeCell ref="E1:R1"/>
    <mergeCell ref="S1:AH1"/>
    <mergeCell ref="AI1:AK1"/>
    <mergeCell ref="AL1:AM1"/>
    <mergeCell ref="AN1:AT1"/>
    <mergeCell ref="CX1:DE1"/>
    <mergeCell ref="AX1:AZ1"/>
    <mergeCell ref="BA1:BD1"/>
    <mergeCell ref="BE1:BQ1"/>
    <mergeCell ref="BR1:BU1"/>
    <mergeCell ref="BV1:BY1"/>
    <mergeCell ref="BZ1:CC1"/>
    <mergeCell ref="CD1:CG1"/>
    <mergeCell ref="CH1:CK1"/>
    <mergeCell ref="CL1:CO1"/>
    <mergeCell ref="CP1:CS1"/>
    <mergeCell ref="CT1:CW1"/>
    <mergeCell ref="FF1:FH1"/>
    <mergeCell ref="DF1:DM1"/>
    <mergeCell ref="DN1:DU1"/>
    <mergeCell ref="DV1:EC1"/>
    <mergeCell ref="ED1:EF1"/>
    <mergeCell ref="EG1:EM1"/>
    <mergeCell ref="EN1:EP1"/>
    <mergeCell ref="EQ1:ES1"/>
    <mergeCell ref="ET1:EV1"/>
    <mergeCell ref="EW1:EY1"/>
    <mergeCell ref="EZ1:FB1"/>
    <mergeCell ref="FC1:FE1"/>
    <mergeCell ref="GP1:GR1"/>
    <mergeCell ref="FI1:FK1"/>
    <mergeCell ref="FL1:FN1"/>
    <mergeCell ref="FO1:FQ1"/>
    <mergeCell ref="FR1:FT1"/>
    <mergeCell ref="FU1:FW1"/>
    <mergeCell ref="FX1:FZ1"/>
    <mergeCell ref="GA1:GC1"/>
    <mergeCell ref="GD1:GF1"/>
    <mergeCell ref="GG1:GI1"/>
    <mergeCell ref="GJ1:GL1"/>
    <mergeCell ref="GM1:GO1"/>
    <mergeCell ref="IG1:IL1"/>
    <mergeCell ref="GS1:GU1"/>
    <mergeCell ref="GV1:GX1"/>
    <mergeCell ref="GY1:HA1"/>
    <mergeCell ref="HB1:HD1"/>
    <mergeCell ref="HE1:HG1"/>
    <mergeCell ref="HH1:HJ1"/>
    <mergeCell ref="HK1:HM1"/>
    <mergeCell ref="HN1:HP1"/>
    <mergeCell ref="HQ1:HS1"/>
    <mergeCell ref="HT1:HX1"/>
    <mergeCell ref="HY1:IF1"/>
    <mergeCell ref="JS1:JU1"/>
    <mergeCell ref="IM1:IN1"/>
    <mergeCell ref="IO1:IQ1"/>
    <mergeCell ref="IR1:IT1"/>
    <mergeCell ref="IU1:IW1"/>
    <mergeCell ref="IX1:IZ1"/>
    <mergeCell ref="JA1:JC1"/>
    <mergeCell ref="JD1:JF1"/>
    <mergeCell ref="JG1:JI1"/>
    <mergeCell ref="JJ1:JL1"/>
    <mergeCell ref="JM1:JO1"/>
    <mergeCell ref="JP1:JR1"/>
    <mergeCell ref="KQ1:KS1"/>
    <mergeCell ref="KU1:LK1"/>
    <mergeCell ref="LL1:LU1"/>
    <mergeCell ref="JV1:JX1"/>
    <mergeCell ref="JY1:KA1"/>
    <mergeCell ref="KB1:KD1"/>
    <mergeCell ref="KE1:KF1"/>
    <mergeCell ref="KG1:KM1"/>
    <mergeCell ref="KN1:KP1"/>
  </mergeCells>
  <conditionalFormatting sqref="AX2">
    <cfRule type="cellIs" dxfId="201" priority="202" operator="equal">
      <formula>"Falta(m) Dado(s)"</formula>
    </cfRule>
  </conditionalFormatting>
  <conditionalFormatting sqref="BC3:BD3">
    <cfRule type="expression" dxfId="200" priority="201">
      <formula>$CB3=""</formula>
    </cfRule>
  </conditionalFormatting>
  <conditionalFormatting sqref="BT3:BU3">
    <cfRule type="expression" dxfId="199" priority="200">
      <formula>$BX3=""</formula>
    </cfRule>
  </conditionalFormatting>
  <conditionalFormatting sqref="BV3">
    <cfRule type="cellIs" dxfId="198" priority="199" operator="equal">
      <formula>"Tratamento"</formula>
    </cfRule>
  </conditionalFormatting>
  <conditionalFormatting sqref="BZ3">
    <cfRule type="cellIs" dxfId="197" priority="198" operator="equal">
      <formula>"Tratamento"</formula>
    </cfRule>
  </conditionalFormatting>
  <conditionalFormatting sqref="CD3">
    <cfRule type="cellIs" dxfId="196" priority="197" operator="equal">
      <formula>"Tratamento"</formula>
    </cfRule>
  </conditionalFormatting>
  <conditionalFormatting sqref="CH3">
    <cfRule type="cellIs" dxfId="195" priority="196" operator="equal">
      <formula>"Tratamento"</formula>
    </cfRule>
  </conditionalFormatting>
  <conditionalFormatting sqref="CL3">
    <cfRule type="cellIs" dxfId="194" priority="195" operator="equal">
      <formula>"Tratamento"</formula>
    </cfRule>
  </conditionalFormatting>
  <conditionalFormatting sqref="CP3">
    <cfRule type="cellIs" dxfId="193" priority="194" operator="equal">
      <formula>"Tratamento"</formula>
    </cfRule>
  </conditionalFormatting>
  <conditionalFormatting sqref="CT3">
    <cfRule type="cellIs" dxfId="192" priority="193" operator="equal">
      <formula>"Tratamento"</formula>
    </cfRule>
  </conditionalFormatting>
  <conditionalFormatting sqref="CX3">
    <cfRule type="cellIs" dxfId="191" priority="192" operator="equal">
      <formula>"Tratamento"</formula>
    </cfRule>
  </conditionalFormatting>
  <conditionalFormatting sqref="DF3">
    <cfRule type="cellIs" dxfId="190" priority="191" operator="equal">
      <formula>"Tratamento"</formula>
    </cfRule>
  </conditionalFormatting>
  <conditionalFormatting sqref="DN3">
    <cfRule type="cellIs" dxfId="189" priority="190" operator="equal">
      <formula>"Tratamento"</formula>
    </cfRule>
  </conditionalFormatting>
  <conditionalFormatting sqref="DV3">
    <cfRule type="cellIs" dxfId="188" priority="189" operator="equal">
      <formula>"Tratamento"</formula>
    </cfRule>
  </conditionalFormatting>
  <conditionalFormatting sqref="BC4:BD4">
    <cfRule type="expression" dxfId="187" priority="188">
      <formula>$CB4=""</formula>
    </cfRule>
  </conditionalFormatting>
  <conditionalFormatting sqref="BT4:BU4">
    <cfRule type="expression" dxfId="186" priority="187">
      <formula>$BX4=""</formula>
    </cfRule>
  </conditionalFormatting>
  <conditionalFormatting sqref="BV4">
    <cfRule type="cellIs" dxfId="185" priority="186" operator="equal">
      <formula>"Tratamento"</formula>
    </cfRule>
  </conditionalFormatting>
  <conditionalFormatting sqref="BZ4">
    <cfRule type="cellIs" dxfId="184" priority="185" operator="equal">
      <formula>"Tratamento"</formula>
    </cfRule>
  </conditionalFormatting>
  <conditionalFormatting sqref="CD4">
    <cfRule type="cellIs" dxfId="183" priority="184" operator="equal">
      <formula>"Tratamento"</formula>
    </cfRule>
  </conditionalFormatting>
  <conditionalFormatting sqref="CH4">
    <cfRule type="cellIs" dxfId="182" priority="183" operator="equal">
      <formula>"Tratamento"</formula>
    </cfRule>
  </conditionalFormatting>
  <conditionalFormatting sqref="CL4">
    <cfRule type="cellIs" dxfId="181" priority="182" operator="equal">
      <formula>"Tratamento"</formula>
    </cfRule>
  </conditionalFormatting>
  <conditionalFormatting sqref="CP4">
    <cfRule type="cellIs" dxfId="180" priority="181" operator="equal">
      <formula>"Tratamento"</formula>
    </cfRule>
  </conditionalFormatting>
  <conditionalFormatting sqref="CT4">
    <cfRule type="cellIs" dxfId="179" priority="180" operator="equal">
      <formula>"Tratamento"</formula>
    </cfRule>
  </conditionalFormatting>
  <conditionalFormatting sqref="CX4">
    <cfRule type="cellIs" dxfId="178" priority="179" operator="equal">
      <formula>"Tratamento"</formula>
    </cfRule>
  </conditionalFormatting>
  <conditionalFormatting sqref="DF4">
    <cfRule type="cellIs" dxfId="177" priority="178" operator="equal">
      <formula>"Tratamento"</formula>
    </cfRule>
  </conditionalFormatting>
  <conditionalFormatting sqref="DN4">
    <cfRule type="cellIs" dxfId="176" priority="177" operator="equal">
      <formula>"Tratamento"</formula>
    </cfRule>
  </conditionalFormatting>
  <conditionalFormatting sqref="DV4">
    <cfRule type="cellIs" dxfId="175" priority="176" operator="equal">
      <formula>"Tratamento"</formula>
    </cfRule>
  </conditionalFormatting>
  <conditionalFormatting sqref="BC5:BD5">
    <cfRule type="expression" dxfId="174" priority="175">
      <formula>$CB5=""</formula>
    </cfRule>
  </conditionalFormatting>
  <conditionalFormatting sqref="BT5:BU5">
    <cfRule type="expression" dxfId="173" priority="174">
      <formula>$BX5=""</formula>
    </cfRule>
  </conditionalFormatting>
  <conditionalFormatting sqref="BV5">
    <cfRule type="cellIs" dxfId="172" priority="173" operator="equal">
      <formula>"Tratamento"</formula>
    </cfRule>
  </conditionalFormatting>
  <conditionalFormatting sqref="BZ5">
    <cfRule type="cellIs" dxfId="171" priority="172" operator="equal">
      <formula>"Tratamento"</formula>
    </cfRule>
  </conditionalFormatting>
  <conditionalFormatting sqref="CD5">
    <cfRule type="cellIs" dxfId="170" priority="171" operator="equal">
      <formula>"Tratamento"</formula>
    </cfRule>
  </conditionalFormatting>
  <conditionalFormatting sqref="CH5">
    <cfRule type="cellIs" dxfId="169" priority="170" operator="equal">
      <formula>"Tratamento"</formula>
    </cfRule>
  </conditionalFormatting>
  <conditionalFormatting sqref="CL5">
    <cfRule type="cellIs" dxfId="168" priority="169" operator="equal">
      <formula>"Tratamento"</formula>
    </cfRule>
  </conditionalFormatting>
  <conditionalFormatting sqref="CP5">
    <cfRule type="cellIs" dxfId="167" priority="168" operator="equal">
      <formula>"Tratamento"</formula>
    </cfRule>
  </conditionalFormatting>
  <conditionalFormatting sqref="CT5">
    <cfRule type="cellIs" dxfId="166" priority="167" operator="equal">
      <formula>"Tratamento"</formula>
    </cfRule>
  </conditionalFormatting>
  <conditionalFormatting sqref="CX5">
    <cfRule type="cellIs" dxfId="165" priority="166" operator="equal">
      <formula>"Tratamento"</formula>
    </cfRule>
  </conditionalFormatting>
  <conditionalFormatting sqref="DF5">
    <cfRule type="cellIs" dxfId="164" priority="165" operator="equal">
      <formula>"Tratamento"</formula>
    </cfRule>
  </conditionalFormatting>
  <conditionalFormatting sqref="DN5">
    <cfRule type="cellIs" dxfId="163" priority="164" operator="equal">
      <formula>"Tratamento"</formula>
    </cfRule>
  </conditionalFormatting>
  <conditionalFormatting sqref="DV5">
    <cfRule type="cellIs" dxfId="162" priority="163" operator="equal">
      <formula>"Tratamento"</formula>
    </cfRule>
  </conditionalFormatting>
  <conditionalFormatting sqref="BC6:BD6">
    <cfRule type="expression" dxfId="161" priority="162">
      <formula>$CB6=""</formula>
    </cfRule>
  </conditionalFormatting>
  <conditionalFormatting sqref="BT6:BU6">
    <cfRule type="expression" dxfId="160" priority="161">
      <formula>$BX6=""</formula>
    </cfRule>
  </conditionalFormatting>
  <conditionalFormatting sqref="BV6">
    <cfRule type="cellIs" dxfId="159" priority="160" operator="equal">
      <formula>"Tratamento"</formula>
    </cfRule>
  </conditionalFormatting>
  <conditionalFormatting sqref="BZ6">
    <cfRule type="cellIs" dxfId="158" priority="159" operator="equal">
      <formula>"Tratamento"</formula>
    </cfRule>
  </conditionalFormatting>
  <conditionalFormatting sqref="CD6">
    <cfRule type="cellIs" dxfId="157" priority="158" operator="equal">
      <formula>"Tratamento"</formula>
    </cfRule>
  </conditionalFormatting>
  <conditionalFormatting sqref="CH6">
    <cfRule type="cellIs" dxfId="156" priority="157" operator="equal">
      <formula>"Tratamento"</formula>
    </cfRule>
  </conditionalFormatting>
  <conditionalFormatting sqref="CL6">
    <cfRule type="cellIs" dxfId="155" priority="156" operator="equal">
      <formula>"Tratamento"</formula>
    </cfRule>
  </conditionalFormatting>
  <conditionalFormatting sqref="CP6">
    <cfRule type="cellIs" dxfId="154" priority="155" operator="equal">
      <formula>"Tratamento"</formula>
    </cfRule>
  </conditionalFormatting>
  <conditionalFormatting sqref="CT6">
    <cfRule type="cellIs" dxfId="153" priority="154" operator="equal">
      <formula>"Tratamento"</formula>
    </cfRule>
  </conditionalFormatting>
  <conditionalFormatting sqref="CX6">
    <cfRule type="cellIs" dxfId="152" priority="153" operator="equal">
      <formula>"Tratamento"</formula>
    </cfRule>
  </conditionalFormatting>
  <conditionalFormatting sqref="DF6">
    <cfRule type="cellIs" dxfId="151" priority="152" operator="equal">
      <formula>"Tratamento"</formula>
    </cfRule>
  </conditionalFormatting>
  <conditionalFormatting sqref="DN6">
    <cfRule type="cellIs" dxfId="150" priority="151" operator="equal">
      <formula>"Tratamento"</formula>
    </cfRule>
  </conditionalFormatting>
  <conditionalFormatting sqref="DV6">
    <cfRule type="cellIs" dxfId="149" priority="150" operator="equal">
      <formula>"Tratamento"</formula>
    </cfRule>
  </conditionalFormatting>
  <conditionalFormatting sqref="BC7:BD7">
    <cfRule type="expression" dxfId="148" priority="149">
      <formula>$CB7=""</formula>
    </cfRule>
  </conditionalFormatting>
  <conditionalFormatting sqref="BT7:BU7">
    <cfRule type="expression" dxfId="147" priority="148">
      <formula>$BX7=""</formula>
    </cfRule>
  </conditionalFormatting>
  <conditionalFormatting sqref="BV7">
    <cfRule type="cellIs" dxfId="146" priority="147" operator="equal">
      <formula>"Tratamento"</formula>
    </cfRule>
  </conditionalFormatting>
  <conditionalFormatting sqref="BZ7">
    <cfRule type="cellIs" dxfId="145" priority="146" operator="equal">
      <formula>"Tratamento"</formula>
    </cfRule>
  </conditionalFormatting>
  <conditionalFormatting sqref="CD7">
    <cfRule type="cellIs" dxfId="144" priority="145" operator="equal">
      <formula>"Tratamento"</formula>
    </cfRule>
  </conditionalFormatting>
  <conditionalFormatting sqref="CH7">
    <cfRule type="cellIs" dxfId="143" priority="144" operator="equal">
      <formula>"Tratamento"</formula>
    </cfRule>
  </conditionalFormatting>
  <conditionalFormatting sqref="CL7">
    <cfRule type="cellIs" dxfId="142" priority="143" operator="equal">
      <formula>"Tratamento"</formula>
    </cfRule>
  </conditionalFormatting>
  <conditionalFormatting sqref="CP7">
    <cfRule type="cellIs" dxfId="141" priority="142" operator="equal">
      <formula>"Tratamento"</formula>
    </cfRule>
  </conditionalFormatting>
  <conditionalFormatting sqref="CT7">
    <cfRule type="cellIs" dxfId="140" priority="141" operator="equal">
      <formula>"Tratamento"</formula>
    </cfRule>
  </conditionalFormatting>
  <conditionalFormatting sqref="CX7">
    <cfRule type="cellIs" dxfId="139" priority="140" operator="equal">
      <formula>"Tratamento"</formula>
    </cfRule>
  </conditionalFormatting>
  <conditionalFormatting sqref="DF7">
    <cfRule type="cellIs" dxfId="138" priority="139" operator="equal">
      <formula>"Tratamento"</formula>
    </cfRule>
  </conditionalFormatting>
  <conditionalFormatting sqref="DN7">
    <cfRule type="cellIs" dxfId="137" priority="138" operator="equal">
      <formula>"Tratamento"</formula>
    </cfRule>
  </conditionalFormatting>
  <conditionalFormatting sqref="DV7">
    <cfRule type="cellIs" dxfId="136" priority="137" operator="equal">
      <formula>"Tratamento"</formula>
    </cfRule>
  </conditionalFormatting>
  <conditionalFormatting sqref="BC8:BD8">
    <cfRule type="expression" dxfId="135" priority="136">
      <formula>$CB8=""</formula>
    </cfRule>
  </conditionalFormatting>
  <conditionalFormatting sqref="BT8:BU8">
    <cfRule type="expression" dxfId="134" priority="135">
      <formula>$BX8=""</formula>
    </cfRule>
  </conditionalFormatting>
  <conditionalFormatting sqref="BV8">
    <cfRule type="cellIs" dxfId="133" priority="134" operator="equal">
      <formula>"Tratamento"</formula>
    </cfRule>
  </conditionalFormatting>
  <conditionalFormatting sqref="BZ8">
    <cfRule type="cellIs" dxfId="132" priority="133" operator="equal">
      <formula>"Tratamento"</formula>
    </cfRule>
  </conditionalFormatting>
  <conditionalFormatting sqref="CD8">
    <cfRule type="cellIs" dxfId="131" priority="132" operator="equal">
      <formula>"Tratamento"</formula>
    </cfRule>
  </conditionalFormatting>
  <conditionalFormatting sqref="CH8">
    <cfRule type="cellIs" dxfId="130" priority="131" operator="equal">
      <formula>"Tratamento"</formula>
    </cfRule>
  </conditionalFormatting>
  <conditionalFormatting sqref="CL8">
    <cfRule type="cellIs" dxfId="129" priority="130" operator="equal">
      <formula>"Tratamento"</formula>
    </cfRule>
  </conditionalFormatting>
  <conditionalFormatting sqref="CP8">
    <cfRule type="cellIs" dxfId="128" priority="129" operator="equal">
      <formula>"Tratamento"</formula>
    </cfRule>
  </conditionalFormatting>
  <conditionalFormatting sqref="CT8">
    <cfRule type="cellIs" dxfId="127" priority="128" operator="equal">
      <formula>"Tratamento"</formula>
    </cfRule>
  </conditionalFormatting>
  <conditionalFormatting sqref="CX8">
    <cfRule type="cellIs" dxfId="126" priority="127" operator="equal">
      <formula>"Tratamento"</formula>
    </cfRule>
  </conditionalFormatting>
  <conditionalFormatting sqref="DF8">
    <cfRule type="cellIs" dxfId="125" priority="126" operator="equal">
      <formula>"Tratamento"</formula>
    </cfRule>
  </conditionalFormatting>
  <conditionalFormatting sqref="DN8">
    <cfRule type="cellIs" dxfId="124" priority="125" operator="equal">
      <formula>"Tratamento"</formula>
    </cfRule>
  </conditionalFormatting>
  <conditionalFormatting sqref="DV8">
    <cfRule type="cellIs" dxfId="123" priority="124" operator="equal">
      <formula>"Tratamento"</formula>
    </cfRule>
  </conditionalFormatting>
  <conditionalFormatting sqref="BC9:BD9">
    <cfRule type="expression" dxfId="122" priority="123">
      <formula>$CB9=""</formula>
    </cfRule>
  </conditionalFormatting>
  <conditionalFormatting sqref="BT9:BU9">
    <cfRule type="expression" dxfId="121" priority="122">
      <formula>$BX9=""</formula>
    </cfRule>
  </conditionalFormatting>
  <conditionalFormatting sqref="BV9">
    <cfRule type="cellIs" dxfId="120" priority="121" operator="equal">
      <formula>"Tratamento"</formula>
    </cfRule>
  </conditionalFormatting>
  <conditionalFormatting sqref="BZ9">
    <cfRule type="cellIs" dxfId="119" priority="120" operator="equal">
      <formula>"Tratamento"</formula>
    </cfRule>
  </conditionalFormatting>
  <conditionalFormatting sqref="CD9">
    <cfRule type="cellIs" dxfId="118" priority="119" operator="equal">
      <formula>"Tratamento"</formula>
    </cfRule>
  </conditionalFormatting>
  <conditionalFormatting sqref="CH9">
    <cfRule type="cellIs" dxfId="117" priority="118" operator="equal">
      <formula>"Tratamento"</formula>
    </cfRule>
  </conditionalFormatting>
  <conditionalFormatting sqref="CL9">
    <cfRule type="cellIs" dxfId="116" priority="117" operator="equal">
      <formula>"Tratamento"</formula>
    </cfRule>
  </conditionalFormatting>
  <conditionalFormatting sqref="CP9">
    <cfRule type="cellIs" dxfId="115" priority="116" operator="equal">
      <formula>"Tratamento"</formula>
    </cfRule>
  </conditionalFormatting>
  <conditionalFormatting sqref="CT9">
    <cfRule type="cellIs" dxfId="114" priority="115" operator="equal">
      <formula>"Tratamento"</formula>
    </cfRule>
  </conditionalFormatting>
  <conditionalFormatting sqref="CX9">
    <cfRule type="cellIs" dxfId="113" priority="114" operator="equal">
      <formula>"Tratamento"</formula>
    </cfRule>
  </conditionalFormatting>
  <conditionalFormatting sqref="DF9">
    <cfRule type="cellIs" dxfId="112" priority="113" operator="equal">
      <formula>"Tratamento"</formula>
    </cfRule>
  </conditionalFormatting>
  <conditionalFormatting sqref="DN9">
    <cfRule type="cellIs" dxfId="111" priority="112" operator="equal">
      <formula>"Tratamento"</formula>
    </cfRule>
  </conditionalFormatting>
  <conditionalFormatting sqref="DV9">
    <cfRule type="cellIs" dxfId="110" priority="111" operator="equal">
      <formula>"Tratamento"</formula>
    </cfRule>
  </conditionalFormatting>
  <conditionalFormatting sqref="BC10:BD10">
    <cfRule type="expression" dxfId="109" priority="110">
      <formula>$CB10=""</formula>
    </cfRule>
  </conditionalFormatting>
  <conditionalFormatting sqref="BT10:BU10">
    <cfRule type="expression" dxfId="108" priority="109">
      <formula>$BX10=""</formula>
    </cfRule>
  </conditionalFormatting>
  <conditionalFormatting sqref="BV10">
    <cfRule type="cellIs" dxfId="107" priority="108" operator="equal">
      <formula>"Tratamento"</formula>
    </cfRule>
  </conditionalFormatting>
  <conditionalFormatting sqref="BZ10">
    <cfRule type="cellIs" dxfId="106" priority="107" operator="equal">
      <formula>"Tratamento"</formula>
    </cfRule>
  </conditionalFormatting>
  <conditionalFormatting sqref="CD10">
    <cfRule type="cellIs" dxfId="105" priority="106" operator="equal">
      <formula>"Tratamento"</formula>
    </cfRule>
  </conditionalFormatting>
  <conditionalFormatting sqref="CH10">
    <cfRule type="cellIs" dxfId="104" priority="105" operator="equal">
      <formula>"Tratamento"</formula>
    </cfRule>
  </conditionalFormatting>
  <conditionalFormatting sqref="CL10">
    <cfRule type="cellIs" dxfId="103" priority="104" operator="equal">
      <formula>"Tratamento"</formula>
    </cfRule>
  </conditionalFormatting>
  <conditionalFormatting sqref="CP10">
    <cfRule type="cellIs" dxfId="102" priority="103" operator="equal">
      <formula>"Tratamento"</formula>
    </cfRule>
  </conditionalFormatting>
  <conditionalFormatting sqref="CT10">
    <cfRule type="cellIs" dxfId="101" priority="102" operator="equal">
      <formula>"Tratamento"</formula>
    </cfRule>
  </conditionalFormatting>
  <conditionalFormatting sqref="CX10">
    <cfRule type="cellIs" dxfId="100" priority="101" operator="equal">
      <formula>"Tratamento"</formula>
    </cfRule>
  </conditionalFormatting>
  <conditionalFormatting sqref="DF10">
    <cfRule type="cellIs" dxfId="99" priority="100" operator="equal">
      <formula>"Tratamento"</formula>
    </cfRule>
  </conditionalFormatting>
  <conditionalFormatting sqref="DN10">
    <cfRule type="cellIs" dxfId="98" priority="99" operator="equal">
      <formula>"Tratamento"</formula>
    </cfRule>
  </conditionalFormatting>
  <conditionalFormatting sqref="DV10">
    <cfRule type="cellIs" dxfId="97" priority="98" operator="equal">
      <formula>"Tratamento"</formula>
    </cfRule>
  </conditionalFormatting>
  <conditionalFormatting sqref="BC11:BD11">
    <cfRule type="expression" dxfId="96" priority="97">
      <formula>$CB11=""</formula>
    </cfRule>
  </conditionalFormatting>
  <conditionalFormatting sqref="BT11:BU11">
    <cfRule type="expression" dxfId="95" priority="96">
      <formula>$BX11=""</formula>
    </cfRule>
  </conditionalFormatting>
  <conditionalFormatting sqref="BV11">
    <cfRule type="cellIs" dxfId="94" priority="95" operator="equal">
      <formula>"Tratamento"</formula>
    </cfRule>
  </conditionalFormatting>
  <conditionalFormatting sqref="BZ11">
    <cfRule type="cellIs" dxfId="93" priority="94" operator="equal">
      <formula>"Tratamento"</formula>
    </cfRule>
  </conditionalFormatting>
  <conditionalFormatting sqref="CD11">
    <cfRule type="cellIs" dxfId="92" priority="93" operator="equal">
      <formula>"Tratamento"</formula>
    </cfRule>
  </conditionalFormatting>
  <conditionalFormatting sqref="CH11">
    <cfRule type="cellIs" dxfId="91" priority="92" operator="equal">
      <formula>"Tratamento"</formula>
    </cfRule>
  </conditionalFormatting>
  <conditionalFormatting sqref="CL11">
    <cfRule type="cellIs" dxfId="90" priority="91" operator="equal">
      <formula>"Tratamento"</formula>
    </cfRule>
  </conditionalFormatting>
  <conditionalFormatting sqref="CP11">
    <cfRule type="cellIs" dxfId="89" priority="90" operator="equal">
      <formula>"Tratamento"</formula>
    </cfRule>
  </conditionalFormatting>
  <conditionalFormatting sqref="CT11">
    <cfRule type="cellIs" dxfId="88" priority="89" operator="equal">
      <formula>"Tratamento"</formula>
    </cfRule>
  </conditionalFormatting>
  <conditionalFormatting sqref="CX11">
    <cfRule type="cellIs" dxfId="87" priority="88" operator="equal">
      <formula>"Tratamento"</formula>
    </cfRule>
  </conditionalFormatting>
  <conditionalFormatting sqref="DF11">
    <cfRule type="cellIs" dxfId="86" priority="87" operator="equal">
      <formula>"Tratamento"</formula>
    </cfRule>
  </conditionalFormatting>
  <conditionalFormatting sqref="DN11">
    <cfRule type="cellIs" dxfId="85" priority="86" operator="equal">
      <formula>"Tratamento"</formula>
    </cfRule>
  </conditionalFormatting>
  <conditionalFormatting sqref="DV11">
    <cfRule type="cellIs" dxfId="84" priority="85" operator="equal">
      <formula>"Tratamento"</formula>
    </cfRule>
  </conditionalFormatting>
  <conditionalFormatting sqref="BC12:BD12">
    <cfRule type="expression" dxfId="83" priority="84">
      <formula>$CB12=""</formula>
    </cfRule>
  </conditionalFormatting>
  <conditionalFormatting sqref="BT12:BU12">
    <cfRule type="expression" dxfId="82" priority="83">
      <formula>$BX12=""</formula>
    </cfRule>
  </conditionalFormatting>
  <conditionalFormatting sqref="BV12">
    <cfRule type="cellIs" dxfId="81" priority="82" operator="equal">
      <formula>"Tratamento"</formula>
    </cfRule>
  </conditionalFormatting>
  <conditionalFormatting sqref="BZ12">
    <cfRule type="cellIs" dxfId="80" priority="81" operator="equal">
      <formula>"Tratamento"</formula>
    </cfRule>
  </conditionalFormatting>
  <conditionalFormatting sqref="CD12">
    <cfRule type="cellIs" dxfId="79" priority="80" operator="equal">
      <formula>"Tratamento"</formula>
    </cfRule>
  </conditionalFormatting>
  <conditionalFormatting sqref="CH12">
    <cfRule type="cellIs" dxfId="78" priority="79" operator="equal">
      <formula>"Tratamento"</formula>
    </cfRule>
  </conditionalFormatting>
  <conditionalFormatting sqref="CL12">
    <cfRule type="cellIs" dxfId="77" priority="78" operator="equal">
      <formula>"Tratamento"</formula>
    </cfRule>
  </conditionalFormatting>
  <conditionalFormatting sqref="CP12">
    <cfRule type="cellIs" dxfId="76" priority="77" operator="equal">
      <formula>"Tratamento"</formula>
    </cfRule>
  </conditionalFormatting>
  <conditionalFormatting sqref="CT12">
    <cfRule type="cellIs" dxfId="75" priority="76" operator="equal">
      <formula>"Tratamento"</formula>
    </cfRule>
  </conditionalFormatting>
  <conditionalFormatting sqref="CX12">
    <cfRule type="cellIs" dxfId="74" priority="75" operator="equal">
      <formula>"Tratamento"</formula>
    </cfRule>
  </conditionalFormatting>
  <conditionalFormatting sqref="DF12">
    <cfRule type="cellIs" dxfId="73" priority="74" operator="equal">
      <formula>"Tratamento"</formula>
    </cfRule>
  </conditionalFormatting>
  <conditionalFormatting sqref="DN12">
    <cfRule type="cellIs" dxfId="72" priority="73" operator="equal">
      <formula>"Tratamento"</formula>
    </cfRule>
  </conditionalFormatting>
  <conditionalFormatting sqref="DV12">
    <cfRule type="cellIs" dxfId="71" priority="72" operator="equal">
      <formula>"Tratamento"</formula>
    </cfRule>
  </conditionalFormatting>
  <conditionalFormatting sqref="BC13:BD13">
    <cfRule type="expression" dxfId="70" priority="71">
      <formula>$CB13=""</formula>
    </cfRule>
  </conditionalFormatting>
  <conditionalFormatting sqref="BT13:BU13">
    <cfRule type="expression" dxfId="69" priority="70">
      <formula>$BX13=""</formula>
    </cfRule>
  </conditionalFormatting>
  <conditionalFormatting sqref="BV13">
    <cfRule type="cellIs" dxfId="68" priority="69" operator="equal">
      <formula>"Tratamento"</formula>
    </cfRule>
  </conditionalFormatting>
  <conditionalFormatting sqref="BZ13">
    <cfRule type="cellIs" dxfId="67" priority="68" operator="equal">
      <formula>"Tratamento"</formula>
    </cfRule>
  </conditionalFormatting>
  <conditionalFormatting sqref="CD13">
    <cfRule type="cellIs" dxfId="66" priority="67" operator="equal">
      <formula>"Tratamento"</formula>
    </cfRule>
  </conditionalFormatting>
  <conditionalFormatting sqref="CH13">
    <cfRule type="cellIs" dxfId="65" priority="66" operator="equal">
      <formula>"Tratamento"</formula>
    </cfRule>
  </conditionalFormatting>
  <conditionalFormatting sqref="CL13">
    <cfRule type="cellIs" dxfId="64" priority="65" operator="equal">
      <formula>"Tratamento"</formula>
    </cfRule>
  </conditionalFormatting>
  <conditionalFormatting sqref="CP13">
    <cfRule type="cellIs" dxfId="63" priority="64" operator="equal">
      <formula>"Tratamento"</formula>
    </cfRule>
  </conditionalFormatting>
  <conditionalFormatting sqref="CT13">
    <cfRule type="cellIs" dxfId="62" priority="63" operator="equal">
      <formula>"Tratamento"</formula>
    </cfRule>
  </conditionalFormatting>
  <conditionalFormatting sqref="CX13">
    <cfRule type="cellIs" dxfId="61" priority="62" operator="equal">
      <formula>"Tratamento"</formula>
    </cfRule>
  </conditionalFormatting>
  <conditionalFormatting sqref="DF13">
    <cfRule type="cellIs" dxfId="60" priority="61" operator="equal">
      <formula>"Tratamento"</formula>
    </cfRule>
  </conditionalFormatting>
  <conditionalFormatting sqref="DN13">
    <cfRule type="cellIs" dxfId="59" priority="60" operator="equal">
      <formula>"Tratamento"</formula>
    </cfRule>
  </conditionalFormatting>
  <conditionalFormatting sqref="DV13">
    <cfRule type="cellIs" dxfId="58" priority="59" operator="equal">
      <formula>"Tratamento"</formula>
    </cfRule>
  </conditionalFormatting>
  <conditionalFormatting sqref="BC14:BD14">
    <cfRule type="expression" dxfId="57" priority="58">
      <formula>$CB14=""</formula>
    </cfRule>
  </conditionalFormatting>
  <conditionalFormatting sqref="BT14:BU14">
    <cfRule type="expression" dxfId="56" priority="57">
      <formula>$BX14=""</formula>
    </cfRule>
  </conditionalFormatting>
  <conditionalFormatting sqref="BV14">
    <cfRule type="cellIs" dxfId="55" priority="56" operator="equal">
      <formula>"Tratamento"</formula>
    </cfRule>
  </conditionalFormatting>
  <conditionalFormatting sqref="BZ14">
    <cfRule type="cellIs" dxfId="54" priority="55" operator="equal">
      <formula>"Tratamento"</formula>
    </cfRule>
  </conditionalFormatting>
  <conditionalFormatting sqref="CD14">
    <cfRule type="cellIs" dxfId="53" priority="54" operator="equal">
      <formula>"Tratamento"</formula>
    </cfRule>
  </conditionalFormatting>
  <conditionalFormatting sqref="CH14">
    <cfRule type="cellIs" dxfId="52" priority="53" operator="equal">
      <formula>"Tratamento"</formula>
    </cfRule>
  </conditionalFormatting>
  <conditionalFormatting sqref="CL14">
    <cfRule type="cellIs" dxfId="51" priority="52" operator="equal">
      <formula>"Tratamento"</formula>
    </cfRule>
  </conditionalFormatting>
  <conditionalFormatting sqref="CP14">
    <cfRule type="cellIs" dxfId="50" priority="51" operator="equal">
      <formula>"Tratamento"</formula>
    </cfRule>
  </conditionalFormatting>
  <conditionalFormatting sqref="CT14">
    <cfRule type="cellIs" dxfId="49" priority="50" operator="equal">
      <formula>"Tratamento"</formula>
    </cfRule>
  </conditionalFormatting>
  <conditionalFormatting sqref="CX14">
    <cfRule type="cellIs" dxfId="48" priority="49" operator="equal">
      <formula>"Tratamento"</formula>
    </cfRule>
  </conditionalFormatting>
  <conditionalFormatting sqref="DF14">
    <cfRule type="cellIs" dxfId="47" priority="48" operator="equal">
      <formula>"Tratamento"</formula>
    </cfRule>
  </conditionalFormatting>
  <conditionalFormatting sqref="DN14">
    <cfRule type="cellIs" dxfId="46" priority="47" operator="equal">
      <formula>"Tratamento"</formula>
    </cfRule>
  </conditionalFormatting>
  <conditionalFormatting sqref="DV14">
    <cfRule type="cellIs" dxfId="45" priority="46" operator="equal">
      <formula>"Tratamento"</formula>
    </cfRule>
  </conditionalFormatting>
  <conditionalFormatting sqref="BC15:BD15">
    <cfRule type="expression" dxfId="44" priority="45">
      <formula>$CB15=""</formula>
    </cfRule>
  </conditionalFormatting>
  <conditionalFormatting sqref="BT15:BU15">
    <cfRule type="expression" dxfId="43" priority="44">
      <formula>$BX15=""</formula>
    </cfRule>
  </conditionalFormatting>
  <conditionalFormatting sqref="BV15 BZ15 CD15 CH15 CL15 CP15 CT15 CX15 DF15 DN15 DV15">
    <cfRule type="cellIs" dxfId="42" priority="43" operator="equal">
      <formula>"Tratamento"</formula>
    </cfRule>
  </conditionalFormatting>
  <conditionalFormatting sqref="BC16:BD16">
    <cfRule type="expression" dxfId="41" priority="42">
      <formula>$CB16=""</formula>
    </cfRule>
  </conditionalFormatting>
  <conditionalFormatting sqref="BT16:BU16">
    <cfRule type="expression" dxfId="40" priority="41">
      <formula>$BX16=""</formula>
    </cfRule>
  </conditionalFormatting>
  <conditionalFormatting sqref="BV16 BZ16 CD16 CH16 CL16 CP16 CT16 CX16 DF16 DN16 DV16">
    <cfRule type="cellIs" dxfId="39" priority="40" operator="equal">
      <formula>"Tratamento"</formula>
    </cfRule>
  </conditionalFormatting>
  <conditionalFormatting sqref="BC17:BD17">
    <cfRule type="expression" dxfId="38" priority="39">
      <formula>$CB17=""</formula>
    </cfRule>
  </conditionalFormatting>
  <conditionalFormatting sqref="BT17:BU17">
    <cfRule type="expression" dxfId="37" priority="38">
      <formula>$BX17=""</formula>
    </cfRule>
  </conditionalFormatting>
  <conditionalFormatting sqref="BV17">
    <cfRule type="cellIs" dxfId="36" priority="37" operator="equal">
      <formula>"Tratamento"</formula>
    </cfRule>
  </conditionalFormatting>
  <conditionalFormatting sqref="BZ17">
    <cfRule type="cellIs" dxfId="35" priority="36" operator="equal">
      <formula>"Tratamento"</formula>
    </cfRule>
  </conditionalFormatting>
  <conditionalFormatting sqref="CD17">
    <cfRule type="cellIs" dxfId="34" priority="35" operator="equal">
      <formula>"Tratamento"</formula>
    </cfRule>
  </conditionalFormatting>
  <conditionalFormatting sqref="CH17">
    <cfRule type="cellIs" dxfId="33" priority="34" operator="equal">
      <formula>"Tratamento"</formula>
    </cfRule>
  </conditionalFormatting>
  <conditionalFormatting sqref="CL17">
    <cfRule type="cellIs" dxfId="32" priority="33" operator="equal">
      <formula>"Tratamento"</formula>
    </cfRule>
  </conditionalFormatting>
  <conditionalFormatting sqref="CP17">
    <cfRule type="cellIs" dxfId="31" priority="32" operator="equal">
      <formula>"Tratamento"</formula>
    </cfRule>
  </conditionalFormatting>
  <conditionalFormatting sqref="CT17">
    <cfRule type="cellIs" dxfId="30" priority="31" operator="equal">
      <formula>"Tratamento"</formula>
    </cfRule>
  </conditionalFormatting>
  <conditionalFormatting sqref="CX17">
    <cfRule type="cellIs" dxfId="29" priority="30" operator="equal">
      <formula>"Tratamento"</formula>
    </cfRule>
  </conditionalFormatting>
  <conditionalFormatting sqref="DF17">
    <cfRule type="cellIs" dxfId="28" priority="29" operator="equal">
      <formula>"Tratamento"</formula>
    </cfRule>
  </conditionalFormatting>
  <conditionalFormatting sqref="DN17">
    <cfRule type="cellIs" dxfId="27" priority="28" operator="equal">
      <formula>"Tratamento"</formula>
    </cfRule>
  </conditionalFormatting>
  <conditionalFormatting sqref="DV17">
    <cfRule type="cellIs" dxfId="26" priority="27" operator="equal">
      <formula>"Tratamento"</formula>
    </cfRule>
  </conditionalFormatting>
  <conditionalFormatting sqref="BC18:BD18">
    <cfRule type="expression" dxfId="25" priority="26">
      <formula>$CB18=""</formula>
    </cfRule>
  </conditionalFormatting>
  <conditionalFormatting sqref="BT18:BU18">
    <cfRule type="expression" dxfId="24" priority="25">
      <formula>$BX18=""</formula>
    </cfRule>
  </conditionalFormatting>
  <conditionalFormatting sqref="BV18">
    <cfRule type="cellIs" dxfId="23" priority="24" operator="equal">
      <formula>"Tratamento"</formula>
    </cfRule>
  </conditionalFormatting>
  <conditionalFormatting sqref="BZ18">
    <cfRule type="cellIs" dxfId="22" priority="23" operator="equal">
      <formula>"Tratamento"</formula>
    </cfRule>
  </conditionalFormatting>
  <conditionalFormatting sqref="CD18">
    <cfRule type="cellIs" dxfId="21" priority="22" operator="equal">
      <formula>"Tratamento"</formula>
    </cfRule>
  </conditionalFormatting>
  <conditionalFormatting sqref="CH18">
    <cfRule type="cellIs" dxfId="20" priority="21" operator="equal">
      <formula>"Tratamento"</formula>
    </cfRule>
  </conditionalFormatting>
  <conditionalFormatting sqref="CL18">
    <cfRule type="cellIs" dxfId="19" priority="20" operator="equal">
      <formula>"Tratamento"</formula>
    </cfRule>
  </conditionalFormatting>
  <conditionalFormatting sqref="CP18">
    <cfRule type="cellIs" dxfId="18" priority="19" operator="equal">
      <formula>"Tratamento"</formula>
    </cfRule>
  </conditionalFormatting>
  <conditionalFormatting sqref="CT18">
    <cfRule type="cellIs" dxfId="17" priority="18" operator="equal">
      <formula>"Tratamento"</formula>
    </cfRule>
  </conditionalFormatting>
  <conditionalFormatting sqref="CX18">
    <cfRule type="cellIs" dxfId="16" priority="17" operator="equal">
      <formula>"Tratamento"</formula>
    </cfRule>
  </conditionalFormatting>
  <conditionalFormatting sqref="DF18">
    <cfRule type="cellIs" dxfId="15" priority="16" operator="equal">
      <formula>"Tratamento"</formula>
    </cfRule>
  </conditionalFormatting>
  <conditionalFormatting sqref="DN18">
    <cfRule type="cellIs" dxfId="14" priority="15" operator="equal">
      <formula>"Tratamento"</formula>
    </cfRule>
  </conditionalFormatting>
  <conditionalFormatting sqref="DV18">
    <cfRule type="cellIs" dxfId="13" priority="14" operator="equal">
      <formula>"Tratamento"</formula>
    </cfRule>
  </conditionalFormatting>
  <conditionalFormatting sqref="BC19:BD19">
    <cfRule type="expression" dxfId="12" priority="13">
      <formula>$CB19=""</formula>
    </cfRule>
  </conditionalFormatting>
  <conditionalFormatting sqref="BT19:BU19">
    <cfRule type="expression" dxfId="11" priority="12">
      <formula>$BX19=""</formula>
    </cfRule>
  </conditionalFormatting>
  <conditionalFormatting sqref="BV19">
    <cfRule type="cellIs" dxfId="10" priority="11" operator="equal">
      <formula>"Tratamento"</formula>
    </cfRule>
  </conditionalFormatting>
  <conditionalFormatting sqref="BZ19">
    <cfRule type="cellIs" dxfId="9" priority="10" operator="equal">
      <formula>"Tratamento"</formula>
    </cfRule>
  </conditionalFormatting>
  <conditionalFormatting sqref="CD19">
    <cfRule type="cellIs" dxfId="8" priority="9" operator="equal">
      <formula>"Tratamento"</formula>
    </cfRule>
  </conditionalFormatting>
  <conditionalFormatting sqref="CH19">
    <cfRule type="cellIs" dxfId="7" priority="8" operator="equal">
      <formula>"Tratamento"</formula>
    </cfRule>
  </conditionalFormatting>
  <conditionalFormatting sqref="CL19">
    <cfRule type="cellIs" dxfId="6" priority="7" operator="equal">
      <formula>"Tratamento"</formula>
    </cfRule>
  </conditionalFormatting>
  <conditionalFormatting sqref="CP19">
    <cfRule type="cellIs" dxfId="5" priority="6" operator="equal">
      <formula>"Tratamento"</formula>
    </cfRule>
  </conditionalFormatting>
  <conditionalFormatting sqref="CT19">
    <cfRule type="cellIs" dxfId="4" priority="5" operator="equal">
      <formula>"Tratamento"</formula>
    </cfRule>
  </conditionalFormatting>
  <conditionalFormatting sqref="CX19">
    <cfRule type="cellIs" dxfId="3" priority="4" operator="equal">
      <formula>"Tratamento"</formula>
    </cfRule>
  </conditionalFormatting>
  <conditionalFormatting sqref="DF19">
    <cfRule type="cellIs" dxfId="2" priority="3" operator="equal">
      <formula>"Tratamento"</formula>
    </cfRule>
  </conditionalFormatting>
  <conditionalFormatting sqref="DN19">
    <cfRule type="cellIs" dxfId="1" priority="2" operator="equal">
      <formula>"Tratamento"</formula>
    </cfRule>
  </conditionalFormatting>
  <conditionalFormatting sqref="DV19">
    <cfRule type="cellIs" dxfId="0" priority="1" operator="equal">
      <formula>"Tratamento"</formula>
    </cfRule>
  </conditionalFormatting>
  <dataValidations count="15">
    <dataValidation type="list" allowBlank="1" showInputMessage="1" showErrorMessage="1" sqref="KN3:KN19">
      <formula1>"VC Oi,LD + VC Oi,LD qualquer operadora,LD fixo para qualquer fixo Brasil,Ilimitado"</formula1>
    </dataValidation>
    <dataValidation type="list" allowBlank="1" showInputMessage="1" showErrorMessage="1" sqref="IM3:IM19">
      <formula1>"Exige pelo menos um Pacote de dados,Exige Pacote de dados em todas as linhas"</formula1>
    </dataValidation>
    <dataValidation type="list" allowBlank="1" showInputMessage="1" showErrorMessage="1" sqref="IN3:IN19">
      <formula1>"300MB,500MB,1GB,2GB,3GB,5GB,10GB"</formula1>
    </dataValidation>
    <dataValidation type="list" allowBlank="1" showInputMessage="1" showErrorMessage="1" sqref="EJ3:EJ19">
      <formula1>"Grátis"</formula1>
    </dataValidation>
    <dataValidation type="list" allowBlank="1" showInputMessage="1" showErrorMessage="1" sqref="A3:A19">
      <formula1>"Oi Total"</formula1>
    </dataValidation>
    <dataValidation type="list" allowBlank="1" showInputMessage="1" showErrorMessage="1" sqref="E3:AH19">
      <formula1>"X,x"</formula1>
    </dataValidation>
    <dataValidation type="list" allowBlank="1" showInputMessage="1" showErrorMessage="1" sqref="KQ3:KQ19">
      <formula1>"SMS"</formula1>
    </dataValidation>
    <dataValidation type="list" allowBlank="1" showInputMessage="1" showErrorMessage="1" sqref="BV3:BV19 BZ3:BZ19 DN3:DN19 CD3:CD19 CH3:CH19 CL3:CL19 CP3:CP19 CT3:CT19 CX3:CX19 DF3:DF19 DV3:DV19">
      <formula1>"Comercial,Tratamento"</formula1>
    </dataValidation>
    <dataValidation type="list" allowBlank="1" showInputMessage="1" showErrorMessage="1" sqref="IJ3:IJ19 IG3:IG19 BA3:BA19">
      <formula1>"Sim"</formula1>
    </dataValidation>
    <dataValidation type="list" allowBlank="1" showInputMessage="1" showErrorMessage="1" sqref="KT3:KT19">
      <formula1>"PCS-SBL11111"</formula1>
    </dataValidation>
    <dataValidation type="list" allowBlank="1" showInputMessage="1" showErrorMessage="1" sqref="C3:C19">
      <formula1>"Novos e Atuais,Novos,Atuais"</formula1>
    </dataValidation>
    <dataValidation type="list" errorStyle="warning" allowBlank="1" showInputMessage="1" showErrorMessage="1" sqref="B3:B19">
      <formula1>"Aquisição,Retenção,Migração,Oi Pontos"</formula1>
    </dataValidation>
    <dataValidation type="whole" allowBlank="1" showInputMessage="1" showErrorMessage="1" sqref="KJ3:KJ19">
      <formula1>1</formula1>
      <formula2>24</formula2>
    </dataValidation>
    <dataValidation type="list" allowBlank="1" showInputMessage="1" showErrorMessage="1" sqref="KH3:KH19">
      <formula1>"Benefício,Aparelho,Oi Pontos"</formula1>
    </dataValidation>
    <dataValidation type="list" allowBlank="1" showInputMessage="1" showErrorMessage="1" sqref="KE3:KE19 D3:D19 HW3:HW19 BR3:BR19 BA3:BA19 AU3:AW19 KG3:KG19">
      <formula1>"Sim,Não"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'C:\TMP\RETOT\3PRes\Origens\[BCM_Oi Total 3P Res_Natal-17_v2.xlsx]PLANOS'!#REF!</xm:f>
          </x14:formula1>
          <xm:sqref>AY3:AY19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:AY187"/>
  <sheetViews>
    <sheetView topLeftCell="AM13" workbookViewId="0">
      <selection activeCell="AT17" sqref="AT17"/>
    </sheetView>
  </sheetViews>
  <sheetFormatPr defaultRowHeight="15" x14ac:dyDescent="0.25"/>
  <cols>
    <col min="1" max="1" width="11" bestFit="1" customWidth="1"/>
    <col min="2" max="2" width="25.42578125" bestFit="1" customWidth="1"/>
    <col min="3" max="3" width="12.5703125" bestFit="1" customWidth="1"/>
    <col min="4" max="4" width="13.140625" bestFit="1" customWidth="1"/>
    <col min="5" max="5" width="13.42578125" bestFit="1" customWidth="1"/>
    <col min="6" max="7" width="19.85546875" bestFit="1" customWidth="1"/>
    <col min="8" max="8" width="6.140625" bestFit="1" customWidth="1"/>
    <col min="9" max="9" width="19" bestFit="1" customWidth="1"/>
    <col min="10" max="10" width="25.42578125" bestFit="1" customWidth="1"/>
    <col min="11" max="11" width="22.42578125" bestFit="1" customWidth="1"/>
    <col min="12" max="12" width="7" bestFit="1" customWidth="1"/>
    <col min="13" max="13" width="18.7109375" bestFit="1" customWidth="1"/>
    <col min="14" max="14" width="17.28515625" bestFit="1" customWidth="1"/>
    <col min="15" max="15" width="12" bestFit="1" customWidth="1"/>
    <col min="16" max="16" width="15.140625" bestFit="1" customWidth="1"/>
    <col min="17" max="17" width="15.5703125" bestFit="1" customWidth="1"/>
    <col min="18" max="18" width="18" bestFit="1" customWidth="1"/>
    <col min="19" max="19" width="26" bestFit="1" customWidth="1"/>
    <col min="20" max="20" width="26.140625" bestFit="1" customWidth="1"/>
    <col min="21" max="21" width="15.42578125" bestFit="1" customWidth="1"/>
    <col min="22" max="22" width="24" bestFit="1" customWidth="1"/>
    <col min="23" max="23" width="27" bestFit="1" customWidth="1"/>
    <col min="24" max="24" width="27.140625" bestFit="1" customWidth="1"/>
    <col min="25" max="25" width="21.28515625" bestFit="1" customWidth="1"/>
    <col min="26" max="26" width="23.140625" bestFit="1" customWidth="1"/>
    <col min="27" max="27" width="17.7109375" bestFit="1" customWidth="1"/>
    <col min="28" max="28" width="16.7109375" bestFit="1" customWidth="1"/>
    <col min="29" max="29" width="24" bestFit="1" customWidth="1"/>
    <col min="30" max="30" width="24.140625" bestFit="1" customWidth="1"/>
    <col min="31" max="31" width="28.42578125" bestFit="1" customWidth="1"/>
    <col min="32" max="32" width="28.5703125" bestFit="1" customWidth="1"/>
    <col min="33" max="33" width="24.7109375" bestFit="1" customWidth="1"/>
    <col min="34" max="34" width="24.85546875" bestFit="1" customWidth="1"/>
    <col min="35" max="35" width="25" bestFit="1" customWidth="1"/>
    <col min="36" max="36" width="25.140625" bestFit="1" customWidth="1"/>
    <col min="37" max="37" width="29.42578125" bestFit="1" customWidth="1"/>
    <col min="38" max="38" width="29.5703125" bestFit="1" customWidth="1"/>
    <col min="39" max="39" width="25.7109375" bestFit="1" customWidth="1"/>
    <col min="40" max="40" width="25.85546875" bestFit="1" customWidth="1"/>
    <col min="41" max="41" width="17.5703125" bestFit="1" customWidth="1"/>
    <col min="42" max="42" width="23.140625" bestFit="1" customWidth="1"/>
    <col min="43" max="43" width="15.5703125" bestFit="1" customWidth="1"/>
    <col min="44" max="44" width="25" bestFit="1" customWidth="1"/>
    <col min="46" max="46" width="18.42578125" bestFit="1" customWidth="1"/>
    <col min="47" max="47" width="11.28515625" bestFit="1" customWidth="1"/>
    <col min="48" max="48" width="11.7109375" bestFit="1" customWidth="1"/>
    <col min="50" max="50" width="11.28515625" bestFit="1" customWidth="1"/>
    <col min="51" max="51" width="69.7109375" hidden="1" customWidth="1"/>
  </cols>
  <sheetData>
    <row r="3" spans="1:51" x14ac:dyDescent="0.25">
      <c r="A3" s="1" t="s">
        <v>0</v>
      </c>
      <c r="B3" s="2" t="s">
        <v>229</v>
      </c>
      <c r="C3" s="3" t="s">
        <v>230</v>
      </c>
      <c r="D3" s="3" t="s">
        <v>231</v>
      </c>
      <c r="E3" s="3" t="s">
        <v>232</v>
      </c>
      <c r="F3" s="3" t="s">
        <v>233</v>
      </c>
      <c r="G3" s="3" t="s">
        <v>234</v>
      </c>
      <c r="H3" s="3" t="s">
        <v>235</v>
      </c>
      <c r="I3" s="3" t="s">
        <v>236</v>
      </c>
      <c r="J3" s="3" t="s">
        <v>237</v>
      </c>
      <c r="K3" s="3" t="s">
        <v>238</v>
      </c>
      <c r="L3" s="4" t="s">
        <v>1</v>
      </c>
      <c r="M3" s="5" t="s">
        <v>239</v>
      </c>
      <c r="N3" s="5" t="s">
        <v>240</v>
      </c>
      <c r="O3" s="5" t="s">
        <v>241</v>
      </c>
      <c r="P3" s="5" t="s">
        <v>242</v>
      </c>
      <c r="Q3" s="5" t="s">
        <v>243</v>
      </c>
      <c r="R3" s="5" t="s">
        <v>244</v>
      </c>
      <c r="S3" s="5" t="s">
        <v>245</v>
      </c>
      <c r="T3" s="5" t="s">
        <v>246</v>
      </c>
      <c r="U3" s="5" t="s">
        <v>247</v>
      </c>
      <c r="V3" s="5" t="s">
        <v>248</v>
      </c>
      <c r="W3" s="5" t="s">
        <v>249</v>
      </c>
      <c r="X3" s="5" t="s">
        <v>250</v>
      </c>
      <c r="Y3" s="5" t="s">
        <v>251</v>
      </c>
      <c r="Z3" s="5" t="s">
        <v>252</v>
      </c>
      <c r="AA3" s="5" t="s">
        <v>253</v>
      </c>
      <c r="AB3" s="5" t="s">
        <v>254</v>
      </c>
      <c r="AC3" s="5" t="s">
        <v>255</v>
      </c>
      <c r="AD3" s="5" t="s">
        <v>256</v>
      </c>
      <c r="AE3" s="5" t="s">
        <v>257</v>
      </c>
      <c r="AF3" s="5" t="s">
        <v>258</v>
      </c>
      <c r="AG3" s="5" t="s">
        <v>259</v>
      </c>
      <c r="AH3" s="5" t="s">
        <v>260</v>
      </c>
      <c r="AI3" s="5" t="s">
        <v>261</v>
      </c>
      <c r="AJ3" s="5" t="s">
        <v>262</v>
      </c>
      <c r="AK3" s="5" t="s">
        <v>263</v>
      </c>
      <c r="AL3" s="5" t="s">
        <v>264</v>
      </c>
      <c r="AM3" s="5" t="s">
        <v>265</v>
      </c>
      <c r="AN3" s="5" t="s">
        <v>266</v>
      </c>
      <c r="AO3" s="5" t="s">
        <v>267</v>
      </c>
      <c r="AP3" s="5" t="s">
        <v>268</v>
      </c>
      <c r="AQ3" s="5" t="s">
        <v>269</v>
      </c>
      <c r="AR3" s="5" t="s">
        <v>270</v>
      </c>
    </row>
    <row r="4" spans="1:51" x14ac:dyDescent="0.25">
      <c r="A4" s="6" t="s">
        <v>2</v>
      </c>
      <c r="B4" s="7" t="s">
        <v>229</v>
      </c>
      <c r="C4" s="8" t="s">
        <v>271</v>
      </c>
      <c r="D4" s="8" t="s">
        <v>272</v>
      </c>
      <c r="E4" s="8" t="s">
        <v>273</v>
      </c>
      <c r="F4" s="8" t="s">
        <v>274</v>
      </c>
      <c r="G4" s="8" t="s">
        <v>274</v>
      </c>
      <c r="H4" s="8" t="s">
        <v>275</v>
      </c>
      <c r="I4" s="8" t="s">
        <v>276</v>
      </c>
      <c r="J4" s="8" t="s">
        <v>277</v>
      </c>
      <c r="K4" s="9" t="s">
        <v>278</v>
      </c>
      <c r="L4" s="10"/>
      <c r="M4" s="5" t="s">
        <v>279</v>
      </c>
      <c r="N4" s="5" t="s">
        <v>280</v>
      </c>
      <c r="O4" s="5" t="s">
        <v>281</v>
      </c>
      <c r="P4" s="5" t="s">
        <v>282</v>
      </c>
      <c r="Q4" s="5" t="s">
        <v>283</v>
      </c>
      <c r="R4" s="5" t="s">
        <v>284</v>
      </c>
      <c r="S4" s="5" t="s">
        <v>285</v>
      </c>
      <c r="T4" s="5" t="s">
        <v>286</v>
      </c>
      <c r="U4" s="5" t="s">
        <v>287</v>
      </c>
      <c r="V4" s="5" t="s">
        <v>288</v>
      </c>
      <c r="W4" s="5" t="s">
        <v>289</v>
      </c>
      <c r="X4" s="5" t="s">
        <v>290</v>
      </c>
      <c r="Y4" s="5" t="s">
        <v>291</v>
      </c>
      <c r="Z4" s="5" t="s">
        <v>292</v>
      </c>
      <c r="AA4" s="5" t="s">
        <v>293</v>
      </c>
      <c r="AB4" s="5" t="s">
        <v>294</v>
      </c>
      <c r="AC4" s="5" t="s">
        <v>295</v>
      </c>
      <c r="AD4" s="5" t="s">
        <v>296</v>
      </c>
      <c r="AE4" s="5" t="s">
        <v>297</v>
      </c>
      <c r="AF4" s="5" t="s">
        <v>298</v>
      </c>
      <c r="AG4" s="5" t="s">
        <v>299</v>
      </c>
      <c r="AH4" s="5" t="s">
        <v>300</v>
      </c>
      <c r="AI4" s="5" t="s">
        <v>301</v>
      </c>
      <c r="AJ4" s="5" t="s">
        <v>302</v>
      </c>
      <c r="AK4" s="5" t="s">
        <v>303</v>
      </c>
      <c r="AL4" s="5" t="s">
        <v>304</v>
      </c>
      <c r="AM4" s="5" t="s">
        <v>305</v>
      </c>
      <c r="AN4" s="5" t="s">
        <v>306</v>
      </c>
      <c r="AO4" s="5" t="s">
        <v>307</v>
      </c>
      <c r="AP4" s="5" t="s">
        <v>308</v>
      </c>
      <c r="AQ4" s="5" t="s">
        <v>309</v>
      </c>
      <c r="AR4" s="5" t="s">
        <v>310</v>
      </c>
    </row>
    <row r="5" spans="1:51" x14ac:dyDescent="0.25">
      <c r="A5" s="216"/>
      <c r="B5" s="218" t="b">
        <v>1</v>
      </c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16"/>
    </row>
    <row r="6" spans="1:51" x14ac:dyDescent="0.25">
      <c r="A6" s="216"/>
      <c r="B6" s="218"/>
      <c r="C6" s="220" t="s">
        <v>311</v>
      </c>
      <c r="D6" s="220" t="s">
        <v>312</v>
      </c>
      <c r="E6" s="220" t="s">
        <v>313</v>
      </c>
      <c r="F6" s="220">
        <v>0.3</v>
      </c>
      <c r="G6" s="220">
        <v>2</v>
      </c>
      <c r="H6" s="220" t="s">
        <v>328</v>
      </c>
      <c r="I6" s="220"/>
      <c r="J6" s="220"/>
      <c r="K6" s="220"/>
      <c r="L6" s="220"/>
      <c r="M6" s="220" t="b">
        <v>1</v>
      </c>
      <c r="N6" s="220"/>
      <c r="O6" s="216" t="b">
        <v>1</v>
      </c>
      <c r="V6">
        <v>70</v>
      </c>
      <c r="X6">
        <v>79.900000000000006</v>
      </c>
      <c r="Y6">
        <v>224.9</v>
      </c>
      <c r="Z6">
        <v>0</v>
      </c>
      <c r="AA6">
        <v>17.100000000000001</v>
      </c>
      <c r="AJ6" t="s">
        <v>228</v>
      </c>
      <c r="AL6" t="s">
        <v>368</v>
      </c>
      <c r="AN6" t="s">
        <v>368</v>
      </c>
      <c r="AP6">
        <v>374.8</v>
      </c>
      <c r="AQ6">
        <v>0</v>
      </c>
      <c r="AR6">
        <v>0</v>
      </c>
      <c r="AY6" t="s">
        <v>329</v>
      </c>
    </row>
    <row r="7" spans="1:51" x14ac:dyDescent="0.25">
      <c r="A7" s="216"/>
      <c r="B7" s="218"/>
      <c r="C7" s="220" t="s">
        <v>311</v>
      </c>
      <c r="D7" s="220" t="s">
        <v>312</v>
      </c>
      <c r="E7" s="220" t="s">
        <v>313</v>
      </c>
      <c r="F7" s="220">
        <v>20</v>
      </c>
      <c r="G7" s="220">
        <v>25</v>
      </c>
      <c r="H7" s="220" t="s">
        <v>328</v>
      </c>
      <c r="I7" s="220"/>
      <c r="J7" s="220"/>
      <c r="K7" s="220"/>
      <c r="L7" s="220"/>
      <c r="M7" s="220" t="b">
        <v>1</v>
      </c>
      <c r="N7" s="220"/>
      <c r="O7" s="216" t="b">
        <v>1</v>
      </c>
      <c r="V7">
        <v>70</v>
      </c>
      <c r="X7">
        <v>94.9</v>
      </c>
      <c r="Y7">
        <v>224.9</v>
      </c>
      <c r="Z7">
        <v>0</v>
      </c>
      <c r="AA7">
        <v>20.6</v>
      </c>
      <c r="AJ7" t="s">
        <v>228</v>
      </c>
      <c r="AL7" t="s">
        <v>374</v>
      </c>
      <c r="AN7" t="s">
        <v>374</v>
      </c>
      <c r="AP7">
        <v>389.8</v>
      </c>
      <c r="AQ7">
        <v>0</v>
      </c>
      <c r="AR7">
        <v>0</v>
      </c>
      <c r="AY7" t="s">
        <v>350</v>
      </c>
    </row>
    <row r="8" spans="1:51" x14ac:dyDescent="0.25">
      <c r="A8" s="216"/>
      <c r="B8" s="218"/>
      <c r="C8" s="220" t="s">
        <v>311</v>
      </c>
      <c r="D8" s="220" t="s">
        <v>312</v>
      </c>
      <c r="E8" s="220" t="s">
        <v>313</v>
      </c>
      <c r="F8" s="220">
        <v>30</v>
      </c>
      <c r="G8" s="220">
        <v>35</v>
      </c>
      <c r="H8" s="220" t="s">
        <v>328</v>
      </c>
      <c r="I8" s="220"/>
      <c r="J8" s="220"/>
      <c r="K8" s="220"/>
      <c r="L8" s="220"/>
      <c r="M8" s="220" t="b">
        <v>1</v>
      </c>
      <c r="N8" s="220"/>
      <c r="O8" s="216" t="b">
        <v>1</v>
      </c>
      <c r="V8">
        <v>70</v>
      </c>
      <c r="X8">
        <v>69.900000000000006</v>
      </c>
      <c r="Y8">
        <v>224.9</v>
      </c>
      <c r="Z8">
        <v>0</v>
      </c>
      <c r="AA8">
        <v>20.6</v>
      </c>
      <c r="AJ8" t="s">
        <v>228</v>
      </c>
      <c r="AL8" t="s">
        <v>374</v>
      </c>
      <c r="AN8" t="s">
        <v>374</v>
      </c>
      <c r="AP8">
        <v>364.8</v>
      </c>
      <c r="AQ8">
        <v>0</v>
      </c>
      <c r="AR8">
        <v>0</v>
      </c>
      <c r="AY8" t="s">
        <v>356</v>
      </c>
    </row>
    <row r="9" spans="1:51" x14ac:dyDescent="0.25">
      <c r="C9" t="s">
        <v>311</v>
      </c>
      <c r="D9" t="s">
        <v>312</v>
      </c>
      <c r="E9" t="s">
        <v>313</v>
      </c>
      <c r="F9">
        <v>5</v>
      </c>
      <c r="G9">
        <v>15</v>
      </c>
      <c r="H9" t="s">
        <v>328</v>
      </c>
      <c r="M9" t="b">
        <v>1</v>
      </c>
      <c r="O9" t="b">
        <v>1</v>
      </c>
      <c r="V9">
        <v>70</v>
      </c>
      <c r="X9">
        <v>84.9</v>
      </c>
      <c r="Y9">
        <v>224.9</v>
      </c>
      <c r="Z9">
        <v>0</v>
      </c>
      <c r="AA9">
        <v>20.6</v>
      </c>
      <c r="AJ9" t="s">
        <v>228</v>
      </c>
      <c r="AL9" t="s">
        <v>374</v>
      </c>
      <c r="AN9" t="s">
        <v>374</v>
      </c>
      <c r="AP9">
        <v>379.8</v>
      </c>
      <c r="AQ9">
        <v>0</v>
      </c>
      <c r="AR9">
        <v>0</v>
      </c>
      <c r="AY9" t="s">
        <v>344</v>
      </c>
    </row>
    <row r="10" spans="1:51" x14ac:dyDescent="0.25">
      <c r="C10" t="s">
        <v>311</v>
      </c>
      <c r="D10" t="s">
        <v>312</v>
      </c>
      <c r="E10" t="s">
        <v>313</v>
      </c>
      <c r="F10">
        <v>0.3</v>
      </c>
      <c r="G10">
        <v>2</v>
      </c>
      <c r="H10" t="s">
        <v>322</v>
      </c>
      <c r="M10" t="b">
        <v>1</v>
      </c>
      <c r="O10" t="b">
        <v>1</v>
      </c>
      <c r="V10">
        <v>70</v>
      </c>
      <c r="X10">
        <v>79.900000000000006</v>
      </c>
      <c r="Y10">
        <v>189.9</v>
      </c>
      <c r="Z10">
        <v>0</v>
      </c>
      <c r="AA10">
        <v>17.100000000000001</v>
      </c>
      <c r="AJ10" t="s">
        <v>228</v>
      </c>
      <c r="AL10" t="s">
        <v>368</v>
      </c>
      <c r="AN10" t="s">
        <v>368</v>
      </c>
      <c r="AP10">
        <v>339.8</v>
      </c>
      <c r="AQ10">
        <v>0</v>
      </c>
      <c r="AR10">
        <v>0</v>
      </c>
      <c r="AY10" t="s">
        <v>323</v>
      </c>
    </row>
    <row r="11" spans="1:51" x14ac:dyDescent="0.25">
      <c r="C11" t="s">
        <v>311</v>
      </c>
      <c r="D11" t="s">
        <v>312</v>
      </c>
      <c r="E11" t="s">
        <v>313</v>
      </c>
      <c r="F11">
        <v>20</v>
      </c>
      <c r="G11">
        <v>25</v>
      </c>
      <c r="H11" t="s">
        <v>322</v>
      </c>
      <c r="M11" t="b">
        <v>1</v>
      </c>
      <c r="O11" t="b">
        <v>1</v>
      </c>
      <c r="V11">
        <v>70</v>
      </c>
      <c r="X11">
        <v>94.9</v>
      </c>
      <c r="Y11">
        <v>189.9</v>
      </c>
      <c r="Z11">
        <v>0</v>
      </c>
      <c r="AA11">
        <v>20.6</v>
      </c>
      <c r="AJ11" t="s">
        <v>228</v>
      </c>
      <c r="AL11" t="s">
        <v>374</v>
      </c>
      <c r="AN11" t="s">
        <v>374</v>
      </c>
      <c r="AP11">
        <v>354.8</v>
      </c>
      <c r="AQ11">
        <v>0</v>
      </c>
      <c r="AR11">
        <v>0</v>
      </c>
      <c r="AY11" t="s">
        <v>347</v>
      </c>
    </row>
    <row r="12" spans="1:51" x14ac:dyDescent="0.25">
      <c r="C12" t="s">
        <v>311</v>
      </c>
      <c r="D12" t="s">
        <v>312</v>
      </c>
      <c r="E12" t="s">
        <v>313</v>
      </c>
      <c r="F12">
        <v>30</v>
      </c>
      <c r="G12">
        <v>35</v>
      </c>
      <c r="H12" t="s">
        <v>322</v>
      </c>
      <c r="M12" t="b">
        <v>1</v>
      </c>
      <c r="O12" t="b">
        <v>1</v>
      </c>
      <c r="V12">
        <v>70</v>
      </c>
      <c r="X12">
        <v>69.900000000000006</v>
      </c>
      <c r="Y12">
        <v>189.9</v>
      </c>
      <c r="Z12">
        <v>0</v>
      </c>
      <c r="AA12">
        <v>20.6</v>
      </c>
      <c r="AJ12" t="s">
        <v>228</v>
      </c>
      <c r="AL12" t="s">
        <v>374</v>
      </c>
      <c r="AN12" t="s">
        <v>374</v>
      </c>
      <c r="AP12">
        <v>329.8</v>
      </c>
      <c r="AQ12">
        <v>0</v>
      </c>
      <c r="AR12">
        <v>0</v>
      </c>
      <c r="AY12" t="s">
        <v>353</v>
      </c>
    </row>
    <row r="13" spans="1:51" x14ac:dyDescent="0.25">
      <c r="C13" t="s">
        <v>311</v>
      </c>
      <c r="D13" t="s">
        <v>312</v>
      </c>
      <c r="E13" t="s">
        <v>313</v>
      </c>
      <c r="F13">
        <v>5</v>
      </c>
      <c r="G13">
        <v>15</v>
      </c>
      <c r="H13" t="s">
        <v>322</v>
      </c>
      <c r="M13" t="b">
        <v>1</v>
      </c>
      <c r="O13" t="b">
        <v>1</v>
      </c>
      <c r="V13">
        <v>70</v>
      </c>
      <c r="X13">
        <v>84.9</v>
      </c>
      <c r="Y13">
        <v>189.9</v>
      </c>
      <c r="Z13">
        <v>0</v>
      </c>
      <c r="AA13">
        <v>20.6</v>
      </c>
      <c r="AJ13" t="s">
        <v>228</v>
      </c>
      <c r="AL13" t="s">
        <v>374</v>
      </c>
      <c r="AN13" t="s">
        <v>374</v>
      </c>
      <c r="AP13">
        <v>344.8</v>
      </c>
      <c r="AQ13">
        <v>0</v>
      </c>
      <c r="AR13">
        <v>0</v>
      </c>
      <c r="AY13" t="s">
        <v>341</v>
      </c>
    </row>
    <row r="14" spans="1:51" x14ac:dyDescent="0.25">
      <c r="C14" t="s">
        <v>311</v>
      </c>
      <c r="D14" t="s">
        <v>312</v>
      </c>
      <c r="E14" t="s">
        <v>313</v>
      </c>
      <c r="F14">
        <v>0.3</v>
      </c>
      <c r="G14">
        <v>2</v>
      </c>
      <c r="H14" t="s">
        <v>324</v>
      </c>
      <c r="M14" t="b">
        <v>1</v>
      </c>
      <c r="O14" t="b">
        <v>1</v>
      </c>
      <c r="V14">
        <v>70</v>
      </c>
      <c r="X14">
        <v>79.900000000000006</v>
      </c>
      <c r="Y14">
        <v>179.9</v>
      </c>
      <c r="Z14">
        <v>0</v>
      </c>
      <c r="AA14">
        <v>17.100000000000001</v>
      </c>
      <c r="AJ14" t="s">
        <v>228</v>
      </c>
      <c r="AL14" t="s">
        <v>368</v>
      </c>
      <c r="AN14" t="s">
        <v>368</v>
      </c>
      <c r="AP14">
        <v>329.8</v>
      </c>
      <c r="AQ14">
        <v>0</v>
      </c>
      <c r="AR14">
        <v>0</v>
      </c>
      <c r="AY14" t="s">
        <v>325</v>
      </c>
    </row>
    <row r="15" spans="1:51" x14ac:dyDescent="0.25">
      <c r="C15" t="s">
        <v>311</v>
      </c>
      <c r="D15" t="s">
        <v>312</v>
      </c>
      <c r="E15" t="s">
        <v>313</v>
      </c>
      <c r="F15">
        <v>20</v>
      </c>
      <c r="G15">
        <v>25</v>
      </c>
      <c r="H15" t="s">
        <v>324</v>
      </c>
      <c r="M15" t="b">
        <v>1</v>
      </c>
      <c r="O15" t="b">
        <v>1</v>
      </c>
      <c r="V15">
        <v>70</v>
      </c>
      <c r="X15">
        <v>94.9</v>
      </c>
      <c r="Y15">
        <v>179.9</v>
      </c>
      <c r="Z15">
        <v>0</v>
      </c>
      <c r="AA15">
        <v>20.6</v>
      </c>
      <c r="AJ15" t="s">
        <v>228</v>
      </c>
      <c r="AL15" t="s">
        <v>374</v>
      </c>
      <c r="AN15" t="s">
        <v>374</v>
      </c>
      <c r="AP15">
        <v>344.8</v>
      </c>
      <c r="AQ15">
        <v>0</v>
      </c>
      <c r="AR15">
        <v>0</v>
      </c>
      <c r="AY15" t="s">
        <v>348</v>
      </c>
    </row>
    <row r="16" spans="1:51" x14ac:dyDescent="0.25">
      <c r="C16" t="s">
        <v>311</v>
      </c>
      <c r="D16" t="s">
        <v>312</v>
      </c>
      <c r="E16" t="s">
        <v>313</v>
      </c>
      <c r="F16">
        <v>30</v>
      </c>
      <c r="G16">
        <v>35</v>
      </c>
      <c r="H16" t="s">
        <v>324</v>
      </c>
      <c r="M16" t="b">
        <v>1</v>
      </c>
      <c r="O16" t="b">
        <v>1</v>
      </c>
      <c r="V16">
        <v>70</v>
      </c>
      <c r="X16">
        <v>69.900000000000006</v>
      </c>
      <c r="Y16">
        <v>179.9</v>
      </c>
      <c r="Z16">
        <v>0</v>
      </c>
      <c r="AA16">
        <v>20.6</v>
      </c>
      <c r="AJ16" t="s">
        <v>228</v>
      </c>
      <c r="AL16" t="s">
        <v>374</v>
      </c>
      <c r="AN16" t="s">
        <v>374</v>
      </c>
      <c r="AP16">
        <v>319.8</v>
      </c>
      <c r="AQ16">
        <v>0</v>
      </c>
      <c r="AR16">
        <v>0</v>
      </c>
      <c r="AY16" t="s">
        <v>354</v>
      </c>
    </row>
    <row r="17" spans="3:51" x14ac:dyDescent="0.25">
      <c r="C17" t="s">
        <v>311</v>
      </c>
      <c r="D17" t="s">
        <v>312</v>
      </c>
      <c r="E17" t="s">
        <v>313</v>
      </c>
      <c r="F17">
        <v>5</v>
      </c>
      <c r="G17">
        <v>15</v>
      </c>
      <c r="H17" t="s">
        <v>324</v>
      </c>
      <c r="M17" t="b">
        <v>1</v>
      </c>
      <c r="O17" t="b">
        <v>1</v>
      </c>
      <c r="V17">
        <v>70</v>
      </c>
      <c r="X17">
        <v>84.9</v>
      </c>
      <c r="Y17">
        <v>179.9</v>
      </c>
      <c r="Z17">
        <v>0</v>
      </c>
      <c r="AA17">
        <v>20.6</v>
      </c>
      <c r="AJ17" t="s">
        <v>228</v>
      </c>
      <c r="AL17" t="s">
        <v>374</v>
      </c>
      <c r="AN17" t="s">
        <v>374</v>
      </c>
      <c r="AP17">
        <v>334.8</v>
      </c>
      <c r="AQ17">
        <v>0</v>
      </c>
      <c r="AR17">
        <v>0</v>
      </c>
      <c r="AY17" t="s">
        <v>342</v>
      </c>
    </row>
    <row r="18" spans="3:51" x14ac:dyDescent="0.25">
      <c r="C18" t="s">
        <v>311</v>
      </c>
      <c r="D18" t="s">
        <v>312</v>
      </c>
      <c r="E18" t="s">
        <v>313</v>
      </c>
      <c r="F18">
        <v>0.3</v>
      </c>
      <c r="G18">
        <v>2</v>
      </c>
      <c r="H18" t="s">
        <v>318</v>
      </c>
      <c r="M18" t="b">
        <v>1</v>
      </c>
      <c r="O18" t="b">
        <v>1</v>
      </c>
      <c r="V18">
        <v>70</v>
      </c>
      <c r="X18">
        <v>79.900000000000006</v>
      </c>
      <c r="Y18">
        <v>144.9</v>
      </c>
      <c r="Z18">
        <v>0</v>
      </c>
      <c r="AA18">
        <v>17.100000000000001</v>
      </c>
      <c r="AJ18" t="s">
        <v>228</v>
      </c>
      <c r="AL18" t="s">
        <v>368</v>
      </c>
      <c r="AN18" t="s">
        <v>368</v>
      </c>
      <c r="AP18">
        <v>294.8</v>
      </c>
      <c r="AQ18">
        <v>0</v>
      </c>
      <c r="AR18">
        <v>0</v>
      </c>
      <c r="AY18" t="s">
        <v>319</v>
      </c>
    </row>
    <row r="19" spans="3:51" x14ac:dyDescent="0.25">
      <c r="C19" t="s">
        <v>311</v>
      </c>
      <c r="D19" t="s">
        <v>312</v>
      </c>
      <c r="E19" t="s">
        <v>313</v>
      </c>
      <c r="F19">
        <v>20</v>
      </c>
      <c r="G19">
        <v>25</v>
      </c>
      <c r="H19" t="s">
        <v>318</v>
      </c>
      <c r="M19" t="b">
        <v>1</v>
      </c>
      <c r="O19" t="b">
        <v>1</v>
      </c>
      <c r="V19">
        <v>70</v>
      </c>
      <c r="X19">
        <v>94.9</v>
      </c>
      <c r="Y19">
        <v>144.9</v>
      </c>
      <c r="Z19">
        <v>0</v>
      </c>
      <c r="AA19">
        <v>20.6</v>
      </c>
      <c r="AJ19" t="s">
        <v>228</v>
      </c>
      <c r="AL19" t="s">
        <v>374</v>
      </c>
      <c r="AN19" t="s">
        <v>374</v>
      </c>
      <c r="AP19">
        <v>309.8</v>
      </c>
      <c r="AQ19">
        <v>0</v>
      </c>
      <c r="AR19">
        <v>0</v>
      </c>
      <c r="AY19" t="s">
        <v>345</v>
      </c>
    </row>
    <row r="20" spans="3:51" x14ac:dyDescent="0.25">
      <c r="C20" t="s">
        <v>311</v>
      </c>
      <c r="D20" t="s">
        <v>312</v>
      </c>
      <c r="E20" t="s">
        <v>313</v>
      </c>
      <c r="F20">
        <v>30</v>
      </c>
      <c r="G20">
        <v>35</v>
      </c>
      <c r="H20" t="s">
        <v>318</v>
      </c>
      <c r="M20" t="b">
        <v>1</v>
      </c>
      <c r="O20" t="b">
        <v>1</v>
      </c>
      <c r="V20">
        <v>70</v>
      </c>
      <c r="X20">
        <v>69.900000000000006</v>
      </c>
      <c r="Y20">
        <v>144.9</v>
      </c>
      <c r="Z20">
        <v>0</v>
      </c>
      <c r="AA20">
        <v>20.6</v>
      </c>
      <c r="AJ20" t="s">
        <v>228</v>
      </c>
      <c r="AL20" t="s">
        <v>374</v>
      </c>
      <c r="AN20" t="s">
        <v>374</v>
      </c>
      <c r="AP20">
        <v>284.8</v>
      </c>
      <c r="AQ20">
        <v>0</v>
      </c>
      <c r="AR20">
        <v>0</v>
      </c>
      <c r="AY20" t="s">
        <v>351</v>
      </c>
    </row>
    <row r="21" spans="3:51" x14ac:dyDescent="0.25">
      <c r="C21" t="s">
        <v>311</v>
      </c>
      <c r="D21" t="s">
        <v>312</v>
      </c>
      <c r="E21" t="s">
        <v>313</v>
      </c>
      <c r="F21">
        <v>5</v>
      </c>
      <c r="G21">
        <v>15</v>
      </c>
      <c r="H21" t="s">
        <v>318</v>
      </c>
      <c r="M21" t="b">
        <v>1</v>
      </c>
      <c r="O21" t="b">
        <v>1</v>
      </c>
      <c r="V21">
        <v>70</v>
      </c>
      <c r="X21">
        <v>84.9</v>
      </c>
      <c r="Y21">
        <v>144.9</v>
      </c>
      <c r="Z21">
        <v>0</v>
      </c>
      <c r="AA21">
        <v>20.6</v>
      </c>
      <c r="AJ21" t="s">
        <v>228</v>
      </c>
      <c r="AL21" t="s">
        <v>374</v>
      </c>
      <c r="AN21" t="s">
        <v>374</v>
      </c>
      <c r="AP21">
        <v>299.8</v>
      </c>
      <c r="AQ21">
        <v>0</v>
      </c>
      <c r="AR21">
        <v>0</v>
      </c>
      <c r="AY21" t="s">
        <v>339</v>
      </c>
    </row>
    <row r="22" spans="3:51" x14ac:dyDescent="0.25">
      <c r="C22" t="s">
        <v>311</v>
      </c>
      <c r="D22" t="s">
        <v>312</v>
      </c>
      <c r="E22" t="s">
        <v>313</v>
      </c>
      <c r="F22">
        <v>0.3</v>
      </c>
      <c r="G22">
        <v>2</v>
      </c>
      <c r="H22" t="s">
        <v>316</v>
      </c>
      <c r="M22" t="b">
        <v>1</v>
      </c>
      <c r="O22" t="b">
        <v>1</v>
      </c>
      <c r="V22">
        <v>70</v>
      </c>
      <c r="X22">
        <v>79.900000000000006</v>
      </c>
      <c r="Y22">
        <v>109.9</v>
      </c>
      <c r="Z22">
        <v>0</v>
      </c>
      <c r="AA22">
        <v>17.100000000000001</v>
      </c>
      <c r="AJ22" t="s">
        <v>227</v>
      </c>
      <c r="AL22" t="s">
        <v>367</v>
      </c>
      <c r="AN22" t="s">
        <v>367</v>
      </c>
      <c r="AP22">
        <v>259.8</v>
      </c>
      <c r="AQ22">
        <v>0</v>
      </c>
      <c r="AR22">
        <v>0</v>
      </c>
      <c r="AY22" t="s">
        <v>317</v>
      </c>
    </row>
    <row r="23" spans="3:51" x14ac:dyDescent="0.25">
      <c r="C23" t="s">
        <v>311</v>
      </c>
      <c r="D23" t="s">
        <v>312</v>
      </c>
      <c r="E23" t="s">
        <v>313</v>
      </c>
      <c r="F23">
        <v>20</v>
      </c>
      <c r="G23">
        <v>25</v>
      </c>
      <c r="H23" t="s">
        <v>316</v>
      </c>
      <c r="M23" t="b">
        <v>1</v>
      </c>
      <c r="O23" t="b">
        <v>1</v>
      </c>
      <c r="V23">
        <v>70</v>
      </c>
      <c r="X23">
        <v>94.9</v>
      </c>
      <c r="Y23">
        <v>109.9</v>
      </c>
      <c r="Z23">
        <v>0</v>
      </c>
      <c r="AA23">
        <v>20.6</v>
      </c>
      <c r="AJ23" t="s">
        <v>227</v>
      </c>
      <c r="AL23" t="s">
        <v>373</v>
      </c>
      <c r="AN23" t="s">
        <v>373</v>
      </c>
      <c r="AP23">
        <v>274.8</v>
      </c>
      <c r="AQ23">
        <v>0</v>
      </c>
      <c r="AR23">
        <v>0</v>
      </c>
      <c r="AY23" t="s">
        <v>338</v>
      </c>
    </row>
    <row r="24" spans="3:51" x14ac:dyDescent="0.25">
      <c r="C24" t="s">
        <v>311</v>
      </c>
      <c r="D24" t="s">
        <v>312</v>
      </c>
      <c r="E24" t="s">
        <v>313</v>
      </c>
      <c r="F24">
        <v>5</v>
      </c>
      <c r="G24">
        <v>15</v>
      </c>
      <c r="H24" t="s">
        <v>316</v>
      </c>
      <c r="M24" t="b">
        <v>1</v>
      </c>
      <c r="O24" t="b">
        <v>1</v>
      </c>
      <c r="V24">
        <v>70</v>
      </c>
      <c r="X24">
        <v>84.9</v>
      </c>
      <c r="Y24">
        <v>109.9</v>
      </c>
      <c r="Z24">
        <v>0</v>
      </c>
      <c r="AA24">
        <v>20.6</v>
      </c>
      <c r="AJ24" t="s">
        <v>227</v>
      </c>
      <c r="AL24" t="s">
        <v>373</v>
      </c>
      <c r="AN24" t="s">
        <v>373</v>
      </c>
      <c r="AP24">
        <v>264.8</v>
      </c>
      <c r="AQ24">
        <v>0</v>
      </c>
      <c r="AR24">
        <v>0</v>
      </c>
      <c r="AY24" t="s">
        <v>337</v>
      </c>
    </row>
    <row r="25" spans="3:51" x14ac:dyDescent="0.25">
      <c r="C25" t="s">
        <v>311</v>
      </c>
      <c r="D25" t="s">
        <v>312</v>
      </c>
      <c r="E25" t="s">
        <v>313</v>
      </c>
      <c r="F25">
        <v>0.3</v>
      </c>
      <c r="G25">
        <v>2</v>
      </c>
      <c r="H25" t="s">
        <v>326</v>
      </c>
      <c r="M25" t="b">
        <v>1</v>
      </c>
      <c r="O25" t="b">
        <v>1</v>
      </c>
      <c r="V25">
        <v>70</v>
      </c>
      <c r="X25">
        <v>79.900000000000006</v>
      </c>
      <c r="Y25">
        <v>189.9</v>
      </c>
      <c r="Z25">
        <v>0</v>
      </c>
      <c r="AA25">
        <v>17.100000000000001</v>
      </c>
      <c r="AJ25" t="s">
        <v>228</v>
      </c>
      <c r="AL25" t="s">
        <v>368</v>
      </c>
      <c r="AN25" t="s">
        <v>368</v>
      </c>
      <c r="AP25">
        <v>339.8</v>
      </c>
      <c r="AQ25">
        <v>0</v>
      </c>
      <c r="AR25">
        <v>0</v>
      </c>
      <c r="AY25" t="s">
        <v>327</v>
      </c>
    </row>
    <row r="26" spans="3:51" x14ac:dyDescent="0.25">
      <c r="C26" t="s">
        <v>311</v>
      </c>
      <c r="D26" t="s">
        <v>312</v>
      </c>
      <c r="E26" t="s">
        <v>313</v>
      </c>
      <c r="F26">
        <v>20</v>
      </c>
      <c r="G26">
        <v>25</v>
      </c>
      <c r="H26" t="s">
        <v>326</v>
      </c>
      <c r="M26" t="b">
        <v>1</v>
      </c>
      <c r="O26" t="b">
        <v>1</v>
      </c>
      <c r="V26">
        <v>70</v>
      </c>
      <c r="X26">
        <v>94.9</v>
      </c>
      <c r="Y26">
        <v>189.9</v>
      </c>
      <c r="Z26">
        <v>0</v>
      </c>
      <c r="AA26">
        <v>20.6</v>
      </c>
      <c r="AJ26" t="s">
        <v>228</v>
      </c>
      <c r="AL26" t="s">
        <v>374</v>
      </c>
      <c r="AN26" t="s">
        <v>374</v>
      </c>
      <c r="AP26">
        <v>354.8</v>
      </c>
      <c r="AQ26">
        <v>0</v>
      </c>
      <c r="AR26">
        <v>0</v>
      </c>
      <c r="AY26" t="s">
        <v>349</v>
      </c>
    </row>
    <row r="27" spans="3:51" x14ac:dyDescent="0.25">
      <c r="C27" t="s">
        <v>311</v>
      </c>
      <c r="D27" t="s">
        <v>312</v>
      </c>
      <c r="E27" t="s">
        <v>313</v>
      </c>
      <c r="F27">
        <v>30</v>
      </c>
      <c r="G27">
        <v>35</v>
      </c>
      <c r="H27" t="s">
        <v>326</v>
      </c>
      <c r="M27" t="b">
        <v>1</v>
      </c>
      <c r="O27" t="b">
        <v>1</v>
      </c>
      <c r="V27">
        <v>70</v>
      </c>
      <c r="X27">
        <v>69.900000000000006</v>
      </c>
      <c r="Y27">
        <v>189.9</v>
      </c>
      <c r="Z27">
        <v>0</v>
      </c>
      <c r="AA27">
        <v>20.6</v>
      </c>
      <c r="AJ27" t="s">
        <v>228</v>
      </c>
      <c r="AL27" t="s">
        <v>374</v>
      </c>
      <c r="AN27" t="s">
        <v>374</v>
      </c>
      <c r="AP27">
        <v>329.8</v>
      </c>
      <c r="AQ27">
        <v>0</v>
      </c>
      <c r="AR27">
        <v>0</v>
      </c>
      <c r="AY27" t="s">
        <v>355</v>
      </c>
    </row>
    <row r="28" spans="3:51" x14ac:dyDescent="0.25">
      <c r="C28" t="s">
        <v>311</v>
      </c>
      <c r="D28" t="s">
        <v>312</v>
      </c>
      <c r="E28" t="s">
        <v>313</v>
      </c>
      <c r="F28">
        <v>5</v>
      </c>
      <c r="G28">
        <v>15</v>
      </c>
      <c r="H28" t="s">
        <v>326</v>
      </c>
      <c r="M28" t="b">
        <v>1</v>
      </c>
      <c r="O28" t="b">
        <v>1</v>
      </c>
      <c r="V28">
        <v>70</v>
      </c>
      <c r="X28">
        <v>84.9</v>
      </c>
      <c r="Y28">
        <v>189.9</v>
      </c>
      <c r="Z28">
        <v>0</v>
      </c>
      <c r="AA28">
        <v>20.6</v>
      </c>
      <c r="AJ28" t="s">
        <v>228</v>
      </c>
      <c r="AL28" t="s">
        <v>374</v>
      </c>
      <c r="AN28" t="s">
        <v>374</v>
      </c>
      <c r="AP28">
        <v>344.8</v>
      </c>
      <c r="AQ28">
        <v>0</v>
      </c>
      <c r="AR28">
        <v>0</v>
      </c>
      <c r="AY28" t="s">
        <v>343</v>
      </c>
    </row>
    <row r="29" spans="3:51" x14ac:dyDescent="0.25">
      <c r="C29" t="s">
        <v>311</v>
      </c>
      <c r="D29" t="s">
        <v>312</v>
      </c>
      <c r="E29" t="s">
        <v>313</v>
      </c>
      <c r="F29">
        <v>0.3</v>
      </c>
      <c r="G29">
        <v>2</v>
      </c>
      <c r="H29" t="s">
        <v>320</v>
      </c>
      <c r="M29" t="b">
        <v>1</v>
      </c>
      <c r="O29" t="b">
        <v>1</v>
      </c>
      <c r="V29">
        <v>70</v>
      </c>
      <c r="X29">
        <v>79.900000000000006</v>
      </c>
      <c r="Y29">
        <v>154.9</v>
      </c>
      <c r="Z29">
        <v>0</v>
      </c>
      <c r="AA29">
        <v>17.100000000000001</v>
      </c>
      <c r="AJ29" t="s">
        <v>228</v>
      </c>
      <c r="AL29" t="s">
        <v>368</v>
      </c>
      <c r="AN29" t="s">
        <v>368</v>
      </c>
      <c r="AP29">
        <v>304.8</v>
      </c>
      <c r="AQ29">
        <v>0</v>
      </c>
      <c r="AR29">
        <v>0</v>
      </c>
      <c r="AY29" t="s">
        <v>321</v>
      </c>
    </row>
    <row r="30" spans="3:51" x14ac:dyDescent="0.25">
      <c r="C30" t="s">
        <v>311</v>
      </c>
      <c r="D30" t="s">
        <v>312</v>
      </c>
      <c r="E30" t="s">
        <v>313</v>
      </c>
      <c r="F30">
        <v>20</v>
      </c>
      <c r="G30">
        <v>25</v>
      </c>
      <c r="H30" t="s">
        <v>320</v>
      </c>
      <c r="M30" t="b">
        <v>1</v>
      </c>
      <c r="O30" t="b">
        <v>1</v>
      </c>
      <c r="V30">
        <v>70</v>
      </c>
      <c r="X30">
        <v>94.9</v>
      </c>
      <c r="Y30">
        <v>154.9</v>
      </c>
      <c r="Z30">
        <v>0</v>
      </c>
      <c r="AA30">
        <v>20.6</v>
      </c>
      <c r="AJ30" t="s">
        <v>228</v>
      </c>
      <c r="AL30" t="s">
        <v>374</v>
      </c>
      <c r="AN30" t="s">
        <v>374</v>
      </c>
      <c r="AP30">
        <v>319.8</v>
      </c>
      <c r="AQ30">
        <v>0</v>
      </c>
      <c r="AR30">
        <v>0</v>
      </c>
      <c r="AY30" t="s">
        <v>346</v>
      </c>
    </row>
    <row r="31" spans="3:51" x14ac:dyDescent="0.25">
      <c r="C31" t="s">
        <v>311</v>
      </c>
      <c r="D31" t="s">
        <v>312</v>
      </c>
      <c r="E31" t="s">
        <v>313</v>
      </c>
      <c r="F31">
        <v>30</v>
      </c>
      <c r="G31">
        <v>35</v>
      </c>
      <c r="H31" t="s">
        <v>320</v>
      </c>
      <c r="M31" t="b">
        <v>1</v>
      </c>
      <c r="O31" t="b">
        <v>1</v>
      </c>
      <c r="V31">
        <v>70</v>
      </c>
      <c r="X31">
        <v>69.900000000000006</v>
      </c>
      <c r="Y31">
        <v>154.9</v>
      </c>
      <c r="Z31">
        <v>0</v>
      </c>
      <c r="AA31">
        <v>20.6</v>
      </c>
      <c r="AJ31" t="s">
        <v>228</v>
      </c>
      <c r="AL31" t="s">
        <v>374</v>
      </c>
      <c r="AN31" t="s">
        <v>374</v>
      </c>
      <c r="AP31">
        <v>294.8</v>
      </c>
      <c r="AQ31">
        <v>0</v>
      </c>
      <c r="AR31">
        <v>0</v>
      </c>
      <c r="AY31" t="s">
        <v>352</v>
      </c>
    </row>
    <row r="32" spans="3:51" x14ac:dyDescent="0.25">
      <c r="C32" t="s">
        <v>311</v>
      </c>
      <c r="D32" t="s">
        <v>312</v>
      </c>
      <c r="E32" t="s">
        <v>313</v>
      </c>
      <c r="F32">
        <v>5</v>
      </c>
      <c r="G32">
        <v>15</v>
      </c>
      <c r="H32" t="s">
        <v>320</v>
      </c>
      <c r="M32" t="b">
        <v>1</v>
      </c>
      <c r="O32" t="b">
        <v>1</v>
      </c>
      <c r="V32">
        <v>70</v>
      </c>
      <c r="X32">
        <v>84.9</v>
      </c>
      <c r="Y32">
        <v>154.9</v>
      </c>
      <c r="Z32">
        <v>0</v>
      </c>
      <c r="AA32">
        <v>20.6</v>
      </c>
      <c r="AJ32" t="s">
        <v>228</v>
      </c>
      <c r="AL32" t="s">
        <v>374</v>
      </c>
      <c r="AN32" t="s">
        <v>374</v>
      </c>
      <c r="AP32">
        <v>309.8</v>
      </c>
      <c r="AQ32">
        <v>0</v>
      </c>
      <c r="AR32">
        <v>0</v>
      </c>
      <c r="AY32" t="s">
        <v>340</v>
      </c>
    </row>
    <row r="33" spans="1:51" x14ac:dyDescent="0.25">
      <c r="A33" s="221"/>
      <c r="B33" s="221"/>
      <c r="C33" s="221" t="s">
        <v>311</v>
      </c>
      <c r="D33" s="221" t="s">
        <v>312</v>
      </c>
      <c r="E33" s="221" t="s">
        <v>313</v>
      </c>
      <c r="F33" s="221">
        <v>0.3</v>
      </c>
      <c r="G33" s="221">
        <v>2</v>
      </c>
      <c r="H33" s="221" t="s">
        <v>314</v>
      </c>
      <c r="I33" s="221"/>
      <c r="J33" s="221"/>
      <c r="K33" s="221"/>
      <c r="L33" s="221"/>
      <c r="M33" s="221" t="b">
        <v>1</v>
      </c>
      <c r="N33" s="221"/>
      <c r="O33" s="221" t="b">
        <v>1</v>
      </c>
      <c r="V33">
        <v>70</v>
      </c>
      <c r="X33">
        <v>79.900000000000006</v>
      </c>
      <c r="Y33">
        <v>90.9</v>
      </c>
      <c r="Z33">
        <v>24.9</v>
      </c>
      <c r="AA33">
        <v>17.100000000000001</v>
      </c>
      <c r="AJ33" t="s">
        <v>3</v>
      </c>
      <c r="AL33" t="s">
        <v>366</v>
      </c>
      <c r="AN33" t="s">
        <v>366</v>
      </c>
      <c r="AP33">
        <v>240.8</v>
      </c>
      <c r="AQ33">
        <v>0</v>
      </c>
      <c r="AR33">
        <v>0</v>
      </c>
      <c r="AY33" t="s">
        <v>315</v>
      </c>
    </row>
    <row r="34" spans="1:51" x14ac:dyDescent="0.25">
      <c r="C34" t="s">
        <v>311</v>
      </c>
      <c r="D34" t="s">
        <v>312</v>
      </c>
      <c r="E34" t="s">
        <v>313</v>
      </c>
      <c r="F34">
        <v>5</v>
      </c>
      <c r="G34">
        <v>15</v>
      </c>
      <c r="H34" t="s">
        <v>314</v>
      </c>
      <c r="M34" t="b">
        <v>1</v>
      </c>
      <c r="O34" t="b">
        <v>1</v>
      </c>
      <c r="V34">
        <v>70</v>
      </c>
      <c r="X34">
        <v>84.9</v>
      </c>
      <c r="Y34">
        <v>90.9</v>
      </c>
      <c r="Z34">
        <v>24.9</v>
      </c>
      <c r="AA34">
        <v>20.6</v>
      </c>
      <c r="AJ34" t="s">
        <v>3</v>
      </c>
      <c r="AL34" t="s">
        <v>372</v>
      </c>
      <c r="AN34" t="s">
        <v>372</v>
      </c>
      <c r="AP34">
        <v>245.8</v>
      </c>
      <c r="AQ34">
        <v>0</v>
      </c>
      <c r="AR34">
        <v>0</v>
      </c>
      <c r="AY34" t="s">
        <v>336</v>
      </c>
    </row>
    <row r="35" spans="1:51" x14ac:dyDescent="0.25">
      <c r="C35" t="s">
        <v>311</v>
      </c>
      <c r="D35" t="s">
        <v>312</v>
      </c>
      <c r="E35" t="s">
        <v>313</v>
      </c>
      <c r="F35">
        <v>0.3</v>
      </c>
      <c r="G35">
        <v>2</v>
      </c>
      <c r="H35" t="s">
        <v>334</v>
      </c>
      <c r="M35" t="b">
        <v>1</v>
      </c>
      <c r="O35" t="b">
        <v>1</v>
      </c>
      <c r="V35">
        <v>70</v>
      </c>
      <c r="X35">
        <v>79.900000000000006</v>
      </c>
      <c r="Y35">
        <v>249.9</v>
      </c>
      <c r="Z35">
        <v>0</v>
      </c>
      <c r="AA35">
        <v>17.100000000000001</v>
      </c>
      <c r="AJ35" t="s">
        <v>228</v>
      </c>
      <c r="AL35" t="s">
        <v>371</v>
      </c>
      <c r="AN35" t="s">
        <v>371</v>
      </c>
      <c r="AP35">
        <v>399.8</v>
      </c>
      <c r="AQ35">
        <v>0</v>
      </c>
      <c r="AR35">
        <v>0</v>
      </c>
      <c r="AY35" t="s">
        <v>335</v>
      </c>
    </row>
    <row r="36" spans="1:51" x14ac:dyDescent="0.25">
      <c r="C36" t="s">
        <v>311</v>
      </c>
      <c r="D36" t="s">
        <v>312</v>
      </c>
      <c r="E36" t="s">
        <v>313</v>
      </c>
      <c r="F36">
        <v>20</v>
      </c>
      <c r="G36">
        <v>25</v>
      </c>
      <c r="H36" t="s">
        <v>334</v>
      </c>
      <c r="M36" t="b">
        <v>1</v>
      </c>
      <c r="O36" t="b">
        <v>1</v>
      </c>
      <c r="V36">
        <v>70</v>
      </c>
      <c r="X36">
        <v>94.9</v>
      </c>
      <c r="Y36">
        <v>249.9</v>
      </c>
      <c r="Z36">
        <v>0</v>
      </c>
      <c r="AA36">
        <v>20.6</v>
      </c>
      <c r="AJ36" t="s">
        <v>228</v>
      </c>
      <c r="AL36" t="s">
        <v>377</v>
      </c>
      <c r="AN36" t="s">
        <v>377</v>
      </c>
      <c r="AP36">
        <v>414.8</v>
      </c>
      <c r="AQ36">
        <v>0</v>
      </c>
      <c r="AR36">
        <v>0</v>
      </c>
      <c r="AY36" t="s">
        <v>363</v>
      </c>
    </row>
    <row r="37" spans="1:51" x14ac:dyDescent="0.25">
      <c r="C37" t="s">
        <v>311</v>
      </c>
      <c r="D37" t="s">
        <v>312</v>
      </c>
      <c r="E37" t="s">
        <v>313</v>
      </c>
      <c r="F37">
        <v>30</v>
      </c>
      <c r="G37">
        <v>35</v>
      </c>
      <c r="H37" t="s">
        <v>334</v>
      </c>
      <c r="M37" t="b">
        <v>1</v>
      </c>
      <c r="O37" t="b">
        <v>1</v>
      </c>
      <c r="V37">
        <v>70</v>
      </c>
      <c r="X37">
        <v>69.900000000000006</v>
      </c>
      <c r="Y37">
        <v>249.9</v>
      </c>
      <c r="Z37">
        <v>0</v>
      </c>
      <c r="AA37">
        <v>20.6</v>
      </c>
      <c r="AJ37" t="s">
        <v>228</v>
      </c>
      <c r="AL37" t="s">
        <v>377</v>
      </c>
      <c r="AN37" t="s">
        <v>377</v>
      </c>
      <c r="AP37">
        <v>389.8</v>
      </c>
      <c r="AQ37">
        <v>0</v>
      </c>
      <c r="AR37">
        <v>0</v>
      </c>
      <c r="AY37" t="s">
        <v>364</v>
      </c>
    </row>
    <row r="38" spans="1:51" x14ac:dyDescent="0.25">
      <c r="C38" t="s">
        <v>311</v>
      </c>
      <c r="D38" t="s">
        <v>312</v>
      </c>
      <c r="E38" t="s">
        <v>313</v>
      </c>
      <c r="F38">
        <v>5</v>
      </c>
      <c r="G38">
        <v>15</v>
      </c>
      <c r="H38" t="s">
        <v>334</v>
      </c>
      <c r="M38" t="b">
        <v>1</v>
      </c>
      <c r="O38" t="b">
        <v>1</v>
      </c>
      <c r="V38">
        <v>70</v>
      </c>
      <c r="X38">
        <v>84.9</v>
      </c>
      <c r="Y38">
        <v>249.9</v>
      </c>
      <c r="Z38">
        <v>0</v>
      </c>
      <c r="AA38">
        <v>20.6</v>
      </c>
      <c r="AJ38" t="s">
        <v>228</v>
      </c>
      <c r="AL38" t="s">
        <v>377</v>
      </c>
      <c r="AN38" t="s">
        <v>377</v>
      </c>
      <c r="AP38">
        <v>404.8</v>
      </c>
      <c r="AQ38">
        <v>0</v>
      </c>
      <c r="AR38">
        <v>0</v>
      </c>
      <c r="AY38" t="s">
        <v>365</v>
      </c>
    </row>
    <row r="39" spans="1:51" x14ac:dyDescent="0.25">
      <c r="C39" t="s">
        <v>311</v>
      </c>
      <c r="D39" t="s">
        <v>312</v>
      </c>
      <c r="E39" t="s">
        <v>313</v>
      </c>
      <c r="F39">
        <v>0.3</v>
      </c>
      <c r="G39">
        <v>2</v>
      </c>
      <c r="H39" t="s">
        <v>330</v>
      </c>
      <c r="M39" t="b">
        <v>1</v>
      </c>
      <c r="O39" t="b">
        <v>1</v>
      </c>
      <c r="V39">
        <v>70</v>
      </c>
      <c r="X39">
        <v>79.900000000000006</v>
      </c>
      <c r="Y39">
        <v>214.9</v>
      </c>
      <c r="Z39">
        <v>0</v>
      </c>
      <c r="AA39">
        <v>17.100000000000001</v>
      </c>
      <c r="AJ39" t="s">
        <v>228</v>
      </c>
      <c r="AL39" t="s">
        <v>369</v>
      </c>
      <c r="AN39" t="s">
        <v>369</v>
      </c>
      <c r="AP39">
        <v>364.8</v>
      </c>
      <c r="AQ39">
        <v>0</v>
      </c>
      <c r="AR39">
        <v>0</v>
      </c>
      <c r="AY39" t="s">
        <v>331</v>
      </c>
    </row>
    <row r="40" spans="1:51" x14ac:dyDescent="0.25">
      <c r="C40" t="s">
        <v>311</v>
      </c>
      <c r="D40" t="s">
        <v>312</v>
      </c>
      <c r="E40" t="s">
        <v>313</v>
      </c>
      <c r="F40">
        <v>20</v>
      </c>
      <c r="G40">
        <v>25</v>
      </c>
      <c r="H40" t="s">
        <v>330</v>
      </c>
      <c r="M40" t="b">
        <v>1</v>
      </c>
      <c r="O40" t="b">
        <v>1</v>
      </c>
      <c r="V40">
        <v>70</v>
      </c>
      <c r="X40">
        <v>94.9</v>
      </c>
      <c r="Y40">
        <v>214.9</v>
      </c>
      <c r="Z40">
        <v>0</v>
      </c>
      <c r="AA40">
        <v>20.6</v>
      </c>
      <c r="AJ40" t="s">
        <v>228</v>
      </c>
      <c r="AL40" t="s">
        <v>375</v>
      </c>
      <c r="AN40" t="s">
        <v>375</v>
      </c>
      <c r="AP40">
        <v>379.8</v>
      </c>
      <c r="AQ40">
        <v>0</v>
      </c>
      <c r="AR40">
        <v>0</v>
      </c>
      <c r="AY40" t="s">
        <v>358</v>
      </c>
    </row>
    <row r="41" spans="1:51" x14ac:dyDescent="0.25">
      <c r="C41" t="s">
        <v>311</v>
      </c>
      <c r="D41" t="s">
        <v>312</v>
      </c>
      <c r="E41" t="s">
        <v>313</v>
      </c>
      <c r="F41">
        <v>30</v>
      </c>
      <c r="G41">
        <v>35</v>
      </c>
      <c r="H41" t="s">
        <v>330</v>
      </c>
      <c r="M41" t="b">
        <v>1</v>
      </c>
      <c r="O41" t="b">
        <v>1</v>
      </c>
      <c r="V41">
        <v>70</v>
      </c>
      <c r="X41">
        <v>69.900000000000006</v>
      </c>
      <c r="Y41">
        <v>214.9</v>
      </c>
      <c r="Z41">
        <v>0</v>
      </c>
      <c r="AA41">
        <v>20.6</v>
      </c>
      <c r="AJ41" t="s">
        <v>228</v>
      </c>
      <c r="AL41" t="s">
        <v>375</v>
      </c>
      <c r="AN41" t="s">
        <v>375</v>
      </c>
      <c r="AP41">
        <v>354.8</v>
      </c>
      <c r="AQ41">
        <v>0</v>
      </c>
      <c r="AR41">
        <v>0</v>
      </c>
      <c r="AY41" t="s">
        <v>359</v>
      </c>
    </row>
    <row r="42" spans="1:51" x14ac:dyDescent="0.25">
      <c r="C42" t="s">
        <v>311</v>
      </c>
      <c r="D42" t="s">
        <v>312</v>
      </c>
      <c r="E42" t="s">
        <v>313</v>
      </c>
      <c r="F42">
        <v>5</v>
      </c>
      <c r="G42">
        <v>15</v>
      </c>
      <c r="H42" t="s">
        <v>330</v>
      </c>
      <c r="M42" t="b">
        <v>1</v>
      </c>
      <c r="O42" t="b">
        <v>1</v>
      </c>
      <c r="V42">
        <v>70</v>
      </c>
      <c r="X42">
        <v>84.9</v>
      </c>
      <c r="Y42">
        <v>214.9</v>
      </c>
      <c r="Z42">
        <v>0</v>
      </c>
      <c r="AA42">
        <v>20.6</v>
      </c>
      <c r="AJ42" t="s">
        <v>228</v>
      </c>
      <c r="AL42" t="s">
        <v>375</v>
      </c>
      <c r="AN42" t="s">
        <v>375</v>
      </c>
      <c r="AP42">
        <v>369.8</v>
      </c>
      <c r="AQ42">
        <v>0</v>
      </c>
      <c r="AR42">
        <v>0</v>
      </c>
      <c r="AY42" t="s">
        <v>357</v>
      </c>
    </row>
    <row r="43" spans="1:51" x14ac:dyDescent="0.25">
      <c r="C43" t="s">
        <v>311</v>
      </c>
      <c r="D43" t="s">
        <v>312</v>
      </c>
      <c r="E43" t="s">
        <v>313</v>
      </c>
      <c r="F43">
        <v>0.3</v>
      </c>
      <c r="G43">
        <v>2</v>
      </c>
      <c r="H43" t="s">
        <v>332</v>
      </c>
      <c r="M43" t="b">
        <v>1</v>
      </c>
      <c r="O43" t="b">
        <v>1</v>
      </c>
      <c r="V43">
        <v>70</v>
      </c>
      <c r="X43">
        <v>79.900000000000006</v>
      </c>
      <c r="Y43">
        <v>214.9</v>
      </c>
      <c r="Z43">
        <v>0</v>
      </c>
      <c r="AA43">
        <v>17.100000000000001</v>
      </c>
      <c r="AJ43" t="s">
        <v>228</v>
      </c>
      <c r="AL43" t="s">
        <v>370</v>
      </c>
      <c r="AN43" t="s">
        <v>370</v>
      </c>
      <c r="AP43">
        <v>364.8</v>
      </c>
      <c r="AQ43">
        <v>0</v>
      </c>
      <c r="AR43">
        <v>0</v>
      </c>
      <c r="AY43" t="s">
        <v>333</v>
      </c>
    </row>
    <row r="44" spans="1:51" x14ac:dyDescent="0.25">
      <c r="C44" t="s">
        <v>311</v>
      </c>
      <c r="D44" t="s">
        <v>312</v>
      </c>
      <c r="E44" t="s">
        <v>313</v>
      </c>
      <c r="F44">
        <v>20</v>
      </c>
      <c r="G44">
        <v>25</v>
      </c>
      <c r="H44" t="s">
        <v>332</v>
      </c>
      <c r="M44" t="b">
        <v>1</v>
      </c>
      <c r="O44" t="b">
        <v>1</v>
      </c>
      <c r="V44">
        <v>70</v>
      </c>
      <c r="X44">
        <v>94.9</v>
      </c>
      <c r="Y44">
        <v>214.9</v>
      </c>
      <c r="Z44">
        <v>0</v>
      </c>
      <c r="AA44">
        <v>20.6</v>
      </c>
      <c r="AJ44" t="s">
        <v>228</v>
      </c>
      <c r="AL44" t="s">
        <v>376</v>
      </c>
      <c r="AN44" t="s">
        <v>376</v>
      </c>
      <c r="AP44">
        <v>379.8</v>
      </c>
      <c r="AQ44">
        <v>0</v>
      </c>
      <c r="AR44">
        <v>0</v>
      </c>
      <c r="AY44" t="s">
        <v>361</v>
      </c>
    </row>
    <row r="45" spans="1:51" x14ac:dyDescent="0.25">
      <c r="C45" t="s">
        <v>311</v>
      </c>
      <c r="D45" t="s">
        <v>312</v>
      </c>
      <c r="E45" t="s">
        <v>313</v>
      </c>
      <c r="F45">
        <v>30</v>
      </c>
      <c r="G45">
        <v>35</v>
      </c>
      <c r="H45" t="s">
        <v>332</v>
      </c>
      <c r="M45" t="b">
        <v>1</v>
      </c>
      <c r="O45" t="b">
        <v>1</v>
      </c>
      <c r="V45">
        <v>70</v>
      </c>
      <c r="X45">
        <v>69.900000000000006</v>
      </c>
      <c r="Y45">
        <v>214.9</v>
      </c>
      <c r="Z45">
        <v>0</v>
      </c>
      <c r="AA45">
        <v>20.6</v>
      </c>
      <c r="AJ45" t="s">
        <v>228</v>
      </c>
      <c r="AL45" t="s">
        <v>376</v>
      </c>
      <c r="AN45" t="s">
        <v>376</v>
      </c>
      <c r="AP45">
        <v>354.8</v>
      </c>
      <c r="AQ45">
        <v>0</v>
      </c>
      <c r="AR45">
        <v>0</v>
      </c>
      <c r="AY45" t="s">
        <v>362</v>
      </c>
    </row>
    <row r="46" spans="1:51" x14ac:dyDescent="0.25">
      <c r="C46" t="s">
        <v>311</v>
      </c>
      <c r="D46" t="s">
        <v>312</v>
      </c>
      <c r="E46" t="s">
        <v>313</v>
      </c>
      <c r="F46">
        <v>5</v>
      </c>
      <c r="G46">
        <v>15</v>
      </c>
      <c r="H46" t="s">
        <v>332</v>
      </c>
      <c r="M46" t="b">
        <v>1</v>
      </c>
      <c r="O46" t="b">
        <v>1</v>
      </c>
      <c r="V46">
        <v>70</v>
      </c>
      <c r="X46">
        <v>84.9</v>
      </c>
      <c r="Y46">
        <v>214.9</v>
      </c>
      <c r="Z46">
        <v>0</v>
      </c>
      <c r="AA46">
        <v>20.6</v>
      </c>
      <c r="AJ46" t="s">
        <v>228</v>
      </c>
      <c r="AL46" t="s">
        <v>376</v>
      </c>
      <c r="AN46" t="s">
        <v>376</v>
      </c>
      <c r="AP46">
        <v>369.8</v>
      </c>
      <c r="AQ46">
        <v>0</v>
      </c>
      <c r="AR46">
        <v>0</v>
      </c>
      <c r="AY46" t="s">
        <v>360</v>
      </c>
    </row>
    <row r="47" spans="1:51" x14ac:dyDescent="0.25">
      <c r="A47" s="221"/>
      <c r="B47" s="221"/>
      <c r="C47" s="221" t="s">
        <v>311</v>
      </c>
      <c r="D47" s="221" t="s">
        <v>312</v>
      </c>
      <c r="E47" s="221" t="s">
        <v>313</v>
      </c>
      <c r="F47" s="221">
        <v>0.3</v>
      </c>
      <c r="G47" s="221">
        <v>2</v>
      </c>
      <c r="H47" s="221" t="s">
        <v>314</v>
      </c>
      <c r="I47" s="221"/>
      <c r="J47" s="221"/>
      <c r="K47" s="221"/>
      <c r="L47" s="221"/>
      <c r="M47" s="221" t="b">
        <v>1</v>
      </c>
      <c r="N47" s="221"/>
      <c r="O47" s="221" t="b">
        <v>1</v>
      </c>
      <c r="V47">
        <v>70</v>
      </c>
      <c r="X47">
        <v>79.900000000000006</v>
      </c>
      <c r="Y47">
        <v>90.9</v>
      </c>
      <c r="Z47">
        <v>24.9</v>
      </c>
      <c r="AA47">
        <v>17.100000000000001</v>
      </c>
      <c r="AJ47" t="s">
        <v>3</v>
      </c>
      <c r="AL47" t="s">
        <v>366</v>
      </c>
      <c r="AN47" t="s">
        <v>366</v>
      </c>
      <c r="AP47">
        <v>240.8</v>
      </c>
      <c r="AQ47">
        <v>0</v>
      </c>
      <c r="AR47">
        <v>0</v>
      </c>
    </row>
    <row r="125" spans="1:48" x14ac:dyDescent="0.25">
      <c r="A125" s="217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10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</row>
    <row r="126" spans="1:48" x14ac:dyDescent="0.25">
      <c r="A126" s="217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10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</row>
    <row r="127" spans="1:48" x14ac:dyDescent="0.25">
      <c r="A127" s="217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10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</row>
    <row r="187" spans="1:48" x14ac:dyDescent="0.25">
      <c r="A187" s="217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10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</row>
  </sheetData>
  <autoFilter ref="A4:AY62"/>
  <sortState ref="A6:AY111">
    <sortCondition ref="AY6"/>
    <sortCondition ref="AP6"/>
  </sortState>
  <dataValidations count="1">
    <dataValidation type="list" showInputMessage="1" error="Please select a valid value" promptTitle="select a value" sqref="P5:P8 L3:L4">
      <formula1>validValues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3PRes Com Fidelidade</vt:lpstr>
      <vt:lpstr>Erro</vt:lpstr>
      <vt:lpstr>3PRes 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Lucas, Victor Motta d.</cp:lastModifiedBy>
  <dcterms:created xsi:type="dcterms:W3CDTF">2017-08-30T14:36:36Z</dcterms:created>
  <dcterms:modified xsi:type="dcterms:W3CDTF">2018-07-17T19:42:27Z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32f95242-f211-4251-9b08-e6395d5fa199</vt:lpwstr>
  </property>
</Properties>
</file>
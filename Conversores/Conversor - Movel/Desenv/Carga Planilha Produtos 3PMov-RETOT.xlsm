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978\Conversores\"/>
    </mc:Choice>
  </mc:AlternateContent>
  <xr:revisionPtr revIDLastSave="42108" documentId="10_ncr:100000_{75C432E8-54D7-44F0-84B7-644111730DCD}" xr6:coauthVersionLast="41" xr6:coauthVersionMax="41" xr10:uidLastSave="{36A67248-99B5-4607-B3C4-8481CCC14175}"/>
  <bookViews>
    <workbookView xWindow="28680" yWindow="-120" windowWidth="20730" windowHeight="11160" activeTab="2" xr2:uid="{00000000-000D-0000-FFFF-FFFF00000000}"/>
  </bookViews>
  <sheets>
    <sheet name="Com Fidelidade" sheetId="1" r:id="rId1"/>
    <sheet name="Erro" sheetId="6" r:id="rId2"/>
    <sheet name="Sem Fidelidade" sheetId="2" r:id="rId3"/>
    <sheet name="Com Fidelidade (2)" sheetId="7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'Com Fidelidade'!$A$4:$AZ$194</definedName>
    <definedName name="_xlnm._FilterDatabase" localSheetId="3" hidden="1">'Com Fidelidade (2)'!$A$4:$AY$233</definedName>
    <definedName name="_xlnm._FilterDatabase" localSheetId="2" hidden="1">'Sem Fidelidade'!$A$4:$BA$15</definedName>
    <definedName name="_validValues">[1]Settings!$A$1</definedName>
    <definedName name="ffff">[2]Settings!$A$1</definedName>
    <definedName name="sssaaa">[3]Settings!$A$1</definedName>
    <definedName name="sssss">[4]Settings!$A$1</definedName>
    <definedName name="validValues">[5]Settings!$A$1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S23" i="6"/>
  <c r="CT23" i="6" s="1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D17" i="6"/>
  <c r="FE17" i="6" s="1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AC7B72B9-027D-4902-970F-C1BD441BC9A0}">
      <text/>
    </comment>
    <comment ref="C4" authorId="1" shapeId="0" xr:uid="{0ECB703E-BAB6-4EF8-80A2-7830C05EC5BF}">
      <text/>
    </comment>
    <comment ref="D4" authorId="1" shapeId="0" xr:uid="{3839FB81-4123-4FD6-8775-7A5594EEE37F}">
      <text/>
    </comment>
    <comment ref="E4" authorId="1" shapeId="0" xr:uid="{8603ED99-E016-46ED-98FB-B5253BEEE298}">
      <text/>
    </comment>
    <comment ref="F4" authorId="1" shapeId="0" xr:uid="{84EF6C6D-9633-410E-A748-EBCD71C97BF6}">
      <text/>
    </comment>
    <comment ref="G4" authorId="1" shapeId="0" xr:uid="{FF813E3F-228D-4EE3-9F4A-B3C0F8676B09}">
      <text/>
    </comment>
    <comment ref="H4" authorId="1" shapeId="0" xr:uid="{E6A8D915-DC09-49BE-B880-D34B45AD6617}">
      <text/>
    </comment>
    <comment ref="I4" authorId="1" shapeId="0" xr:uid="{26674A86-BBD3-4A26-BCCA-478E422CEDE9}">
      <text/>
    </comment>
    <comment ref="J4" authorId="1" shapeId="0" xr:uid="{BBCE7C16-E071-4B03-B431-F9BCFDE76269}">
      <text/>
    </comment>
    <comment ref="K4" authorId="1" shapeId="0" xr:uid="{791B48C5-E2E1-4A5E-BAC2-7C31FEA9FBA3}">
      <text/>
    </comment>
    <comment ref="M4" authorId="1" shapeId="0" xr:uid="{D4D03DD7-C855-451C-A05D-BB0B528E4580}">
      <text/>
    </comment>
    <comment ref="N4" authorId="1" shapeId="0" xr:uid="{1F51A18B-0F14-4A1C-94FD-99777A0E4FDF}">
      <text/>
    </comment>
    <comment ref="O4" authorId="1" shapeId="0" xr:uid="{E96CA491-DB01-48BA-A6B9-832A2AA037B4}">
      <text/>
    </comment>
    <comment ref="P4" authorId="1" shapeId="0" xr:uid="{07965B89-348B-492B-8B73-E80F87CFAE2C}">
      <text/>
    </comment>
    <comment ref="Q4" authorId="1" shapeId="0" xr:uid="{85AA6B78-B03F-4497-8FC0-978F085DD2D2}">
      <text/>
    </comment>
    <comment ref="S4" authorId="1" shapeId="0" xr:uid="{6BF6491C-41AC-426C-918B-807653B271A6}">
      <text/>
    </comment>
    <comment ref="T4" authorId="1" shapeId="0" xr:uid="{6399BDB0-5009-4F4F-A707-3DF7D5C5982B}">
      <text/>
    </comment>
    <comment ref="U4" authorId="1" shapeId="0" xr:uid="{15A1A4EB-16EC-4C64-9376-E204E0B5AB00}">
      <text/>
    </comment>
    <comment ref="V4" authorId="1" shapeId="0" xr:uid="{4D61C4CF-497B-4A31-80B8-C9ECEA1BF603}">
      <text/>
    </comment>
    <comment ref="W4" authorId="1" shapeId="0" xr:uid="{A5209322-79ED-405C-A1B4-E9BCC22A48E3}">
      <text/>
    </comment>
    <comment ref="X4" authorId="1" shapeId="0" xr:uid="{6FE7474D-AAA1-4E57-802E-9F303E4A4E0C}">
      <text/>
    </comment>
    <comment ref="Y4" authorId="1" shapeId="0" xr:uid="{DB6375A6-51B6-48DE-B099-34A55E2C8D7B}">
      <text/>
    </comment>
    <comment ref="Z4" authorId="1" shapeId="0" xr:uid="{B3CAC178-1787-4255-BB5F-4BB16EDFF663}">
      <text/>
    </comment>
    <comment ref="AA4" authorId="1" shapeId="0" xr:uid="{31969BCA-F6CF-421B-859B-93ED74E25893}">
      <text/>
    </comment>
    <comment ref="AB4" authorId="1" shapeId="0" xr:uid="{9D00618D-1D61-436E-84A6-47A19DB4422E}">
      <text/>
    </comment>
    <comment ref="AC4" authorId="1" shapeId="0" xr:uid="{ECFD75C1-5422-49E7-BFB3-6EE0CD9B6AF7}">
      <text/>
    </comment>
    <comment ref="AD4" authorId="1" shapeId="0" xr:uid="{3731C823-032F-44B0-85D8-DB2F0A704328}">
      <text/>
    </comment>
    <comment ref="AE4" authorId="1" shapeId="0" xr:uid="{EA16C10D-B1D0-47B9-B8ED-3839B5A557F5}">
      <text/>
    </comment>
    <comment ref="AF4" authorId="1" shapeId="0" xr:uid="{49B1A554-E37B-40C2-8278-402DB98A7DCD}">
      <text/>
    </comment>
    <comment ref="AG4" authorId="1" shapeId="0" xr:uid="{F588B61C-EC66-4781-BD1B-207D86C60365}">
      <text/>
    </comment>
    <comment ref="AH4" authorId="1" shapeId="0" xr:uid="{586F0BEB-4F82-4959-AF0B-3DEC335FB669}">
      <text/>
    </comment>
    <comment ref="AI4" authorId="1" shapeId="0" xr:uid="{D79B1F02-FB54-4976-94F9-D9D779AC7A3D}">
      <text/>
    </comment>
    <comment ref="AJ4" authorId="1" shapeId="0" xr:uid="{541E1737-77E8-4848-BE7E-76354F051A69}">
      <text/>
    </comment>
    <comment ref="AK4" authorId="1" shapeId="0" xr:uid="{7BC8A5FB-86C1-46BF-96B3-11B42FF1A0CA}">
      <text/>
    </comment>
    <comment ref="AL4" authorId="1" shapeId="0" xr:uid="{CE3564E0-A07B-4A6D-A754-D23C3D6AFEB1}">
      <text/>
    </comment>
    <comment ref="AM4" authorId="1" shapeId="0" xr:uid="{08041212-0591-42EF-875E-CEB231935637}">
      <text/>
    </comment>
    <comment ref="AN4" authorId="1" shapeId="0" xr:uid="{662E1943-50C5-4ED6-B4D2-34D63320C2A0}">
      <text/>
    </comment>
    <comment ref="AO4" authorId="1" shapeId="0" xr:uid="{2737EB28-7CBB-4E14-B742-B25EA0317E9F}">
      <text/>
    </comment>
    <comment ref="AP4" authorId="1" shapeId="0" xr:uid="{61481992-1F30-46F8-BA14-5954146B096B}">
      <text/>
    </comment>
    <comment ref="AQ4" authorId="1" shapeId="0" xr:uid="{BB397CD8-21BD-45B4-83FA-B4BF077A1511}">
      <text/>
    </comment>
    <comment ref="AR4" authorId="1" shapeId="0" xr:uid="{33464E6A-03E9-4DD1-B501-F6C4F2F27778}">
      <text/>
    </comment>
    <comment ref="AS4" authorId="1" shapeId="0" xr:uid="{B6ED4C12-6817-46B0-8726-6B002026100D}">
      <text/>
    </comment>
    <comment ref="AT4" authorId="1" shapeId="0" xr:uid="{4D6F9B3D-399A-43E1-93FE-2667CB1BE19C}">
      <text/>
    </comment>
    <comment ref="AU4" authorId="1" shapeId="0" xr:uid="{770F6DA1-A21A-4960-9FF2-243B59F5022B}">
      <text/>
    </comment>
    <comment ref="AV4" authorId="1" shapeId="0" xr:uid="{D2E4E018-8B5B-4A81-9F59-0F1234E1C1B4}">
      <text/>
    </comment>
    <comment ref="AW4" authorId="1" shapeId="0" xr:uid="{7DF5ED61-C8AA-41DD-8FA0-1D55B9F7E20E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L4" authorId="1" shapeId="0" xr:uid="{00000000-0006-0000-0200-00000A000000}">
      <text/>
    </comment>
    <comment ref="M4" authorId="1" shapeId="0" xr:uid="{00000000-0006-0000-0200-00000B000000}">
      <text/>
    </comment>
    <comment ref="N4" authorId="1" shapeId="0" xr:uid="{00000000-0006-0000-0200-00000C000000}">
      <text/>
    </comment>
    <comment ref="O4" authorId="1" shapeId="0" xr:uid="{00000000-0006-0000-0200-00000D000000}">
      <text/>
    </comment>
    <comment ref="P4" authorId="1" shapeId="0" xr:uid="{00000000-0006-0000-0200-00000E000000}">
      <text/>
    </comment>
    <comment ref="Q4" authorId="1" shapeId="0" xr:uid="{00000000-0006-0000-0200-00000F000000}">
      <text/>
    </comment>
    <comment ref="S4" authorId="1" shapeId="0" xr:uid="{00000000-0006-0000-0200-000010000000}">
      <text/>
    </comment>
    <comment ref="T4" authorId="1" shapeId="0" xr:uid="{00000000-0006-0000-0200-000011000000}">
      <text/>
    </comment>
    <comment ref="U4" authorId="1" shapeId="0" xr:uid="{00000000-0006-0000-0200-000012000000}">
      <text/>
    </comment>
    <comment ref="V4" authorId="1" shapeId="0" xr:uid="{00000000-0006-0000-0200-000013000000}">
      <text/>
    </comment>
    <comment ref="W4" authorId="1" shapeId="0" xr:uid="{00000000-0006-0000-0200-000014000000}">
      <text/>
    </comment>
    <comment ref="X4" authorId="1" shapeId="0" xr:uid="{00000000-0006-0000-0200-000015000000}">
      <text/>
    </comment>
    <comment ref="Y4" authorId="1" shapeId="0" xr:uid="{00000000-0006-0000-0200-000016000000}">
      <text/>
    </comment>
    <comment ref="Z4" authorId="1" shapeId="0" xr:uid="{00000000-0006-0000-0200-000017000000}">
      <text/>
    </comment>
    <comment ref="AA4" authorId="1" shapeId="0" xr:uid="{00000000-0006-0000-0200-000018000000}">
      <text/>
    </comment>
    <comment ref="AB4" authorId="1" shapeId="0" xr:uid="{00000000-0006-0000-0200-000019000000}">
      <text/>
    </comment>
    <comment ref="AC4" authorId="1" shapeId="0" xr:uid="{00000000-0006-0000-0200-00001A000000}">
      <text/>
    </comment>
    <comment ref="AD4" authorId="1" shapeId="0" xr:uid="{00000000-0006-0000-0200-00001B000000}">
      <text/>
    </comment>
    <comment ref="AE4" authorId="1" shapeId="0" xr:uid="{00000000-0006-0000-0200-00001C000000}">
      <text/>
    </comment>
    <comment ref="AF4" authorId="1" shapeId="0" xr:uid="{00000000-0006-0000-0200-00001D000000}">
      <text/>
    </comment>
    <comment ref="AG4" authorId="1" shapeId="0" xr:uid="{00000000-0006-0000-0200-00001E000000}">
      <text/>
    </comment>
    <comment ref="AH4" authorId="1" shapeId="0" xr:uid="{00000000-0006-0000-0200-00001F000000}">
      <text/>
    </comment>
    <comment ref="AI4" authorId="1" shapeId="0" xr:uid="{00000000-0006-0000-0200-000020000000}">
      <text/>
    </comment>
    <comment ref="AJ4" authorId="1" shapeId="0" xr:uid="{00000000-0006-0000-0200-000021000000}">
      <text/>
    </comment>
    <comment ref="AK4" authorId="1" shapeId="0" xr:uid="{00000000-0006-0000-0200-000022000000}">
      <text/>
    </comment>
    <comment ref="AL4" authorId="1" shapeId="0" xr:uid="{00000000-0006-0000-0200-000023000000}">
      <text/>
    </comment>
    <comment ref="AM4" authorId="1" shapeId="0" xr:uid="{00000000-0006-0000-0200-000024000000}">
      <text/>
    </comment>
    <comment ref="AN4" authorId="1" shapeId="0" xr:uid="{00000000-0006-0000-0200-000025000000}">
      <text/>
    </comment>
    <comment ref="AO4" authorId="1" shapeId="0" xr:uid="{00000000-0006-0000-0200-000026000000}">
      <text/>
    </comment>
    <comment ref="AP4" authorId="1" shapeId="0" xr:uid="{00000000-0006-0000-0200-000027000000}">
      <text/>
    </comment>
    <comment ref="AQ4" authorId="1" shapeId="0" xr:uid="{00000000-0006-0000-0200-000028000000}">
      <text/>
    </comment>
    <comment ref="AR4" authorId="1" shapeId="0" xr:uid="{00000000-0006-0000-0200-000029000000}">
      <text/>
    </comment>
    <comment ref="AS4" authorId="1" shapeId="0" xr:uid="{00000000-0006-0000-0200-00002A000000}">
      <text/>
    </comment>
    <comment ref="AT4" authorId="1" shapeId="0" xr:uid="{00000000-0006-0000-0200-00002B000000}">
      <text/>
    </comment>
    <comment ref="AU4" authorId="1" shapeId="0" xr:uid="{00000000-0006-0000-0200-00002C000000}">
      <text/>
    </comment>
    <comment ref="AV4" authorId="1" shapeId="0" xr:uid="{00000000-0006-0000-0200-00002D000000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5E809D3C-3AC8-4800-A34C-BFFAEC944AA7}">
      <text/>
    </comment>
    <comment ref="C4" authorId="1" shapeId="0" xr:uid="{DE91CAA3-5AA5-40EB-9481-2C6292F0E553}">
      <text/>
    </comment>
    <comment ref="D4" authorId="1" shapeId="0" xr:uid="{DDFBDAC8-41D7-4F89-A5E9-AF8D3E043CC9}">
      <text/>
    </comment>
    <comment ref="E4" authorId="1" shapeId="0" xr:uid="{E1E4BCB2-8589-4A95-A8BA-2F514CA45C5E}">
      <text/>
    </comment>
    <comment ref="F4" authorId="1" shapeId="0" xr:uid="{3F17498A-CB0A-4D62-B1AD-85844B613D7F}">
      <text/>
    </comment>
    <comment ref="G4" authorId="1" shapeId="0" xr:uid="{ADF7CC83-6189-41BA-83FC-6EB1826FB32C}">
      <text/>
    </comment>
    <comment ref="H4" authorId="1" shapeId="0" xr:uid="{8D532CB1-8361-4C6F-86EB-D8D6F4F2AA21}">
      <text/>
    </comment>
    <comment ref="I4" authorId="1" shapeId="0" xr:uid="{09426591-7685-4F7F-A151-6376FD319D78}">
      <text/>
    </comment>
    <comment ref="J4" authorId="1" shapeId="0" xr:uid="{E9C02EB4-E96F-4DCA-A970-C01DFF7F349A}">
      <text/>
    </comment>
    <comment ref="K4" authorId="1" shapeId="0" xr:uid="{5814E5E0-6A3C-447B-9432-58046F8045AA}">
      <text/>
    </comment>
    <comment ref="L4" authorId="1" shapeId="0" xr:uid="{93EBA91B-589C-4F56-A1AE-D4F7A41628B6}">
      <text/>
    </comment>
    <comment ref="M4" authorId="1" shapeId="0" xr:uid="{447820E8-4837-4377-A99E-ED36A19F9B46}">
      <text/>
    </comment>
    <comment ref="N4" authorId="1" shapeId="0" xr:uid="{B5EB6DEC-DB27-4A8B-B289-FB670DBD4B9E}">
      <text/>
    </comment>
    <comment ref="O4" authorId="1" shapeId="0" xr:uid="{6F58F928-4976-4336-901C-F896ADB53AF2}">
      <text/>
    </comment>
    <comment ref="P4" authorId="1" shapeId="0" xr:uid="{E493ACA9-7B8E-421C-833F-4C2C823A5AFB}">
      <text/>
    </comment>
    <comment ref="R4" authorId="1" shapeId="0" xr:uid="{15F865FB-34DA-4681-9C93-9845A08C6F11}">
      <text/>
    </comment>
    <comment ref="S4" authorId="1" shapeId="0" xr:uid="{FF1DF22F-856E-4186-A6E8-AFBD586452A8}">
      <text/>
    </comment>
    <comment ref="T4" authorId="1" shapeId="0" xr:uid="{03FA6106-A826-46E0-8B4F-A648AF3F7CDA}">
      <text/>
    </comment>
    <comment ref="U4" authorId="1" shapeId="0" xr:uid="{88464BF0-9521-432F-BEFD-3E9AFEDB2E17}">
      <text/>
    </comment>
    <comment ref="V4" authorId="1" shapeId="0" xr:uid="{9D457EA3-2001-4C42-A9C8-45DDDA68E7BD}">
      <text/>
    </comment>
    <comment ref="W4" authorId="1" shapeId="0" xr:uid="{1B71672A-3DCD-486F-AB44-68016CBBDDAA}">
      <text/>
    </comment>
    <comment ref="X4" authorId="1" shapeId="0" xr:uid="{9E3B2ED6-E305-466B-AB3F-C11570BF57BF}">
      <text/>
    </comment>
    <comment ref="Y4" authorId="1" shapeId="0" xr:uid="{CAD1DD97-4105-40E2-8FA8-41EF77EAAC5C}">
      <text/>
    </comment>
    <comment ref="Z4" authorId="1" shapeId="0" xr:uid="{08DF6E44-9DAB-4199-8933-C6EB4E988162}">
      <text/>
    </comment>
    <comment ref="AA4" authorId="1" shapeId="0" xr:uid="{156B37B7-8301-4C38-944E-82F8C9133267}">
      <text/>
    </comment>
    <comment ref="AB4" authorId="1" shapeId="0" xr:uid="{C5AA7629-BD78-4FC3-A9C0-A66807947C86}">
      <text/>
    </comment>
    <comment ref="AC4" authorId="1" shapeId="0" xr:uid="{78B43132-4D25-47ED-BF35-3B1CD90BB3B0}">
      <text/>
    </comment>
    <comment ref="AD4" authorId="1" shapeId="0" xr:uid="{1ACD9003-94A3-4F4A-8717-B12046238B16}">
      <text/>
    </comment>
    <comment ref="AE4" authorId="1" shapeId="0" xr:uid="{C78C7B7A-BE96-49DD-9A04-29C491C323C5}">
      <text/>
    </comment>
    <comment ref="AF4" authorId="1" shapeId="0" xr:uid="{A2E09032-F2C7-47C4-92CB-3E4AA244D7C6}">
      <text/>
    </comment>
    <comment ref="AG4" authorId="1" shapeId="0" xr:uid="{5E38A835-635C-4E67-B2EC-6D9E340989BA}">
      <text/>
    </comment>
    <comment ref="AH4" authorId="1" shapeId="0" xr:uid="{2DD3779D-D099-4EF1-B31F-6722EA0D8652}">
      <text/>
    </comment>
    <comment ref="AI4" authorId="1" shapeId="0" xr:uid="{02F2B5DC-2C30-4671-BC6A-28810037A0CF}">
      <text/>
    </comment>
    <comment ref="AJ4" authorId="1" shapeId="0" xr:uid="{CD263124-13AD-43C3-B64B-D5DA1C172144}">
      <text/>
    </comment>
    <comment ref="AK4" authorId="1" shapeId="0" xr:uid="{B8830C2E-71E8-4EC8-A36B-BE5987A424E3}">
      <text/>
    </comment>
    <comment ref="AL4" authorId="1" shapeId="0" xr:uid="{EF0F5268-C494-4E73-BB7B-E1071342A9EF}">
      <text/>
    </comment>
    <comment ref="AM4" authorId="1" shapeId="0" xr:uid="{A27D35B3-89AE-4604-AC49-12655F5B4BBC}">
      <text/>
    </comment>
    <comment ref="AN4" authorId="1" shapeId="0" xr:uid="{0115BD01-B98D-48A2-808E-B32052C2C1FA}">
      <text/>
    </comment>
    <comment ref="AO4" authorId="1" shapeId="0" xr:uid="{B74D1ADF-128D-4E84-A141-82F52586C2F5}">
      <text/>
    </comment>
    <comment ref="AP4" authorId="1" shapeId="0" xr:uid="{A27892BA-D488-4508-A71D-68A4DC6C6623}">
      <text/>
    </comment>
    <comment ref="AQ4" authorId="1" shapeId="0" xr:uid="{B36A65B9-1860-48F2-87DC-17590969D838}">
      <text/>
    </comment>
    <comment ref="AR4" authorId="1" shapeId="0" xr:uid="{58A874A0-2AD2-49FD-9E76-CC8CF0427FD1}">
      <text/>
    </comment>
    <comment ref="AS4" authorId="1" shapeId="0" xr:uid="{497000CD-6C35-4A8B-B1DD-6CEE40DBC01F}">
      <text/>
    </comment>
    <comment ref="AT4" authorId="1" shapeId="0" xr:uid="{9368DA87-DE3B-41FB-B0A2-3A39FA7DC065}">
      <text/>
    </comment>
    <comment ref="AU4" authorId="1" shapeId="0" xr:uid="{4D3C040A-9F95-4C0D-ACE8-BE87603AD19C}">
      <text/>
    </comment>
    <comment ref="AV4" authorId="1" shapeId="0" xr:uid="{19F4BA83-6C1C-4A8E-B477-3AE4F53EF46C}">
      <text/>
    </comment>
  </commentList>
</comments>
</file>

<file path=xl/sharedStrings.xml><?xml version="1.0" encoding="utf-8"?>
<sst xmlns="http://schemas.openxmlformats.org/spreadsheetml/2006/main" count="2060" uniqueCount="395">
  <si>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</si>
  <si>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</si>
  <si>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</si>
  <si>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</si>
  <si>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</si>
  <si>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</si>
  <si>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</si>
  <si>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</si>
  <si>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</si>
  <si>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</si>
  <si>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</si>
  <si>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</si>
  <si>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</si>
  <si>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</si>
  <si>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</si>
  <si>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</si>
  <si>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</si>
  <si>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</si>
  <si>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</si>
  <si>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</si>
  <si>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</si>
  <si>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</si>
  <si>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</si>
  <si>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</si>
  <si>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</si>
  <si>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</si>
  <si>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</si>
  <si>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</si>
  <si>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</si>
  <si>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</si>
  <si>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</si>
  <si>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</si>
  <si>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</si>
  <si>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</si>
  <si>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</si>
  <si>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</si>
  <si>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</si>
  <si>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</si>
  <si>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</si>
  <si>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</si>
  <si>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</si>
  <si>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</si>
  <si>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</si>
  <si>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</si>
  <si>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</si>
  <si>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</si>
  <si>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</si>
  <si>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</si>
  <si>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</si>
  <si>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</si>
  <si>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</si>
  <si>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</si>
  <si>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</si>
  <si>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</si>
  <si>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</si>
  <si>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</si>
  <si>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</si>
  <si>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</si>
  <si>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</si>
  <si>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</si>
  <si>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</si>
  <si>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</si>
  <si>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</si>
  <si>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</si>
  <si>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</si>
  <si>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</si>
  <si>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</si>
  <si>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</si>
  <si>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</si>
  <si>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</si>
  <si>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</si>
  <si>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</si>
  <si>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</si>
  <si>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</si>
  <si>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</si>
  <si>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</si>
  <si>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</si>
  <si>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</si>
  <si>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</si>
  <si>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</si>
  <si>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</si>
  <si>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</si>
  <si>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</si>
  <si>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</si>
  <si>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</si>
  <si>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</si>
  <si>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</si>
  <si>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</si>
  <si>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</si>
  <si>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</si>
  <si>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</si>
  <si>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</si>
  <si>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</si>
  <si>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</si>
  <si>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</si>
  <si>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</si>
  <si>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</si>
  <si>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</si>
  <si>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</si>
  <si>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</si>
  <si>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</si>
  <si>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</si>
  <si>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</si>
  <si>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</si>
  <si>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</si>
  <si>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</si>
  <si>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</si>
  <si>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</si>
  <si>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</si>
  <si>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</si>
  <si>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</si>
  <si>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</si>
  <si>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</si>
  <si>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</si>
  <si>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</si>
  <si>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</si>
  <si>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</si>
  <si>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</si>
  <si>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</si>
  <si>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</si>
  <si>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</si>
  <si>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</si>
  <si>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</si>
  <si>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</si>
  <si>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</si>
  <si>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</si>
  <si>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</si>
  <si>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</si>
  <si>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</si>
  <si>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</si>
  <si>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</si>
  <si>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</si>
  <si>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</si>
  <si>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</si>
  <si>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</si>
  <si>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</si>
  <si>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</si>
  <si>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</si>
  <si>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</si>
  <si>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</si>
  <si>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</si>
  <si>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</si>
  <si>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</si>
  <si>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</si>
  <si>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</si>
  <si>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</si>
  <si>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</si>
  <si>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</si>
  <si>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</si>
  <si>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</si>
  <si>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</si>
  <si>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</si>
  <si>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</si>
  <si>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</si>
  <si>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</si>
  <si>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</si>
  <si>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</si>
  <si>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</si>
  <si>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</si>
  <si>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</si>
  <si>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</si>
  <si>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</si>
  <si>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</si>
  <si>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</si>
  <si>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</si>
  <si>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</si>
  <si>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</si>
  <si>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</si>
  <si>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</si>
  <si>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</si>
  <si>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</si>
  <si>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</si>
  <si>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</si>
  <si>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</si>
  <si>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</si>
  <si>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</si>
  <si>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</si>
  <si>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</si>
  <si>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</si>
  <si>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</si>
  <si>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</si>
  <si>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</si>
  <si>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</si>
  <si>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</si>
  <si>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</si>
  <si>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</si>
  <si>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</si>
  <si>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</si>
  <si>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</si>
  <si>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</si>
  <si>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</si>
  <si>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</si>
  <si>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</si>
  <si>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</si>
  <si>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</si>
  <si>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</si>
  <si>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</si>
  <si>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</si>
  <si>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</si>
  <si>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</si>
  <si>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</si>
  <si>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</si>
  <si>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</si>
  <si>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</si>
  <si>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</si>
  <si>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</si>
  <si>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</si>
  <si>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</si>
  <si>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</si>
  <si>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</si>
  <si>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</si>
  <si>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</si>
  <si>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</si>
  <si>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</si>
  <si>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</si>
  <si>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</si>
  <si>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</si>
  <si>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</si>
  <si>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</si>
  <si>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</si>
  <si>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</si>
  <si>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</si>
  <si>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</si>
  <si>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</si>
  <si>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</si>
  <si>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</si>
  <si>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</si>
  <si>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</si>
  <si>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</si>
  <si>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</si>
  <si>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</si>
  <si>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</si>
  <si>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</si>
  <si>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</si>
  <si>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</si>
  <si>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</si>
  <si>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</si>
  <si>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</si>
  <si>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</si>
  <si>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</si>
  <si>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</si>
  <si>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</si>
  <si>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</si>
  <si>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</si>
  <si>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</si>
  <si>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</si>
  <si>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</si>
  <si>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</si>
  <si>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</si>
  <si>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</si>
  <si>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</si>
  <si>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</si>
  <si>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</si>
  <si>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</si>
  <si>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</si>
  <si>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</si>
  <si>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</si>
  <si>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</si>
  <si>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</si>
  <si>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</si>
  <si>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</si>
  <si>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</si>
  <si>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</si>
  <si>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</si>
  <si>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</si>
  <si>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</si>
  <si>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</si>
  <si>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</si>
  <si>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</si>
  <si>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</si>
  <si>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</si>
  <si>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</si>
  <si>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</si>
  <si>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</si>
  <si>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</si>
  <si>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</si>
  <si>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</si>
  <si>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</si>
  <si>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</si>
  <si>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</si>
  <si>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</si>
  <si>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</si>
  <si>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</si>
  <si>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</si>
  <si>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</si>
  <si>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</si>
  <si>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</si>
  <si>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</si>
  <si>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</si>
  <si>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</si>
  <si>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</si>
  <si>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</si>
  <si>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</si>
  <si>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</si>
  <si>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</si>
  <si>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</si>
  <si>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</si>
  <si>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</si>
  <si>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</si>
  <si>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TesteLab</t>
  </si>
  <si>
    <t>@if(TmpDadosCliente.GrupoTesteAnalytics == "MICRO_SEG_OT",@when(IsTop1Estrategia2)==true,true)</t>
  </si>
  <si>
    <t>"LD VC ALL"</t>
  </si>
  <si>
    <t>"Basico"</t>
  </si>
  <si>
    <t>otherwise</t>
  </si>
  <si>
    <t>"oi total fixo + oi mais 40gb + banda larga"</t>
  </si>
  <si>
    <t>"oi total fixo + oi mais 7gb + banda larga"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</si>
  <si>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</si>
  <si>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</si>
  <si>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</si>
  <si>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</si>
  <si>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</si>
  <si>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</si>
  <si>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</si>
  <si>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</si>
  <si>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</si>
  <si>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</si>
  <si>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</si>
  <si>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</si>
  <si>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</si>
  <si>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</si>
  <si>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</si>
  <si>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</si>
  <si>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</si>
  <si>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</si>
  <si>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</si>
  <si>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.NivelPreco</t>
  </si>
  <si>
    <t>MesesFidel</t>
  </si>
  <si>
    <t>ClassificacaoPreco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</si>
  <si>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</si>
  <si>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</si>
  <si>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</si>
  <si>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</si>
  <si>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</si>
  <si>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</si>
  <si>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</si>
  <si>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</si>
  <si>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"oi total fixo + oi mais 20gb + banda larga"</t>
  </si>
  <si>
    <t>Novo Cliente</t>
  </si>
  <si>
    <t>LinhaOferta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</si>
  <si>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</si>
  <si>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</si>
  <si>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</si>
  <si>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</si>
  <si>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</si>
  <si>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</si>
  <si>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</si>
  <si>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</si>
  <si>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</si>
  <si>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</si>
  <si>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CodigoCampanhaVoz</t>
  </si>
  <si>
    <t>CodigoOfertaVoz</t>
  </si>
  <si>
    <t>NivelPreco</t>
  </si>
  <si>
    <t>TecnologiaOferta</t>
  </si>
  <si>
    <t>@when(Teste_NovoCliente)</t>
  </si>
  <si>
    <t>.LinhaOferta</t>
  </si>
  <si>
    <t>.CodigoCampanhaVoz</t>
  </si>
  <si>
    <t>.CodigoOfertaVoz</t>
  </si>
  <si>
    <t>.TecnologiaOferta</t>
  </si>
  <si>
    <t>"VX 200mb"</t>
  </si>
  <si>
    <t>"OT_FIBRA_NAT19_FID_CONEC_SMART_POS_7GB"</t>
  </si>
  <si>
    <t>"FIBRA"</t>
  </si>
  <si>
    <t>7000"VX 200mb""OT_FIBRA_NAT19_FID_CONEC_SMART_POS_7GB""LD VC ALL"188.9</t>
  </si>
  <si>
    <t>"OT_FIBRA_NAT19_FID_CONEC_AVA_POS_20GB"</t>
  </si>
  <si>
    <t>20000"VX 200mb""OT_FIBRA_NAT19_FID_CONEC_AVA_POS_20GB""LD VC ALL"218.9</t>
  </si>
  <si>
    <t>"Top"</t>
  </si>
  <si>
    <t>"OT_FIBRA_NAT19_FID_CONEC_TOP_POS_40GB"</t>
  </si>
  <si>
    <t>"OT_FIBRA_BLK19_FID_CONEC_SMART_POS_7GB"</t>
  </si>
  <si>
    <t>7000"VX 200mb""OT_FIBRA_BLK19_FID_CONEC_SMART_POS_7GB""LD VC ALL"188.9</t>
  </si>
  <si>
    <t>"OT_FIBRA_BLK19_FID_CONEC_TOP_POS_40GB"</t>
  </si>
  <si>
    <t>40000"VX 200mb""OT_FIBRA_BLK19_FID_CONEC_TOP_POS_40GB""LD VC ALL"218.9</t>
  </si>
  <si>
    <t>"OT_FIBRA_NAT19_FID_CONEC_TOP_TOT_POS_ILIM"</t>
  </si>
  <si>
    <t>else if</t>
  </si>
  <si>
    <t>"RETOT"</t>
  </si>
  <si>
    <t>40000"VX 200mb""OT_FIBRA_NAT19_FID_CONEC_TOP_POS_40GB""LD VC ALL"258.9</t>
  </si>
  <si>
    <t>40000"VX 200mb""OT_FIBRA_NAT19_FID_CONEC_TOP_TOT_POS_ILIM""LD VC ALL"258.9</t>
  </si>
  <si>
    <t>"RetencaoOT"</t>
  </si>
  <si>
    <t>7000"VX Até 5mb""OT_NAT19_FID_CONEC_SMART_7GB_5_10""LD VC ALL"179.9</t>
  </si>
  <si>
    <t>7000"VX Até 10mb""OT_NAT19_FID_CONEC_SMART_7GB_5_10""LD VC ALL"179.9</t>
  </si>
  <si>
    <t>20000"VX Até 10mb""OT_NAT19_FID_CONEC_AVA_20GB_5_10""LD VC ALL"209.9</t>
  </si>
  <si>
    <t>40000"VX Até 10mb""OT_NAT19_TOP_FID_CONEC_40GB_5_10""LD VC ALL"209.9</t>
  </si>
  <si>
    <t>7000"VX Até 15mb""OT_NAT19_FID_CONEC_SMART_7GB_15_35""LD VC ALL"179.9</t>
  </si>
  <si>
    <t>7000"VX Até 25mb""OT_NAT19_FID_CONEC_SMART_7GB_15_35""LD VC ALL"179.9</t>
  </si>
  <si>
    <t>7000"VX 35mb""OT_NAT19_FID_CONEC_SMART_7GB_15_35""LD VC ALL"179.9</t>
  </si>
  <si>
    <t>20000"VX Até 15mb""OT_NAT19_FID_CONEC_AVA_20GB_15_35""LD VC ALL"209.9</t>
  </si>
  <si>
    <t>40000"VX Até 25mb""OT_NAT19_TOP_FID_CONEC_40GB_15_35""LD VC ALL"249.9</t>
  </si>
  <si>
    <t>Pre_selc_velox</t>
  </si>
  <si>
    <t>"OT_CAMPANHA_NFID_RET_NOV19_BL5-10"</t>
  </si>
  <si>
    <t>"OT_FIBRA_NAT19_NFID_CONEC_SMART_POS_7GB"</t>
  </si>
  <si>
    <t>7000"VX 200mb""OT_FIBRA_NAT19_NFID_CONEC_SMART_POS_7GB""LD VC ALL"304.7</t>
  </si>
  <si>
    <t>"OT_FIBRA_NAT19_NFID_CONEC_AVA_POS_20GB"</t>
  </si>
  <si>
    <t>20000"VX 200mb""OT_FIBRA_NAT19_NFID_CONEC_AVA_POS_20GB""LD VC ALL"364.7</t>
  </si>
  <si>
    <t>"OT_FIBRA_NAT19_NFID_CONEC_TOP_POS_40GB"</t>
  </si>
  <si>
    <t>40000"VX 200mb""OT_FIBRA_NAT19_NFID_CONEC_TOP_POS_40GB""LD VC ALL"409.7</t>
  </si>
  <si>
    <t>"OT_FIBRA_NAT19_NFID_CONEC_TOP_TOT_POS_ILIM"</t>
  </si>
  <si>
    <t>40000"VX 200mb""OT_FIBRA_NAT19_NFID_CONEC_TOP_TOT_POS_ILIM""LD VC ALL"409.7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</si>
</sst>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5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right"/>
      <protection locked="0"/>
    </xf>
    <xf numFmtId="49" fontId="0" fillId="2" borderId="4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left"/>
    </xf>
    <xf numFmtId="49" fontId="0" fillId="3" borderId="0" xfId="0" applyNumberFormat="1" applyFill="1" applyAlignment="1" applyProtection="1">
      <alignment horizontal="left"/>
      <protection locked="0"/>
    </xf>
    <xf numFmtId="49" fontId="0" fillId="0" borderId="0" xfId="0" applyNumberFormat="1" applyFill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3679\Rule-Declare-DecisionTableedit_6367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6189\Rule-Declare-DecisionTableedit_6618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B469"/>
  <sheetViews>
    <sheetView workbookViewId="0">
      <selection activeCell="E12" sqref="E12"/>
    </sheetView>
  </sheetViews>
  <sheetFormatPr defaultRowHeight="14.5" x14ac:dyDescent="0.35"/>
  <cols>
    <col min="1" max="1" width="11" bestFit="1" customWidth="1"/>
    <col min="2" max="2" width="16.81640625" bestFit="1" customWidth="1"/>
    <col min="3" max="3" width="17.36328125" customWidth="1"/>
    <col min="4" max="4" width="27.1796875" style="111" bestFit="1" customWidth="1"/>
    <col min="5" max="5" width="27.54296875" bestFit="1" customWidth="1"/>
    <col min="6" max="6" width="12.54296875" style="111" bestFit="1" customWidth="1"/>
    <col min="7" max="7" width="19" bestFit="1" customWidth="1"/>
    <col min="8" max="8" width="17.179687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22.54296875" customWidth="1"/>
    <col min="13" max="13" width="34.453125" bestFit="1" customWidth="1"/>
    <col min="14" max="14" width="27.6328125" bestFit="1" customWidth="1"/>
    <col min="15" max="15" width="26.453125" bestFit="1" customWidth="1"/>
    <col min="16" max="16" width="38.81640625" style="114" bestFit="1" customWidth="1"/>
    <col min="17" max="17" width="38.08984375" bestFit="1" customWidth="1"/>
    <col min="18" max="18" width="28.90625" bestFit="1" customWidth="1"/>
    <col min="19" max="19" width="24.453125" bestFit="1" customWidth="1"/>
    <col min="20" max="20" width="31.1796875" bestFit="1" customWidth="1"/>
    <col min="21" max="21" width="26.54296875" bestFit="1" customWidth="1"/>
    <col min="22" max="22" width="34.81640625" bestFit="1" customWidth="1"/>
    <col min="23" max="24" width="23.453125" bestFit="1" customWidth="1"/>
    <col min="25" max="25" width="23.81640625" bestFit="1" customWidth="1"/>
    <col min="26" max="26" width="22" bestFit="1" customWidth="1"/>
    <col min="27" max="27" width="32.54296875" bestFit="1" customWidth="1"/>
    <col min="28" max="28" width="32.81640625" bestFit="1" customWidth="1"/>
    <col min="29" max="29" width="23.453125" bestFit="1" customWidth="1"/>
    <col min="30" max="30" width="30" bestFit="1" customWidth="1"/>
    <col min="31" max="31" width="28.54296875" bestFit="1" customWidth="1"/>
    <col min="32" max="32" width="32.54296875" bestFit="1" customWidth="1"/>
    <col min="33" max="33" width="47.54296875" bestFit="1" customWidth="1"/>
    <col min="34" max="35" width="54.1796875" bestFit="1" customWidth="1"/>
    <col min="36" max="36" width="40.1796875" bestFit="1" customWidth="1"/>
    <col min="37" max="39" width="44.453125" style="114" bestFit="1" customWidth="1"/>
    <col min="40" max="40" width="36.36328125" style="114" bestFit="1" customWidth="1"/>
    <col min="41" max="41" width="14.54296875" style="111" customWidth="1"/>
    <col min="42" max="42" width="17.1796875" style="111" bestFit="1" customWidth="1"/>
    <col min="43" max="43" width="20.81640625" style="111" bestFit="1" customWidth="1"/>
    <col min="44" max="44" width="12.81640625" bestFit="1" customWidth="1"/>
    <col min="45" max="45" width="18" bestFit="1" customWidth="1"/>
    <col min="46" max="46" width="16.81640625" bestFit="1" customWidth="1"/>
    <col min="47" max="47" width="14" style="114" bestFit="1" customWidth="1"/>
    <col min="48" max="48" width="20.1796875" bestFit="1" customWidth="1"/>
    <col min="49" max="49" width="16.7265625" customWidth="1"/>
    <col min="50" max="50" width="13.6328125" customWidth="1"/>
    <col min="51" max="51" width="12.90625" bestFit="1" customWidth="1"/>
    <col min="52" max="52" width="17.90625" customWidth="1"/>
    <col min="53" max="53" width="0" hidden="1" customWidth="1"/>
    <col min="54" max="54" width="41.1796875" hidden="1" customWidth="1"/>
  </cols>
  <sheetData>
    <row r="2" spans="1:54" s="114" customFormat="1" x14ac:dyDescent="0.35">
      <c r="A2" s="114">
        <v>1</v>
      </c>
      <c r="B2" s="114">
        <v>2</v>
      </c>
      <c r="C2" s="114">
        <v>3</v>
      </c>
      <c r="D2" s="114">
        <v>4</v>
      </c>
      <c r="E2" s="114">
        <v>5</v>
      </c>
      <c r="F2" s="114">
        <v>6</v>
      </c>
      <c r="G2" s="114">
        <v>7</v>
      </c>
      <c r="H2" s="114">
        <v>8</v>
      </c>
      <c r="I2" s="114">
        <v>9</v>
      </c>
      <c r="J2" s="114">
        <v>10</v>
      </c>
      <c r="K2" s="114">
        <v>11</v>
      </c>
      <c r="M2" s="114">
        <v>12</v>
      </c>
      <c r="N2" s="114">
        <v>13</v>
      </c>
      <c r="O2" s="114">
        <v>14</v>
      </c>
      <c r="P2" s="114">
        <v>15</v>
      </c>
      <c r="Q2" s="114">
        <v>16</v>
      </c>
      <c r="R2" s="114">
        <v>17</v>
      </c>
      <c r="S2" s="114">
        <v>18</v>
      </c>
      <c r="T2" s="114">
        <v>19</v>
      </c>
      <c r="U2" s="114">
        <v>20</v>
      </c>
      <c r="V2" s="114">
        <v>21</v>
      </c>
      <c r="W2" s="114">
        <v>22</v>
      </c>
      <c r="X2" s="114">
        <v>23</v>
      </c>
      <c r="Y2" s="114">
        <v>24</v>
      </c>
      <c r="Z2" s="114">
        <v>25</v>
      </c>
      <c r="AA2" s="114">
        <v>26</v>
      </c>
      <c r="AB2" s="114">
        <v>27</v>
      </c>
      <c r="AC2" s="114">
        <v>28</v>
      </c>
      <c r="AD2" s="114">
        <v>29</v>
      </c>
      <c r="AE2" s="114">
        <v>30</v>
      </c>
      <c r="AF2" s="114">
        <v>31</v>
      </c>
      <c r="AG2" s="114">
        <v>32</v>
      </c>
      <c r="AH2" s="114">
        <v>33</v>
      </c>
      <c r="AI2" s="114">
        <v>34</v>
      </c>
      <c r="AJ2" s="114">
        <v>35</v>
      </c>
      <c r="AK2" s="114">
        <v>36</v>
      </c>
      <c r="AL2" s="114">
        <v>37</v>
      </c>
      <c r="AM2" s="114">
        <v>38</v>
      </c>
      <c r="AN2" s="114">
        <v>39</v>
      </c>
      <c r="AO2" s="114">
        <v>40</v>
      </c>
      <c r="AP2" s="114">
        <v>41</v>
      </c>
      <c r="AQ2" s="114">
        <v>42</v>
      </c>
      <c r="AR2" s="114">
        <v>43</v>
      </c>
      <c r="AS2" s="114">
        <v>44</v>
      </c>
      <c r="AT2" s="114">
        <v>45</v>
      </c>
      <c r="AU2" s="114">
        <v>46</v>
      </c>
      <c r="AV2" s="114">
        <v>47</v>
      </c>
      <c r="AW2" s="114">
        <v>48</v>
      </c>
    </row>
    <row r="3" spans="1:54" x14ac:dyDescent="0.35">
      <c r="A3" s="1" t="s">
        <v>0</v>
      </c>
      <c r="B3" s="2" t="s">
        <v>337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/>
      <c r="M3" s="3" t="s">
        <v>10</v>
      </c>
      <c r="N3" s="3" t="s">
        <v>11</v>
      </c>
      <c r="O3" s="3" t="s">
        <v>13</v>
      </c>
      <c r="P3" s="3" t="s">
        <v>14</v>
      </c>
      <c r="Q3" s="3" t="s">
        <v>296</v>
      </c>
      <c r="R3" s="4" t="s">
        <v>15</v>
      </c>
      <c r="S3" s="5" t="s">
        <v>338</v>
      </c>
      <c r="T3" s="5" t="s">
        <v>339</v>
      </c>
      <c r="U3" s="5" t="s">
        <v>340</v>
      </c>
      <c r="V3" s="5" t="s">
        <v>341</v>
      </c>
      <c r="W3" s="5" t="s">
        <v>342</v>
      </c>
      <c r="X3" s="5" t="s">
        <v>343</v>
      </c>
      <c r="Y3" s="5" t="s">
        <v>344</v>
      </c>
      <c r="Z3" s="5" t="s">
        <v>345</v>
      </c>
      <c r="AA3" s="5" t="s">
        <v>346</v>
      </c>
      <c r="AB3" s="5" t="s">
        <v>347</v>
      </c>
      <c r="AC3" s="5" t="s">
        <v>348</v>
      </c>
      <c r="AD3" s="5" t="s">
        <v>12</v>
      </c>
      <c r="AE3" s="5" t="s">
        <v>16</v>
      </c>
      <c r="AF3" s="5" t="s">
        <v>17</v>
      </c>
      <c r="AG3" s="5" t="s">
        <v>18</v>
      </c>
      <c r="AH3" s="5" t="s">
        <v>349</v>
      </c>
      <c r="AI3" s="5" t="s">
        <v>350</v>
      </c>
      <c r="AJ3" s="5" t="s">
        <v>19</v>
      </c>
      <c r="AK3" s="115" t="s">
        <v>20</v>
      </c>
      <c r="AL3" s="115" t="s">
        <v>21</v>
      </c>
      <c r="AM3" s="115" t="s">
        <v>22</v>
      </c>
      <c r="AN3" s="115" t="s">
        <v>23</v>
      </c>
      <c r="AO3" s="5" t="s">
        <v>24</v>
      </c>
      <c r="AP3" s="5" t="s">
        <v>25</v>
      </c>
      <c r="AQ3" s="5" t="s">
        <v>26</v>
      </c>
      <c r="AR3" s="5" t="s">
        <v>27</v>
      </c>
      <c r="AS3" s="5" t="s">
        <v>57</v>
      </c>
      <c r="AT3" s="5" t="s">
        <v>351</v>
      </c>
      <c r="AU3" s="115" t="s">
        <v>28</v>
      </c>
      <c r="AV3" s="5" t="s">
        <v>58</v>
      </c>
      <c r="AW3" s="5" t="s">
        <v>352</v>
      </c>
    </row>
    <row r="4" spans="1:54" x14ac:dyDescent="0.35">
      <c r="A4" s="6" t="s">
        <v>29</v>
      </c>
      <c r="B4" s="7" t="s">
        <v>353</v>
      </c>
      <c r="C4" s="8" t="s">
        <v>1</v>
      </c>
      <c r="D4" s="8" t="s">
        <v>30</v>
      </c>
      <c r="E4" s="8" t="s">
        <v>31</v>
      </c>
      <c r="F4" s="8" t="s">
        <v>32</v>
      </c>
      <c r="G4" s="8" t="s">
        <v>33</v>
      </c>
      <c r="H4" s="8" t="s">
        <v>34</v>
      </c>
      <c r="I4" s="8" t="s">
        <v>7</v>
      </c>
      <c r="J4" s="8" t="s">
        <v>8</v>
      </c>
      <c r="K4" s="8" t="s">
        <v>35</v>
      </c>
      <c r="L4" s="8" t="s">
        <v>385</v>
      </c>
      <c r="M4" s="8" t="s">
        <v>36</v>
      </c>
      <c r="N4" s="8" t="s">
        <v>37</v>
      </c>
      <c r="O4" s="8" t="s">
        <v>38</v>
      </c>
      <c r="P4" s="8" t="s">
        <v>39</v>
      </c>
      <c r="Q4" s="9" t="s">
        <v>297</v>
      </c>
      <c r="R4" s="10"/>
      <c r="S4" s="5" t="s">
        <v>354</v>
      </c>
      <c r="T4" s="5" t="s">
        <v>40</v>
      </c>
      <c r="U4" s="5" t="s">
        <v>41</v>
      </c>
      <c r="V4" s="5" t="s">
        <v>42</v>
      </c>
      <c r="W4" s="5" t="s">
        <v>43</v>
      </c>
      <c r="X4" s="5" t="s">
        <v>44</v>
      </c>
      <c r="Y4" s="5" t="s">
        <v>45</v>
      </c>
      <c r="Z4" s="5" t="s">
        <v>46</v>
      </c>
      <c r="AA4" s="5" t="s">
        <v>47</v>
      </c>
      <c r="AB4" s="5" t="s">
        <v>48</v>
      </c>
      <c r="AC4" s="5" t="s">
        <v>49</v>
      </c>
      <c r="AD4" s="5" t="s">
        <v>12</v>
      </c>
      <c r="AE4" s="5" t="s">
        <v>50</v>
      </c>
      <c r="AF4" s="5" t="s">
        <v>51</v>
      </c>
      <c r="AG4" s="5" t="s">
        <v>18</v>
      </c>
      <c r="AH4" s="5" t="s">
        <v>355</v>
      </c>
      <c r="AI4" s="5" t="s">
        <v>356</v>
      </c>
      <c r="AJ4" s="5" t="s">
        <v>19</v>
      </c>
      <c r="AK4" s="115" t="s">
        <v>52</v>
      </c>
      <c r="AL4" s="115" t="s">
        <v>53</v>
      </c>
      <c r="AM4" s="115" t="s">
        <v>54</v>
      </c>
      <c r="AN4" s="115" t="s">
        <v>23</v>
      </c>
      <c r="AO4" s="5" t="s">
        <v>24</v>
      </c>
      <c r="AP4" s="5" t="s">
        <v>25</v>
      </c>
      <c r="AQ4" s="5" t="s">
        <v>26</v>
      </c>
      <c r="AR4" s="5" t="s">
        <v>55</v>
      </c>
      <c r="AS4" s="5" t="s">
        <v>59</v>
      </c>
      <c r="AT4" s="5" t="s">
        <v>56</v>
      </c>
      <c r="AU4" s="115" t="s">
        <v>28</v>
      </c>
      <c r="AV4" s="5" t="s">
        <v>58</v>
      </c>
      <c r="AW4" s="5" t="s">
        <v>357</v>
      </c>
    </row>
    <row r="5" spans="1:54" x14ac:dyDescent="0.35">
      <c r="A5" t="s">
        <v>303</v>
      </c>
      <c r="D5"/>
      <c r="F5"/>
      <c r="P5"/>
      <c r="BB5" t="s">
        <v>378</v>
      </c>
    </row>
    <row r="6" spans="1:54" x14ac:dyDescent="0.35">
      <c r="D6"/>
      <c r="F6"/>
      <c r="P6"/>
      <c r="BB6" t="s">
        <v>383</v>
      </c>
    </row>
    <row r="7" spans="1:54" x14ac:dyDescent="0.35">
      <c r="D7"/>
      <c r="F7"/>
      <c r="P7"/>
      <c r="BB7" t="s">
        <v>379</v>
      </c>
    </row>
    <row r="8" spans="1:54" x14ac:dyDescent="0.35">
      <c r="D8"/>
      <c r="F8"/>
      <c r="P8"/>
      <c r="R8" s="110"/>
      <c r="BB8" t="s">
        <v>384</v>
      </c>
    </row>
    <row r="9" spans="1:54" x14ac:dyDescent="0.35">
      <c r="D9"/>
      <c r="F9"/>
      <c r="P9"/>
      <c r="BB9" t="s">
        <v>382</v>
      </c>
    </row>
    <row r="10" spans="1:54" x14ac:dyDescent="0.35">
      <c r="D10"/>
      <c r="F10"/>
      <c r="P10"/>
      <c r="R10" s="110"/>
      <c r="BB10" t="s">
        <v>377</v>
      </c>
    </row>
    <row r="11" spans="1:54" x14ac:dyDescent="0.35">
      <c r="D11"/>
      <c r="F11"/>
      <c r="P11"/>
      <c r="BB11" t="s">
        <v>380</v>
      </c>
    </row>
    <row r="12" spans="1:54" x14ac:dyDescent="0.35">
      <c r="D12"/>
      <c r="F12"/>
      <c r="P12"/>
      <c r="BB12" t="s">
        <v>381</v>
      </c>
    </row>
    <row r="13" spans="1:54" x14ac:dyDescent="0.35">
      <c r="D13"/>
      <c r="F13"/>
      <c r="P13"/>
      <c r="R13" s="110"/>
      <c r="BB13" t="s">
        <v>376</v>
      </c>
    </row>
    <row r="14" spans="1:54" x14ac:dyDescent="0.35">
      <c r="D14"/>
      <c r="F14"/>
      <c r="P14"/>
      <c r="AK14"/>
      <c r="AL14"/>
      <c r="AM14"/>
      <c r="AN14"/>
      <c r="AO14"/>
      <c r="AP14"/>
      <c r="AQ14"/>
    </row>
    <row r="15" spans="1:54" x14ac:dyDescent="0.35">
      <c r="D15"/>
      <c r="F15"/>
      <c r="P15"/>
      <c r="AK15"/>
      <c r="AL15"/>
      <c r="AM15"/>
      <c r="AN15"/>
      <c r="AO15"/>
      <c r="AP15"/>
      <c r="AQ15"/>
    </row>
    <row r="16" spans="1:54" x14ac:dyDescent="0.35">
      <c r="D16"/>
      <c r="F16"/>
      <c r="P16"/>
      <c r="AK16"/>
      <c r="AL16"/>
      <c r="AM16"/>
      <c r="AN16"/>
      <c r="AO16"/>
      <c r="AP16"/>
      <c r="AQ16"/>
    </row>
    <row r="17" spans="4:43" x14ac:dyDescent="0.35">
      <c r="D17"/>
      <c r="F17"/>
      <c r="P17"/>
      <c r="AK17"/>
      <c r="AL17"/>
      <c r="AM17"/>
      <c r="AN17"/>
      <c r="AO17"/>
      <c r="AP17"/>
      <c r="AQ17"/>
    </row>
    <row r="18" spans="4:43" x14ac:dyDescent="0.35">
      <c r="D18"/>
      <c r="F18"/>
      <c r="P18"/>
      <c r="AK18"/>
      <c r="AL18"/>
      <c r="AM18"/>
      <c r="AN18"/>
      <c r="AO18"/>
      <c r="AP18"/>
      <c r="AQ18"/>
    </row>
    <row r="19" spans="4:43" x14ac:dyDescent="0.35">
      <c r="D19"/>
      <c r="F19"/>
      <c r="P19"/>
      <c r="AK19"/>
      <c r="AL19"/>
      <c r="AM19"/>
      <c r="AN19"/>
      <c r="AO19"/>
      <c r="AP19"/>
      <c r="AQ19"/>
    </row>
    <row r="20" spans="4:43" x14ac:dyDescent="0.35">
      <c r="D20"/>
      <c r="F20"/>
      <c r="P20"/>
      <c r="AK20"/>
      <c r="AL20"/>
      <c r="AM20"/>
      <c r="AN20"/>
      <c r="AO20"/>
      <c r="AP20"/>
      <c r="AQ20"/>
    </row>
    <row r="21" spans="4:43" x14ac:dyDescent="0.35">
      <c r="D21"/>
      <c r="F21"/>
      <c r="P21"/>
      <c r="AK21"/>
      <c r="AL21"/>
      <c r="AM21"/>
      <c r="AN21"/>
      <c r="AO21"/>
      <c r="AP21"/>
      <c r="AQ21"/>
    </row>
    <row r="22" spans="4:43" x14ac:dyDescent="0.35">
      <c r="D22"/>
      <c r="F22"/>
      <c r="P22"/>
      <c r="AK22"/>
      <c r="AL22"/>
      <c r="AM22"/>
      <c r="AN22"/>
      <c r="AO22"/>
      <c r="AP22"/>
      <c r="AQ22"/>
    </row>
    <row r="23" spans="4:43" x14ac:dyDescent="0.35">
      <c r="D23"/>
      <c r="F23"/>
      <c r="P23"/>
      <c r="AK23"/>
      <c r="AL23"/>
      <c r="AM23"/>
      <c r="AN23"/>
      <c r="AO23"/>
      <c r="AP23"/>
      <c r="AQ23"/>
    </row>
    <row r="24" spans="4:43" x14ac:dyDescent="0.35">
      <c r="D24"/>
      <c r="F24"/>
      <c r="P24"/>
      <c r="AK24"/>
      <c r="AL24"/>
      <c r="AM24"/>
      <c r="AN24"/>
      <c r="AO24"/>
      <c r="AP24"/>
      <c r="AQ24"/>
    </row>
    <row r="25" spans="4:43" x14ac:dyDescent="0.35">
      <c r="D25"/>
      <c r="F25"/>
      <c r="P25"/>
      <c r="AK25"/>
      <c r="AL25"/>
      <c r="AM25"/>
      <c r="AN25"/>
      <c r="AO25"/>
      <c r="AP25"/>
      <c r="AQ25"/>
    </row>
    <row r="26" spans="4:43" x14ac:dyDescent="0.35">
      <c r="D26"/>
      <c r="F26"/>
    </row>
    <row r="27" spans="4:43" x14ac:dyDescent="0.35">
      <c r="D27"/>
      <c r="F27"/>
    </row>
    <row r="28" spans="4:43" x14ac:dyDescent="0.35">
      <c r="D28"/>
      <c r="F28"/>
    </row>
    <row r="29" spans="4:43" x14ac:dyDescent="0.35">
      <c r="F29"/>
    </row>
    <row r="30" spans="4:43" x14ac:dyDescent="0.35">
      <c r="D30"/>
      <c r="F30"/>
    </row>
    <row r="31" spans="4:43" x14ac:dyDescent="0.35">
      <c r="D31"/>
      <c r="F31"/>
    </row>
    <row r="32" spans="4:43" x14ac:dyDescent="0.35">
      <c r="D32"/>
      <c r="F32"/>
      <c r="P32"/>
    </row>
    <row r="33" spans="4:16" x14ac:dyDescent="0.35">
      <c r="D33"/>
      <c r="F33"/>
      <c r="P33"/>
    </row>
    <row r="34" spans="4:16" x14ac:dyDescent="0.35">
      <c r="D34"/>
      <c r="F34"/>
      <c r="P34"/>
    </row>
    <row r="35" spans="4:16" x14ac:dyDescent="0.35">
      <c r="D35"/>
      <c r="F35"/>
      <c r="P35"/>
    </row>
    <row r="36" spans="4:16" x14ac:dyDescent="0.35">
      <c r="D36"/>
      <c r="F36"/>
      <c r="P36"/>
    </row>
    <row r="37" spans="4:16" x14ac:dyDescent="0.35">
      <c r="D37"/>
      <c r="F37"/>
      <c r="P37"/>
    </row>
    <row r="38" spans="4:16" x14ac:dyDescent="0.35">
      <c r="D38"/>
      <c r="F38"/>
      <c r="P38"/>
    </row>
    <row r="39" spans="4:16" x14ac:dyDescent="0.35">
      <c r="D39"/>
      <c r="F39"/>
      <c r="P39"/>
    </row>
    <row r="40" spans="4:16" x14ac:dyDescent="0.35">
      <c r="D40"/>
      <c r="F40"/>
      <c r="P40"/>
    </row>
    <row r="41" spans="4:16" x14ac:dyDescent="0.35">
      <c r="D41"/>
      <c r="F41"/>
      <c r="P41"/>
    </row>
    <row r="42" spans="4:16" x14ac:dyDescent="0.35">
      <c r="D42"/>
      <c r="F42"/>
      <c r="P42"/>
    </row>
    <row r="43" spans="4:16" x14ac:dyDescent="0.35">
      <c r="D43"/>
      <c r="F43"/>
      <c r="P43"/>
    </row>
    <row r="44" spans="4:16" x14ac:dyDescent="0.35">
      <c r="D44"/>
      <c r="F44"/>
      <c r="P44"/>
    </row>
    <row r="45" spans="4:16" x14ac:dyDescent="0.35">
      <c r="D45"/>
      <c r="F45"/>
      <c r="P45"/>
    </row>
    <row r="46" spans="4:16" x14ac:dyDescent="0.35">
      <c r="D46"/>
      <c r="F46"/>
      <c r="P46"/>
    </row>
    <row r="47" spans="4:16" x14ac:dyDescent="0.35">
      <c r="D47"/>
      <c r="F47"/>
      <c r="P47"/>
    </row>
    <row r="48" spans="4:16" x14ac:dyDescent="0.35">
      <c r="D48"/>
      <c r="F48"/>
      <c r="P48"/>
    </row>
    <row r="49" spans="2:18" x14ac:dyDescent="0.35">
      <c r="D49"/>
      <c r="F49"/>
      <c r="P49"/>
    </row>
    <row r="50" spans="2:18" x14ac:dyDescent="0.35">
      <c r="B50" s="110"/>
      <c r="D50"/>
      <c r="F50"/>
      <c r="R50" s="110"/>
    </row>
    <row r="51" spans="2:18" x14ac:dyDescent="0.35">
      <c r="D51"/>
      <c r="F51"/>
    </row>
    <row r="52" spans="2:18" x14ac:dyDescent="0.35">
      <c r="D52"/>
      <c r="F52"/>
    </row>
    <row r="53" spans="2:18" x14ac:dyDescent="0.35">
      <c r="D53"/>
      <c r="F53"/>
    </row>
    <row r="54" spans="2:18" x14ac:dyDescent="0.35">
      <c r="D54"/>
      <c r="F54"/>
    </row>
    <row r="56" spans="2:18" x14ac:dyDescent="0.35">
      <c r="D56"/>
      <c r="F56"/>
      <c r="P56"/>
    </row>
    <row r="57" spans="2:18" x14ac:dyDescent="0.35">
      <c r="D57"/>
      <c r="F57"/>
      <c r="P57"/>
    </row>
    <row r="58" spans="2:18" x14ac:dyDescent="0.35">
      <c r="D58"/>
      <c r="F58"/>
      <c r="P58"/>
    </row>
    <row r="59" spans="2:18" x14ac:dyDescent="0.35">
      <c r="D59"/>
      <c r="F59"/>
      <c r="P59"/>
    </row>
    <row r="60" spans="2:18" x14ac:dyDescent="0.35">
      <c r="D60"/>
      <c r="F60"/>
      <c r="P60"/>
    </row>
    <row r="61" spans="2:18" x14ac:dyDescent="0.35">
      <c r="D61"/>
      <c r="F61"/>
      <c r="P61"/>
    </row>
    <row r="62" spans="2:18" x14ac:dyDescent="0.35">
      <c r="D62"/>
      <c r="F62"/>
      <c r="P62"/>
    </row>
    <row r="63" spans="2:18" x14ac:dyDescent="0.35">
      <c r="D63"/>
      <c r="F63"/>
      <c r="P63"/>
    </row>
    <row r="64" spans="2:18" x14ac:dyDescent="0.35">
      <c r="D64"/>
      <c r="F64"/>
      <c r="P64"/>
    </row>
    <row r="65" spans="4:16" x14ac:dyDescent="0.35">
      <c r="D65"/>
      <c r="F65"/>
      <c r="P65"/>
    </row>
    <row r="66" spans="4:16" x14ac:dyDescent="0.35">
      <c r="D66"/>
      <c r="F66"/>
      <c r="P66"/>
    </row>
    <row r="67" spans="4:16" x14ac:dyDescent="0.35">
      <c r="D67"/>
      <c r="F67"/>
      <c r="P67"/>
    </row>
    <row r="68" spans="4:16" x14ac:dyDescent="0.35">
      <c r="D68"/>
      <c r="F68"/>
      <c r="P68"/>
    </row>
    <row r="69" spans="4:16" x14ac:dyDescent="0.35">
      <c r="D69"/>
      <c r="F69"/>
      <c r="P69"/>
    </row>
    <row r="70" spans="4:16" x14ac:dyDescent="0.35">
      <c r="D70"/>
      <c r="F70"/>
      <c r="P70"/>
    </row>
    <row r="71" spans="4:16" x14ac:dyDescent="0.35">
      <c r="D71"/>
      <c r="F71"/>
      <c r="P71"/>
    </row>
    <row r="72" spans="4:16" x14ac:dyDescent="0.35">
      <c r="D72"/>
      <c r="F72"/>
      <c r="P72"/>
    </row>
    <row r="73" spans="4:16" x14ac:dyDescent="0.35">
      <c r="D73"/>
      <c r="F73"/>
      <c r="P73"/>
    </row>
    <row r="74" spans="4:16" x14ac:dyDescent="0.35">
      <c r="D74"/>
      <c r="F74"/>
      <c r="P74"/>
    </row>
    <row r="75" spans="4:16" x14ac:dyDescent="0.35">
      <c r="D75"/>
      <c r="F75"/>
      <c r="P75"/>
    </row>
    <row r="76" spans="4:16" x14ac:dyDescent="0.35">
      <c r="D76"/>
      <c r="F76"/>
      <c r="P76"/>
    </row>
    <row r="77" spans="4:16" x14ac:dyDescent="0.35">
      <c r="D77"/>
      <c r="F77"/>
      <c r="P77"/>
    </row>
    <row r="78" spans="4:16" x14ac:dyDescent="0.35">
      <c r="D78"/>
      <c r="F78"/>
      <c r="P78"/>
    </row>
    <row r="79" spans="4:16" x14ac:dyDescent="0.35">
      <c r="D79"/>
      <c r="F79"/>
      <c r="P79"/>
    </row>
    <row r="80" spans="4:16" x14ac:dyDescent="0.35">
      <c r="D80"/>
      <c r="F80"/>
      <c r="P80"/>
    </row>
    <row r="81" spans="4:16" x14ac:dyDescent="0.35">
      <c r="D81"/>
      <c r="F81"/>
      <c r="P81"/>
    </row>
    <row r="82" spans="4:16" x14ac:dyDescent="0.35">
      <c r="D82"/>
      <c r="F82"/>
      <c r="P82"/>
    </row>
    <row r="83" spans="4:16" x14ac:dyDescent="0.35">
      <c r="D83"/>
      <c r="F83"/>
      <c r="P83"/>
    </row>
    <row r="84" spans="4:16" x14ac:dyDescent="0.35">
      <c r="D84"/>
      <c r="F84"/>
      <c r="P84"/>
    </row>
    <row r="85" spans="4:16" x14ac:dyDescent="0.35">
      <c r="D85"/>
      <c r="F85"/>
      <c r="P85"/>
    </row>
    <row r="86" spans="4:16" x14ac:dyDescent="0.35">
      <c r="D86"/>
      <c r="F86"/>
      <c r="P86"/>
    </row>
    <row r="87" spans="4:16" x14ac:dyDescent="0.35">
      <c r="D87"/>
      <c r="F87"/>
      <c r="P87"/>
    </row>
    <row r="88" spans="4:16" x14ac:dyDescent="0.35">
      <c r="D88"/>
      <c r="F88"/>
      <c r="P88"/>
    </row>
    <row r="89" spans="4:16" x14ac:dyDescent="0.35">
      <c r="D89"/>
      <c r="F89"/>
      <c r="P89"/>
    </row>
    <row r="90" spans="4:16" x14ac:dyDescent="0.35">
      <c r="D90"/>
      <c r="F90"/>
      <c r="P90"/>
    </row>
    <row r="91" spans="4:16" x14ac:dyDescent="0.35">
      <c r="D91"/>
      <c r="F91"/>
      <c r="P91"/>
    </row>
    <row r="92" spans="4:16" x14ac:dyDescent="0.35">
      <c r="D92"/>
      <c r="F92"/>
      <c r="P92"/>
    </row>
    <row r="93" spans="4:16" x14ac:dyDescent="0.35">
      <c r="D93"/>
      <c r="F93"/>
      <c r="P93"/>
    </row>
    <row r="94" spans="4:16" x14ac:dyDescent="0.35">
      <c r="D94"/>
      <c r="F94"/>
      <c r="P94"/>
    </row>
    <row r="95" spans="4:16" x14ac:dyDescent="0.35">
      <c r="D95"/>
      <c r="F95"/>
      <c r="P95"/>
    </row>
    <row r="96" spans="4:16" x14ac:dyDescent="0.35">
      <c r="D96"/>
      <c r="F96"/>
      <c r="P96"/>
    </row>
    <row r="97" spans="4:16" x14ac:dyDescent="0.35">
      <c r="D97"/>
      <c r="F97"/>
      <c r="P97"/>
    </row>
    <row r="98" spans="4:16" x14ac:dyDescent="0.35">
      <c r="D98"/>
      <c r="F98"/>
      <c r="P98"/>
    </row>
    <row r="99" spans="4:16" x14ac:dyDescent="0.35">
      <c r="D99"/>
      <c r="F99"/>
      <c r="P99"/>
    </row>
    <row r="100" spans="4:16" x14ac:dyDescent="0.35">
      <c r="D100"/>
      <c r="F100"/>
      <c r="P100"/>
    </row>
    <row r="101" spans="4:16" x14ac:dyDescent="0.35">
      <c r="D101"/>
      <c r="F101"/>
      <c r="P101"/>
    </row>
    <row r="102" spans="4:16" x14ac:dyDescent="0.35">
      <c r="D102"/>
      <c r="F102"/>
      <c r="P102"/>
    </row>
    <row r="103" spans="4:16" x14ac:dyDescent="0.35">
      <c r="D103"/>
      <c r="F103"/>
      <c r="P103"/>
    </row>
    <row r="104" spans="4:16" x14ac:dyDescent="0.35">
      <c r="D104"/>
      <c r="F104"/>
      <c r="P104"/>
    </row>
    <row r="105" spans="4:16" x14ac:dyDescent="0.35">
      <c r="D105"/>
      <c r="F105"/>
      <c r="P105"/>
    </row>
    <row r="106" spans="4:16" x14ac:dyDescent="0.35">
      <c r="D106"/>
      <c r="F106"/>
      <c r="P106"/>
    </row>
    <row r="107" spans="4:16" x14ac:dyDescent="0.35">
      <c r="D107"/>
      <c r="F107"/>
      <c r="P107"/>
    </row>
    <row r="108" spans="4:16" x14ac:dyDescent="0.35">
      <c r="D108"/>
      <c r="F108"/>
      <c r="P108"/>
    </row>
    <row r="109" spans="4:16" x14ac:dyDescent="0.35">
      <c r="D109"/>
      <c r="F109"/>
      <c r="P109"/>
    </row>
    <row r="110" spans="4:16" x14ac:dyDescent="0.35">
      <c r="D110"/>
      <c r="F110"/>
      <c r="P110"/>
    </row>
    <row r="111" spans="4:16" x14ac:dyDescent="0.35">
      <c r="D111"/>
      <c r="F111"/>
      <c r="P111"/>
    </row>
    <row r="112" spans="4:16" x14ac:dyDescent="0.35">
      <c r="D112"/>
      <c r="F112"/>
      <c r="P112"/>
    </row>
    <row r="113" spans="4:16" x14ac:dyDescent="0.35">
      <c r="D113"/>
      <c r="F113"/>
      <c r="P113"/>
    </row>
    <row r="114" spans="4:16" x14ac:dyDescent="0.35">
      <c r="D114"/>
      <c r="F114"/>
      <c r="P114"/>
    </row>
    <row r="115" spans="4:16" x14ac:dyDescent="0.35">
      <c r="D115"/>
      <c r="F115"/>
      <c r="P115"/>
    </row>
    <row r="116" spans="4:16" x14ac:dyDescent="0.35">
      <c r="D116"/>
      <c r="F116"/>
      <c r="P116"/>
    </row>
    <row r="117" spans="4:16" x14ac:dyDescent="0.35">
      <c r="D117"/>
      <c r="F117"/>
      <c r="P117"/>
    </row>
    <row r="118" spans="4:16" x14ac:dyDescent="0.35">
      <c r="D118"/>
      <c r="F118"/>
      <c r="P118"/>
    </row>
    <row r="119" spans="4:16" x14ac:dyDescent="0.35">
      <c r="D119"/>
      <c r="F119"/>
      <c r="P119"/>
    </row>
    <row r="120" spans="4:16" x14ac:dyDescent="0.35">
      <c r="D120"/>
      <c r="F120"/>
      <c r="P120"/>
    </row>
    <row r="121" spans="4:16" x14ac:dyDescent="0.35">
      <c r="D121"/>
      <c r="F121"/>
      <c r="P121"/>
    </row>
    <row r="122" spans="4:16" x14ac:dyDescent="0.35">
      <c r="D122"/>
      <c r="F122"/>
      <c r="P122"/>
    </row>
    <row r="123" spans="4:16" x14ac:dyDescent="0.35">
      <c r="D123"/>
      <c r="F123"/>
      <c r="P123"/>
    </row>
    <row r="124" spans="4:16" x14ac:dyDescent="0.35">
      <c r="D124"/>
      <c r="F124"/>
      <c r="P124"/>
    </row>
    <row r="125" spans="4:16" x14ac:dyDescent="0.35">
      <c r="D125"/>
      <c r="F125"/>
      <c r="P125"/>
    </row>
    <row r="126" spans="4:16" x14ac:dyDescent="0.35">
      <c r="D126"/>
      <c r="F126"/>
      <c r="P126"/>
    </row>
    <row r="127" spans="4:16" x14ac:dyDescent="0.35">
      <c r="D127"/>
      <c r="F127"/>
      <c r="P127"/>
    </row>
    <row r="128" spans="4:16" x14ac:dyDescent="0.35">
      <c r="D128"/>
      <c r="F128"/>
      <c r="P128"/>
    </row>
    <row r="129" spans="4:16" x14ac:dyDescent="0.35">
      <c r="D129"/>
      <c r="F129"/>
      <c r="P129"/>
    </row>
    <row r="130" spans="4:16" x14ac:dyDescent="0.35">
      <c r="D130"/>
      <c r="F130"/>
      <c r="P130"/>
    </row>
    <row r="131" spans="4:16" x14ac:dyDescent="0.35">
      <c r="D131"/>
      <c r="F131"/>
      <c r="P131"/>
    </row>
    <row r="132" spans="4:16" x14ac:dyDescent="0.35">
      <c r="D132"/>
      <c r="F132"/>
      <c r="P132"/>
    </row>
    <row r="133" spans="4:16" x14ac:dyDescent="0.35">
      <c r="D133"/>
      <c r="F133"/>
      <c r="P133"/>
    </row>
    <row r="134" spans="4:16" x14ac:dyDescent="0.35">
      <c r="D134"/>
      <c r="F134"/>
      <c r="P134"/>
    </row>
    <row r="135" spans="4:16" x14ac:dyDescent="0.35">
      <c r="D135"/>
      <c r="F135"/>
      <c r="P135"/>
    </row>
    <row r="136" spans="4:16" x14ac:dyDescent="0.35">
      <c r="D136"/>
      <c r="F136"/>
      <c r="P136"/>
    </row>
    <row r="137" spans="4:16" x14ac:dyDescent="0.35">
      <c r="D137"/>
      <c r="F137"/>
      <c r="P137"/>
    </row>
    <row r="138" spans="4:16" x14ac:dyDescent="0.35">
      <c r="D138"/>
      <c r="F138"/>
      <c r="P138"/>
    </row>
    <row r="139" spans="4:16" x14ac:dyDescent="0.35">
      <c r="D139"/>
      <c r="F139"/>
      <c r="P139"/>
    </row>
    <row r="140" spans="4:16" x14ac:dyDescent="0.35">
      <c r="D140"/>
      <c r="F140"/>
      <c r="P140"/>
    </row>
    <row r="141" spans="4:16" x14ac:dyDescent="0.35">
      <c r="D141"/>
      <c r="F141"/>
      <c r="P141"/>
    </row>
    <row r="142" spans="4:16" x14ac:dyDescent="0.35">
      <c r="D142"/>
      <c r="F142"/>
      <c r="P142"/>
    </row>
    <row r="143" spans="4:16" x14ac:dyDescent="0.35">
      <c r="D143"/>
      <c r="F143"/>
      <c r="P143"/>
    </row>
    <row r="144" spans="4:16" x14ac:dyDescent="0.35">
      <c r="D144"/>
      <c r="F144"/>
      <c r="P144"/>
    </row>
    <row r="145" spans="4:16" x14ac:dyDescent="0.35">
      <c r="D145"/>
      <c r="F145"/>
      <c r="P145"/>
    </row>
    <row r="146" spans="4:16" x14ac:dyDescent="0.35">
      <c r="D146"/>
      <c r="F146"/>
      <c r="P146"/>
    </row>
    <row r="147" spans="4:16" x14ac:dyDescent="0.35">
      <c r="D147"/>
      <c r="F147"/>
      <c r="P147"/>
    </row>
    <row r="148" spans="4:16" x14ac:dyDescent="0.35">
      <c r="D148"/>
      <c r="F148"/>
      <c r="P148"/>
    </row>
    <row r="149" spans="4:16" x14ac:dyDescent="0.35">
      <c r="D149"/>
      <c r="F149"/>
      <c r="P149"/>
    </row>
    <row r="150" spans="4:16" x14ac:dyDescent="0.35">
      <c r="D150"/>
      <c r="F150"/>
      <c r="P150"/>
    </row>
    <row r="151" spans="4:16" x14ac:dyDescent="0.35">
      <c r="D151"/>
      <c r="F151"/>
      <c r="P151"/>
    </row>
    <row r="152" spans="4:16" x14ac:dyDescent="0.35">
      <c r="D152"/>
      <c r="F152"/>
      <c r="P152"/>
    </row>
    <row r="153" spans="4:16" x14ac:dyDescent="0.35">
      <c r="D153"/>
      <c r="F153"/>
      <c r="P153"/>
    </row>
    <row r="154" spans="4:16" x14ac:dyDescent="0.35">
      <c r="D154"/>
      <c r="F154"/>
      <c r="P154"/>
    </row>
    <row r="155" spans="4:16" x14ac:dyDescent="0.35">
      <c r="D155"/>
      <c r="F155"/>
      <c r="P155"/>
    </row>
    <row r="156" spans="4:16" x14ac:dyDescent="0.35">
      <c r="D156"/>
      <c r="F156"/>
      <c r="P156"/>
    </row>
    <row r="157" spans="4:16" x14ac:dyDescent="0.35">
      <c r="D157"/>
      <c r="F157"/>
      <c r="P157"/>
    </row>
    <row r="158" spans="4:16" x14ac:dyDescent="0.35">
      <c r="D158"/>
      <c r="F158"/>
      <c r="P158"/>
    </row>
    <row r="159" spans="4:16" x14ac:dyDescent="0.35">
      <c r="D159"/>
      <c r="F159"/>
      <c r="P159"/>
    </row>
    <row r="160" spans="4:16" x14ac:dyDescent="0.35">
      <c r="D160"/>
      <c r="F160"/>
      <c r="P160"/>
    </row>
    <row r="161" spans="4:16" x14ac:dyDescent="0.35">
      <c r="D161"/>
      <c r="F161"/>
      <c r="P161"/>
    </row>
    <row r="162" spans="4:16" x14ac:dyDescent="0.35">
      <c r="D162"/>
      <c r="F162"/>
      <c r="P162"/>
    </row>
    <row r="163" spans="4:16" x14ac:dyDescent="0.35">
      <c r="D163"/>
      <c r="F163"/>
      <c r="P163"/>
    </row>
    <row r="164" spans="4:16" x14ac:dyDescent="0.35">
      <c r="D164"/>
      <c r="F164"/>
      <c r="P164"/>
    </row>
    <row r="165" spans="4:16" x14ac:dyDescent="0.35">
      <c r="D165"/>
      <c r="F165"/>
      <c r="P165"/>
    </row>
    <row r="166" spans="4:16" x14ac:dyDescent="0.35">
      <c r="D166"/>
      <c r="F166"/>
      <c r="P166"/>
    </row>
    <row r="167" spans="4:16" x14ac:dyDescent="0.35">
      <c r="D167"/>
      <c r="F167"/>
      <c r="P167"/>
    </row>
    <row r="168" spans="4:16" x14ac:dyDescent="0.35">
      <c r="D168"/>
      <c r="F168"/>
      <c r="P168"/>
    </row>
    <row r="169" spans="4:16" x14ac:dyDescent="0.35">
      <c r="D169"/>
      <c r="F169"/>
      <c r="P169"/>
    </row>
    <row r="170" spans="4:16" x14ac:dyDescent="0.35">
      <c r="D170"/>
      <c r="F170"/>
      <c r="P170"/>
    </row>
    <row r="171" spans="4:16" x14ac:dyDescent="0.35">
      <c r="D171"/>
      <c r="F171"/>
      <c r="P171"/>
    </row>
    <row r="172" spans="4:16" x14ac:dyDescent="0.35">
      <c r="D172"/>
      <c r="F172"/>
      <c r="P172"/>
    </row>
    <row r="173" spans="4:16" x14ac:dyDescent="0.35">
      <c r="D173"/>
      <c r="F173"/>
      <c r="P173"/>
    </row>
    <row r="174" spans="4:16" x14ac:dyDescent="0.35">
      <c r="D174"/>
      <c r="F174"/>
      <c r="P174"/>
    </row>
    <row r="175" spans="4:16" x14ac:dyDescent="0.35">
      <c r="D175"/>
      <c r="F175"/>
      <c r="P175"/>
    </row>
    <row r="176" spans="4:16" x14ac:dyDescent="0.35">
      <c r="D176"/>
      <c r="F176"/>
      <c r="P176"/>
    </row>
    <row r="177" spans="4:16" x14ac:dyDescent="0.35">
      <c r="D177"/>
      <c r="F177"/>
      <c r="P177"/>
    </row>
    <row r="178" spans="4:16" x14ac:dyDescent="0.35">
      <c r="D178"/>
      <c r="F178"/>
      <c r="P178"/>
    </row>
    <row r="179" spans="4:16" x14ac:dyDescent="0.35">
      <c r="D179"/>
      <c r="F179"/>
      <c r="P179"/>
    </row>
    <row r="180" spans="4:16" x14ac:dyDescent="0.35">
      <c r="D180"/>
      <c r="F180"/>
      <c r="P180"/>
    </row>
    <row r="181" spans="4:16" x14ac:dyDescent="0.35">
      <c r="D181"/>
      <c r="F181"/>
      <c r="P181"/>
    </row>
    <row r="182" spans="4:16" x14ac:dyDescent="0.35">
      <c r="D182"/>
      <c r="F182"/>
      <c r="P182"/>
    </row>
    <row r="183" spans="4:16" x14ac:dyDescent="0.35">
      <c r="D183"/>
      <c r="F183"/>
      <c r="P183"/>
    </row>
    <row r="184" spans="4:16" x14ac:dyDescent="0.35">
      <c r="D184"/>
      <c r="F184"/>
      <c r="P184"/>
    </row>
    <row r="185" spans="4:16" x14ac:dyDescent="0.35">
      <c r="D185"/>
      <c r="F185"/>
      <c r="P185"/>
    </row>
    <row r="186" spans="4:16" x14ac:dyDescent="0.35">
      <c r="D186"/>
      <c r="F186"/>
      <c r="P186"/>
    </row>
    <row r="187" spans="4:16" x14ac:dyDescent="0.35">
      <c r="D187"/>
      <c r="F187"/>
      <c r="P187"/>
    </row>
    <row r="188" spans="4:16" x14ac:dyDescent="0.35">
      <c r="D188"/>
      <c r="F188"/>
      <c r="P188"/>
    </row>
    <row r="189" spans="4:16" x14ac:dyDescent="0.35">
      <c r="D189"/>
      <c r="F189"/>
      <c r="P189"/>
    </row>
    <row r="190" spans="4:16" x14ac:dyDescent="0.35">
      <c r="D190"/>
      <c r="F190"/>
      <c r="P190"/>
    </row>
    <row r="191" spans="4:16" x14ac:dyDescent="0.35">
      <c r="D191"/>
      <c r="F191"/>
      <c r="P191"/>
    </row>
    <row r="192" spans="4:16" x14ac:dyDescent="0.35">
      <c r="D192"/>
      <c r="F192"/>
      <c r="P192"/>
    </row>
    <row r="193" spans="4:16" x14ac:dyDescent="0.35">
      <c r="D193"/>
      <c r="F193"/>
      <c r="P193"/>
    </row>
    <row r="194" spans="4:16" x14ac:dyDescent="0.35">
      <c r="D194"/>
      <c r="F194"/>
      <c r="P194"/>
    </row>
    <row r="195" spans="4:16" x14ac:dyDescent="0.35">
      <c r="D195"/>
      <c r="F195"/>
      <c r="P195"/>
    </row>
    <row r="196" spans="4:16" x14ac:dyDescent="0.35">
      <c r="D196"/>
      <c r="F196"/>
      <c r="P196"/>
    </row>
    <row r="197" spans="4:16" x14ac:dyDescent="0.35">
      <c r="D197"/>
      <c r="F197"/>
      <c r="P197"/>
    </row>
    <row r="198" spans="4:16" x14ac:dyDescent="0.35">
      <c r="D198"/>
      <c r="F198"/>
      <c r="P198"/>
    </row>
    <row r="199" spans="4:16" x14ac:dyDescent="0.35">
      <c r="D199"/>
      <c r="F199"/>
      <c r="P199"/>
    </row>
    <row r="200" spans="4:16" x14ac:dyDescent="0.35">
      <c r="D200"/>
      <c r="F200"/>
      <c r="P200"/>
    </row>
    <row r="201" spans="4:16" x14ac:dyDescent="0.35">
      <c r="D201"/>
      <c r="F201"/>
      <c r="P201"/>
    </row>
    <row r="202" spans="4:16" x14ac:dyDescent="0.35">
      <c r="D202"/>
      <c r="F202"/>
      <c r="P202"/>
    </row>
    <row r="203" spans="4:16" x14ac:dyDescent="0.35">
      <c r="D203"/>
      <c r="F203"/>
      <c r="P203"/>
    </row>
    <row r="204" spans="4:16" x14ac:dyDescent="0.35">
      <c r="D204"/>
      <c r="F204"/>
      <c r="P204"/>
    </row>
    <row r="205" spans="4:16" x14ac:dyDescent="0.35">
      <c r="D205"/>
      <c r="F205"/>
      <c r="P205"/>
    </row>
    <row r="206" spans="4:16" x14ac:dyDescent="0.35">
      <c r="D206"/>
      <c r="F206"/>
      <c r="P206"/>
    </row>
    <row r="207" spans="4:16" x14ac:dyDescent="0.35">
      <c r="D207"/>
      <c r="F207"/>
      <c r="P207"/>
    </row>
    <row r="208" spans="4:16" x14ac:dyDescent="0.35">
      <c r="D208"/>
      <c r="F208"/>
      <c r="P208"/>
    </row>
    <row r="209" spans="4:16" x14ac:dyDescent="0.35">
      <c r="D209"/>
      <c r="F209"/>
      <c r="P209"/>
    </row>
    <row r="210" spans="4:16" x14ac:dyDescent="0.35">
      <c r="D210"/>
      <c r="F210"/>
      <c r="P210"/>
    </row>
    <row r="211" spans="4:16" x14ac:dyDescent="0.35">
      <c r="D211"/>
      <c r="F211"/>
      <c r="P211"/>
    </row>
    <row r="212" spans="4:16" x14ac:dyDescent="0.35">
      <c r="D212"/>
      <c r="F212"/>
      <c r="P212"/>
    </row>
    <row r="213" spans="4:16" x14ac:dyDescent="0.35">
      <c r="D213"/>
      <c r="F213"/>
      <c r="P213"/>
    </row>
    <row r="214" spans="4:16" x14ac:dyDescent="0.35">
      <c r="D214"/>
      <c r="F214"/>
      <c r="P214"/>
    </row>
    <row r="215" spans="4:16" x14ac:dyDescent="0.35">
      <c r="D215"/>
      <c r="F215"/>
      <c r="P215"/>
    </row>
    <row r="216" spans="4:16" x14ac:dyDescent="0.35">
      <c r="D216"/>
      <c r="F216"/>
      <c r="P216"/>
    </row>
    <row r="217" spans="4:16" x14ac:dyDescent="0.35">
      <c r="D217"/>
      <c r="F217"/>
      <c r="P217"/>
    </row>
    <row r="218" spans="4:16" x14ac:dyDescent="0.35">
      <c r="D218"/>
      <c r="F218"/>
      <c r="P218"/>
    </row>
    <row r="219" spans="4:16" x14ac:dyDescent="0.35">
      <c r="D219"/>
      <c r="F219"/>
      <c r="P219"/>
    </row>
    <row r="220" spans="4:16" x14ac:dyDescent="0.35">
      <c r="D220"/>
      <c r="F220"/>
      <c r="P220"/>
    </row>
    <row r="221" spans="4:16" x14ac:dyDescent="0.35">
      <c r="D221"/>
      <c r="F221"/>
      <c r="P221"/>
    </row>
    <row r="222" spans="4:16" x14ac:dyDescent="0.35">
      <c r="D222"/>
      <c r="F222"/>
      <c r="P222"/>
    </row>
    <row r="223" spans="4:16" x14ac:dyDescent="0.35">
      <c r="D223"/>
      <c r="F223"/>
      <c r="P223"/>
    </row>
    <row r="224" spans="4:16" x14ac:dyDescent="0.35">
      <c r="D224"/>
      <c r="F224"/>
    </row>
    <row r="225" spans="4:6" x14ac:dyDescent="0.35">
      <c r="D225"/>
      <c r="F225"/>
    </row>
    <row r="226" spans="4:6" x14ac:dyDescent="0.35">
      <c r="D226"/>
      <c r="F226"/>
    </row>
    <row r="227" spans="4:6" x14ac:dyDescent="0.35">
      <c r="D227"/>
      <c r="F227"/>
    </row>
    <row r="228" spans="4:6" x14ac:dyDescent="0.35">
      <c r="D228"/>
      <c r="F228"/>
    </row>
    <row r="229" spans="4:6" x14ac:dyDescent="0.35">
      <c r="D229"/>
      <c r="F229"/>
    </row>
    <row r="230" spans="4:6" x14ac:dyDescent="0.35">
      <c r="D230"/>
      <c r="F230"/>
    </row>
    <row r="231" spans="4:6" x14ac:dyDescent="0.35">
      <c r="D231"/>
      <c r="F231"/>
    </row>
    <row r="232" spans="4:6" x14ac:dyDescent="0.35">
      <c r="D232"/>
      <c r="F232"/>
    </row>
    <row r="233" spans="4:6" x14ac:dyDescent="0.35">
      <c r="D233"/>
      <c r="F233"/>
    </row>
    <row r="234" spans="4:6" x14ac:dyDescent="0.35">
      <c r="D234"/>
      <c r="F234"/>
    </row>
    <row r="235" spans="4:6" x14ac:dyDescent="0.35">
      <c r="D235"/>
      <c r="F235"/>
    </row>
    <row r="236" spans="4:6" x14ac:dyDescent="0.35">
      <c r="D236"/>
      <c r="F236"/>
    </row>
    <row r="237" spans="4:6" x14ac:dyDescent="0.35">
      <c r="D237"/>
      <c r="F237"/>
    </row>
    <row r="238" spans="4:6" x14ac:dyDescent="0.35">
      <c r="D238"/>
      <c r="F238"/>
    </row>
    <row r="239" spans="4:6" x14ac:dyDescent="0.35">
      <c r="D239"/>
      <c r="F239"/>
    </row>
    <row r="240" spans="4:6" x14ac:dyDescent="0.35">
      <c r="D240"/>
      <c r="F240"/>
    </row>
    <row r="241" spans="4:6" x14ac:dyDescent="0.35">
      <c r="D241"/>
      <c r="F241"/>
    </row>
    <row r="242" spans="4:6" x14ac:dyDescent="0.35">
      <c r="D242"/>
      <c r="F242"/>
    </row>
    <row r="243" spans="4:6" x14ac:dyDescent="0.35">
      <c r="D243"/>
      <c r="F243"/>
    </row>
    <row r="244" spans="4:6" x14ac:dyDescent="0.35">
      <c r="D244"/>
      <c r="F244"/>
    </row>
    <row r="245" spans="4:6" x14ac:dyDescent="0.35">
      <c r="D245"/>
      <c r="F245"/>
    </row>
    <row r="246" spans="4:6" x14ac:dyDescent="0.35">
      <c r="D246"/>
      <c r="F246"/>
    </row>
    <row r="247" spans="4:6" x14ac:dyDescent="0.35">
      <c r="D247"/>
      <c r="F247"/>
    </row>
    <row r="248" spans="4:6" x14ac:dyDescent="0.35">
      <c r="D248"/>
      <c r="F248"/>
    </row>
    <row r="249" spans="4:6" x14ac:dyDescent="0.35">
      <c r="D249"/>
      <c r="F249"/>
    </row>
    <row r="250" spans="4:6" x14ac:dyDescent="0.35">
      <c r="D250"/>
      <c r="F250"/>
    </row>
    <row r="251" spans="4:6" x14ac:dyDescent="0.35">
      <c r="D251"/>
      <c r="F251"/>
    </row>
    <row r="252" spans="4:6" x14ac:dyDescent="0.35">
      <c r="D252"/>
      <c r="F252"/>
    </row>
    <row r="253" spans="4:6" x14ac:dyDescent="0.35">
      <c r="D253"/>
      <c r="F253"/>
    </row>
    <row r="254" spans="4:6" x14ac:dyDescent="0.35">
      <c r="D254"/>
      <c r="F254"/>
    </row>
    <row r="255" spans="4:6" x14ac:dyDescent="0.35">
      <c r="D255"/>
      <c r="F255"/>
    </row>
    <row r="256" spans="4:6" x14ac:dyDescent="0.35">
      <c r="D256"/>
      <c r="F256"/>
    </row>
    <row r="257" spans="4:6" x14ac:dyDescent="0.35">
      <c r="D257"/>
      <c r="F257"/>
    </row>
    <row r="258" spans="4:6" x14ac:dyDescent="0.35">
      <c r="D258"/>
      <c r="F258"/>
    </row>
    <row r="259" spans="4:6" x14ac:dyDescent="0.35">
      <c r="D259"/>
      <c r="F259"/>
    </row>
    <row r="260" spans="4:6" x14ac:dyDescent="0.35">
      <c r="D260"/>
      <c r="F260"/>
    </row>
    <row r="261" spans="4:6" x14ac:dyDescent="0.35">
      <c r="D261"/>
      <c r="F261"/>
    </row>
    <row r="262" spans="4:6" x14ac:dyDescent="0.35">
      <c r="D262"/>
      <c r="F262"/>
    </row>
    <row r="263" spans="4:6" x14ac:dyDescent="0.35">
      <c r="D263"/>
      <c r="F263"/>
    </row>
    <row r="264" spans="4:6" x14ac:dyDescent="0.35">
      <c r="D264"/>
      <c r="F264"/>
    </row>
    <row r="265" spans="4:6" x14ac:dyDescent="0.35">
      <c r="D265"/>
      <c r="F265"/>
    </row>
    <row r="266" spans="4:6" x14ac:dyDescent="0.35">
      <c r="D266"/>
      <c r="F266"/>
    </row>
    <row r="267" spans="4:6" x14ac:dyDescent="0.35">
      <c r="D267"/>
      <c r="F267"/>
    </row>
    <row r="268" spans="4:6" x14ac:dyDescent="0.35">
      <c r="D268"/>
      <c r="F268"/>
    </row>
    <row r="269" spans="4:6" x14ac:dyDescent="0.35">
      <c r="D269"/>
      <c r="F269"/>
    </row>
    <row r="270" spans="4:6" x14ac:dyDescent="0.35">
      <c r="D270"/>
      <c r="F270"/>
    </row>
    <row r="271" spans="4:6" x14ac:dyDescent="0.35">
      <c r="D271"/>
      <c r="F271"/>
    </row>
    <row r="272" spans="4:6" x14ac:dyDescent="0.35">
      <c r="D272"/>
      <c r="F272"/>
    </row>
    <row r="273" spans="4:6" x14ac:dyDescent="0.35">
      <c r="D273"/>
      <c r="F273"/>
    </row>
    <row r="274" spans="4:6" x14ac:dyDescent="0.35">
      <c r="D274"/>
      <c r="F274"/>
    </row>
    <row r="275" spans="4:6" x14ac:dyDescent="0.35">
      <c r="D275"/>
      <c r="F275"/>
    </row>
    <row r="276" spans="4:6" x14ac:dyDescent="0.35">
      <c r="D276"/>
      <c r="F276"/>
    </row>
    <row r="277" spans="4:6" x14ac:dyDescent="0.35">
      <c r="D277"/>
      <c r="F277"/>
    </row>
    <row r="278" spans="4:6" x14ac:dyDescent="0.35">
      <c r="D278"/>
      <c r="F278"/>
    </row>
    <row r="279" spans="4:6" x14ac:dyDescent="0.35">
      <c r="D279"/>
      <c r="F279"/>
    </row>
    <row r="280" spans="4:6" x14ac:dyDescent="0.35">
      <c r="D280"/>
      <c r="F280"/>
    </row>
    <row r="281" spans="4:6" x14ac:dyDescent="0.35">
      <c r="D281"/>
      <c r="F281"/>
    </row>
    <row r="282" spans="4:6" x14ac:dyDescent="0.35">
      <c r="D282"/>
      <c r="F282"/>
    </row>
    <row r="283" spans="4:6" x14ac:dyDescent="0.35">
      <c r="D283"/>
      <c r="F283"/>
    </row>
    <row r="284" spans="4:6" x14ac:dyDescent="0.35">
      <c r="D284"/>
      <c r="F284"/>
    </row>
    <row r="285" spans="4:6" x14ac:dyDescent="0.35">
      <c r="D285"/>
      <c r="F285"/>
    </row>
    <row r="286" spans="4:6" x14ac:dyDescent="0.35">
      <c r="D286"/>
      <c r="F286"/>
    </row>
    <row r="287" spans="4:6" x14ac:dyDescent="0.35">
      <c r="D287"/>
      <c r="F287"/>
    </row>
    <row r="288" spans="4:6" x14ac:dyDescent="0.35">
      <c r="D288"/>
      <c r="F288"/>
    </row>
    <row r="289" spans="4:6" x14ac:dyDescent="0.35">
      <c r="D289"/>
      <c r="F289"/>
    </row>
    <row r="290" spans="4:6" x14ac:dyDescent="0.35">
      <c r="D290"/>
      <c r="F290"/>
    </row>
    <row r="291" spans="4:6" x14ac:dyDescent="0.35">
      <c r="D291"/>
      <c r="F291"/>
    </row>
    <row r="292" spans="4:6" x14ac:dyDescent="0.35">
      <c r="D292"/>
      <c r="F292"/>
    </row>
    <row r="293" spans="4:6" x14ac:dyDescent="0.35">
      <c r="D293"/>
      <c r="F293"/>
    </row>
    <row r="294" spans="4:6" x14ac:dyDescent="0.35">
      <c r="D294"/>
      <c r="F294"/>
    </row>
    <row r="295" spans="4:6" x14ac:dyDescent="0.35">
      <c r="D295"/>
      <c r="F295"/>
    </row>
    <row r="296" spans="4:6" x14ac:dyDescent="0.35">
      <c r="D296"/>
      <c r="F296"/>
    </row>
    <row r="297" spans="4:6" x14ac:dyDescent="0.35">
      <c r="D297"/>
      <c r="F297"/>
    </row>
    <row r="298" spans="4:6" x14ac:dyDescent="0.35">
      <c r="D298"/>
      <c r="F298"/>
    </row>
    <row r="299" spans="4:6" x14ac:dyDescent="0.35">
      <c r="D299"/>
      <c r="F299"/>
    </row>
    <row r="300" spans="4:6" x14ac:dyDescent="0.35">
      <c r="D300"/>
      <c r="F300"/>
    </row>
    <row r="301" spans="4:6" x14ac:dyDescent="0.35">
      <c r="D301"/>
      <c r="F301"/>
    </row>
    <row r="302" spans="4:6" x14ac:dyDescent="0.35">
      <c r="D302"/>
      <c r="F302"/>
    </row>
    <row r="303" spans="4:6" x14ac:dyDescent="0.35">
      <c r="D303"/>
      <c r="F303"/>
    </row>
    <row r="304" spans="4:6" x14ac:dyDescent="0.35">
      <c r="D304"/>
      <c r="F304"/>
    </row>
    <row r="305" spans="4:6" x14ac:dyDescent="0.35">
      <c r="D305"/>
      <c r="F305"/>
    </row>
    <row r="306" spans="4:6" x14ac:dyDescent="0.35">
      <c r="D306"/>
      <c r="F306"/>
    </row>
    <row r="307" spans="4:6" x14ac:dyDescent="0.35">
      <c r="D307"/>
      <c r="F307"/>
    </row>
    <row r="308" spans="4:6" x14ac:dyDescent="0.35">
      <c r="D308"/>
      <c r="F308"/>
    </row>
    <row r="309" spans="4:6" x14ac:dyDescent="0.35">
      <c r="D309"/>
      <c r="F309"/>
    </row>
    <row r="310" spans="4:6" x14ac:dyDescent="0.35">
      <c r="D310"/>
      <c r="F310"/>
    </row>
    <row r="311" spans="4:6" x14ac:dyDescent="0.35">
      <c r="D311"/>
      <c r="F311"/>
    </row>
    <row r="312" spans="4:6" x14ac:dyDescent="0.35">
      <c r="D312"/>
      <c r="F312"/>
    </row>
    <row r="313" spans="4:6" x14ac:dyDescent="0.35">
      <c r="D313"/>
      <c r="F313"/>
    </row>
    <row r="314" spans="4:6" x14ac:dyDescent="0.35">
      <c r="D314"/>
      <c r="F314"/>
    </row>
    <row r="315" spans="4:6" x14ac:dyDescent="0.35">
      <c r="D315"/>
      <c r="F315"/>
    </row>
    <row r="316" spans="4:6" x14ac:dyDescent="0.35">
      <c r="D316"/>
      <c r="F316"/>
    </row>
    <row r="317" spans="4:6" x14ac:dyDescent="0.35">
      <c r="D317"/>
      <c r="F317"/>
    </row>
    <row r="318" spans="4:6" x14ac:dyDescent="0.35">
      <c r="D318"/>
      <c r="F318"/>
    </row>
    <row r="319" spans="4:6" x14ac:dyDescent="0.35">
      <c r="D319"/>
      <c r="F319"/>
    </row>
    <row r="320" spans="4:6" x14ac:dyDescent="0.35">
      <c r="D320"/>
      <c r="F320"/>
    </row>
    <row r="321" spans="4:6" x14ac:dyDescent="0.35">
      <c r="D321"/>
      <c r="F321"/>
    </row>
    <row r="322" spans="4:6" x14ac:dyDescent="0.35">
      <c r="D322"/>
      <c r="F322"/>
    </row>
    <row r="323" spans="4:6" x14ac:dyDescent="0.35">
      <c r="D323"/>
      <c r="F323"/>
    </row>
    <row r="324" spans="4:6" x14ac:dyDescent="0.35">
      <c r="D324"/>
      <c r="F324"/>
    </row>
    <row r="325" spans="4:6" x14ac:dyDescent="0.35">
      <c r="D325"/>
      <c r="F325"/>
    </row>
    <row r="326" spans="4:6" x14ac:dyDescent="0.35">
      <c r="D326"/>
      <c r="F326"/>
    </row>
    <row r="327" spans="4:6" x14ac:dyDescent="0.35">
      <c r="D327"/>
      <c r="F327"/>
    </row>
    <row r="328" spans="4:6" x14ac:dyDescent="0.35">
      <c r="D328"/>
      <c r="F328"/>
    </row>
    <row r="329" spans="4:6" x14ac:dyDescent="0.35">
      <c r="D329"/>
      <c r="F329"/>
    </row>
    <row r="330" spans="4:6" x14ac:dyDescent="0.35">
      <c r="D330"/>
      <c r="F330"/>
    </row>
    <row r="331" spans="4:6" x14ac:dyDescent="0.35">
      <c r="D331"/>
      <c r="F331"/>
    </row>
    <row r="332" spans="4:6" x14ac:dyDescent="0.35">
      <c r="D332"/>
      <c r="F332"/>
    </row>
    <row r="333" spans="4:6" x14ac:dyDescent="0.35">
      <c r="D333"/>
      <c r="F333"/>
    </row>
    <row r="334" spans="4:6" x14ac:dyDescent="0.35">
      <c r="D334"/>
      <c r="F334"/>
    </row>
    <row r="335" spans="4:6" x14ac:dyDescent="0.35">
      <c r="D335"/>
      <c r="F335"/>
    </row>
    <row r="336" spans="4:6" x14ac:dyDescent="0.35">
      <c r="D336"/>
      <c r="F336"/>
    </row>
    <row r="337" spans="4:6" x14ac:dyDescent="0.35">
      <c r="D337"/>
      <c r="F337"/>
    </row>
    <row r="338" spans="4:6" x14ac:dyDescent="0.35">
      <c r="D338"/>
      <c r="F338"/>
    </row>
    <row r="339" spans="4:6" x14ac:dyDescent="0.35">
      <c r="D339"/>
      <c r="F339"/>
    </row>
    <row r="340" spans="4:6" x14ac:dyDescent="0.35">
      <c r="D340"/>
      <c r="F340"/>
    </row>
    <row r="341" spans="4:6" x14ac:dyDescent="0.35">
      <c r="D341"/>
      <c r="F341"/>
    </row>
    <row r="342" spans="4:6" x14ac:dyDescent="0.35">
      <c r="D342"/>
      <c r="F342"/>
    </row>
    <row r="343" spans="4:6" x14ac:dyDescent="0.35">
      <c r="D343"/>
      <c r="F343"/>
    </row>
    <row r="344" spans="4:6" x14ac:dyDescent="0.35">
      <c r="D344"/>
      <c r="F344"/>
    </row>
    <row r="345" spans="4:6" x14ac:dyDescent="0.35">
      <c r="D345"/>
      <c r="F345"/>
    </row>
    <row r="346" spans="4:6" x14ac:dyDescent="0.35">
      <c r="D346"/>
      <c r="F346"/>
    </row>
    <row r="347" spans="4:6" x14ac:dyDescent="0.35">
      <c r="D347"/>
      <c r="F347"/>
    </row>
    <row r="348" spans="4:6" x14ac:dyDescent="0.35">
      <c r="D348"/>
      <c r="F348"/>
    </row>
    <row r="349" spans="4:6" x14ac:dyDescent="0.35">
      <c r="D349"/>
      <c r="F349"/>
    </row>
    <row r="350" spans="4:6" x14ac:dyDescent="0.35">
      <c r="D350"/>
      <c r="F350"/>
    </row>
    <row r="351" spans="4:6" x14ac:dyDescent="0.35">
      <c r="D351"/>
      <c r="F351"/>
    </row>
    <row r="352" spans="4:6" x14ac:dyDescent="0.35">
      <c r="D352"/>
      <c r="F352"/>
    </row>
    <row r="353" spans="4:6" x14ac:dyDescent="0.35">
      <c r="D353"/>
      <c r="F353"/>
    </row>
    <row r="354" spans="4:6" x14ac:dyDescent="0.35">
      <c r="D354"/>
      <c r="F354"/>
    </row>
    <row r="355" spans="4:6" x14ac:dyDescent="0.35">
      <c r="D355"/>
      <c r="F355"/>
    </row>
    <row r="356" spans="4:6" x14ac:dyDescent="0.35">
      <c r="D356"/>
      <c r="F356"/>
    </row>
    <row r="357" spans="4:6" x14ac:dyDescent="0.35">
      <c r="D357"/>
      <c r="F357"/>
    </row>
    <row r="358" spans="4:6" x14ac:dyDescent="0.35">
      <c r="D358"/>
      <c r="F358"/>
    </row>
    <row r="359" spans="4:6" x14ac:dyDescent="0.35">
      <c r="D359"/>
      <c r="F359"/>
    </row>
    <row r="360" spans="4:6" x14ac:dyDescent="0.35">
      <c r="D360"/>
      <c r="F360"/>
    </row>
    <row r="361" spans="4:6" x14ac:dyDescent="0.35">
      <c r="D361"/>
      <c r="F361"/>
    </row>
    <row r="362" spans="4:6" x14ac:dyDescent="0.35">
      <c r="D362"/>
      <c r="F362"/>
    </row>
    <row r="363" spans="4:6" x14ac:dyDescent="0.35">
      <c r="D363"/>
      <c r="F363"/>
    </row>
    <row r="364" spans="4:6" x14ac:dyDescent="0.35">
      <c r="D364"/>
      <c r="F364"/>
    </row>
    <row r="365" spans="4:6" x14ac:dyDescent="0.35">
      <c r="D365"/>
      <c r="F365"/>
    </row>
    <row r="366" spans="4:6" x14ac:dyDescent="0.35">
      <c r="D366"/>
      <c r="F366"/>
    </row>
    <row r="367" spans="4:6" x14ac:dyDescent="0.35">
      <c r="D367"/>
      <c r="F367"/>
    </row>
    <row r="368" spans="4:6" x14ac:dyDescent="0.35">
      <c r="D368"/>
      <c r="F368"/>
    </row>
    <row r="369" spans="4:6" x14ac:dyDescent="0.35">
      <c r="D369"/>
      <c r="F369"/>
    </row>
    <row r="370" spans="4:6" x14ac:dyDescent="0.35">
      <c r="D370"/>
      <c r="F370"/>
    </row>
    <row r="371" spans="4:6" x14ac:dyDescent="0.35">
      <c r="D371"/>
      <c r="F371"/>
    </row>
    <row r="372" spans="4:6" x14ac:dyDescent="0.35">
      <c r="D372"/>
      <c r="F372"/>
    </row>
    <row r="373" spans="4:6" x14ac:dyDescent="0.35">
      <c r="D373"/>
      <c r="F373"/>
    </row>
    <row r="374" spans="4:6" x14ac:dyDescent="0.35">
      <c r="D374"/>
      <c r="F374"/>
    </row>
    <row r="375" spans="4:6" x14ac:dyDescent="0.35">
      <c r="D375"/>
      <c r="F375"/>
    </row>
    <row r="376" spans="4:6" x14ac:dyDescent="0.35">
      <c r="D376"/>
      <c r="F376"/>
    </row>
    <row r="377" spans="4:6" x14ac:dyDescent="0.35">
      <c r="D377"/>
      <c r="F377"/>
    </row>
    <row r="378" spans="4:6" x14ac:dyDescent="0.35">
      <c r="D378"/>
      <c r="F378"/>
    </row>
    <row r="379" spans="4:6" x14ac:dyDescent="0.35">
      <c r="D379"/>
      <c r="F379"/>
    </row>
    <row r="380" spans="4:6" x14ac:dyDescent="0.35">
      <c r="D380"/>
      <c r="F380"/>
    </row>
    <row r="381" spans="4:6" x14ac:dyDescent="0.35">
      <c r="D381"/>
      <c r="F381"/>
    </row>
    <row r="382" spans="4:6" x14ac:dyDescent="0.35">
      <c r="D382"/>
      <c r="F382"/>
    </row>
    <row r="383" spans="4:6" x14ac:dyDescent="0.35">
      <c r="D383"/>
      <c r="F383"/>
    </row>
    <row r="384" spans="4:6" x14ac:dyDescent="0.35">
      <c r="D384"/>
      <c r="F384"/>
    </row>
    <row r="385" spans="4:6" x14ac:dyDescent="0.35">
      <c r="D385"/>
      <c r="F385"/>
    </row>
    <row r="386" spans="4:6" x14ac:dyDescent="0.35">
      <c r="D386"/>
      <c r="F386"/>
    </row>
    <row r="387" spans="4:6" x14ac:dyDescent="0.35">
      <c r="D387"/>
      <c r="F387"/>
    </row>
    <row r="388" spans="4:6" x14ac:dyDescent="0.35">
      <c r="D388"/>
      <c r="F388"/>
    </row>
    <row r="389" spans="4:6" x14ac:dyDescent="0.35">
      <c r="D389"/>
      <c r="F389"/>
    </row>
    <row r="390" spans="4:6" x14ac:dyDescent="0.35">
      <c r="D390"/>
      <c r="F390"/>
    </row>
    <row r="391" spans="4:6" x14ac:dyDescent="0.35">
      <c r="D391"/>
      <c r="F391"/>
    </row>
    <row r="392" spans="4:6" x14ac:dyDescent="0.35">
      <c r="D392"/>
      <c r="F392"/>
    </row>
    <row r="393" spans="4:6" x14ac:dyDescent="0.35">
      <c r="D393"/>
      <c r="F393"/>
    </row>
    <row r="394" spans="4:6" x14ac:dyDescent="0.35">
      <c r="D394"/>
      <c r="F394"/>
    </row>
    <row r="395" spans="4:6" x14ac:dyDescent="0.35">
      <c r="D395"/>
      <c r="F395"/>
    </row>
    <row r="396" spans="4:6" x14ac:dyDescent="0.35">
      <c r="D396"/>
      <c r="F396"/>
    </row>
    <row r="397" spans="4:6" x14ac:dyDescent="0.35">
      <c r="D397"/>
      <c r="F397"/>
    </row>
    <row r="398" spans="4:6" x14ac:dyDescent="0.35">
      <c r="D398"/>
      <c r="F398"/>
    </row>
    <row r="399" spans="4:6" x14ac:dyDescent="0.35">
      <c r="D399"/>
      <c r="F399"/>
    </row>
    <row r="400" spans="4:6" x14ac:dyDescent="0.35">
      <c r="D400"/>
      <c r="F400"/>
    </row>
    <row r="401" spans="4:6" x14ac:dyDescent="0.35">
      <c r="D401"/>
      <c r="F401"/>
    </row>
    <row r="402" spans="4:6" x14ac:dyDescent="0.35">
      <c r="D402"/>
      <c r="F402"/>
    </row>
    <row r="403" spans="4:6" x14ac:dyDescent="0.35">
      <c r="D403"/>
      <c r="F403"/>
    </row>
    <row r="404" spans="4:6" x14ac:dyDescent="0.35">
      <c r="D404"/>
      <c r="F404"/>
    </row>
    <row r="405" spans="4:6" x14ac:dyDescent="0.35">
      <c r="D405"/>
      <c r="F405"/>
    </row>
    <row r="406" spans="4:6" x14ac:dyDescent="0.35">
      <c r="D406"/>
      <c r="F406"/>
    </row>
    <row r="407" spans="4:6" x14ac:dyDescent="0.35">
      <c r="D407"/>
      <c r="F407"/>
    </row>
    <row r="408" spans="4:6" x14ac:dyDescent="0.35">
      <c r="D408"/>
      <c r="F408"/>
    </row>
    <row r="409" spans="4:6" x14ac:dyDescent="0.35">
      <c r="D409"/>
      <c r="F409"/>
    </row>
    <row r="410" spans="4:6" x14ac:dyDescent="0.35">
      <c r="D410"/>
      <c r="F410"/>
    </row>
    <row r="411" spans="4:6" x14ac:dyDescent="0.35">
      <c r="D411"/>
      <c r="F411"/>
    </row>
    <row r="412" spans="4:6" x14ac:dyDescent="0.35">
      <c r="D412"/>
      <c r="F412"/>
    </row>
    <row r="413" spans="4:6" x14ac:dyDescent="0.35">
      <c r="D413"/>
      <c r="F413"/>
    </row>
    <row r="414" spans="4:6" x14ac:dyDescent="0.35">
      <c r="D414"/>
      <c r="F414"/>
    </row>
    <row r="415" spans="4:6" x14ac:dyDescent="0.35">
      <c r="D415"/>
      <c r="F415"/>
    </row>
    <row r="416" spans="4:6" x14ac:dyDescent="0.35">
      <c r="D416"/>
      <c r="F416"/>
    </row>
    <row r="417" spans="4:6" x14ac:dyDescent="0.35">
      <c r="D417"/>
      <c r="F417"/>
    </row>
    <row r="418" spans="4:6" x14ac:dyDescent="0.35">
      <c r="D418"/>
      <c r="F418"/>
    </row>
    <row r="419" spans="4:6" x14ac:dyDescent="0.35">
      <c r="D419"/>
      <c r="F419"/>
    </row>
    <row r="420" spans="4:6" x14ac:dyDescent="0.35">
      <c r="D420"/>
      <c r="F420"/>
    </row>
    <row r="421" spans="4:6" x14ac:dyDescent="0.35">
      <c r="D421"/>
      <c r="F421"/>
    </row>
    <row r="422" spans="4:6" x14ac:dyDescent="0.35">
      <c r="D422"/>
      <c r="F422"/>
    </row>
    <row r="423" spans="4:6" x14ac:dyDescent="0.35">
      <c r="D423"/>
      <c r="F423"/>
    </row>
    <row r="424" spans="4:6" x14ac:dyDescent="0.35">
      <c r="D424"/>
      <c r="F424"/>
    </row>
    <row r="425" spans="4:6" x14ac:dyDescent="0.35">
      <c r="D425"/>
      <c r="F425"/>
    </row>
    <row r="426" spans="4:6" x14ac:dyDescent="0.35">
      <c r="D426"/>
      <c r="F426"/>
    </row>
    <row r="427" spans="4:6" x14ac:dyDescent="0.35">
      <c r="D427"/>
      <c r="F427"/>
    </row>
    <row r="428" spans="4:6" x14ac:dyDescent="0.35">
      <c r="D428"/>
      <c r="F428"/>
    </row>
    <row r="429" spans="4:6" x14ac:dyDescent="0.35">
      <c r="D429"/>
      <c r="F429"/>
    </row>
    <row r="430" spans="4:6" x14ac:dyDescent="0.35">
      <c r="D430"/>
      <c r="F430"/>
    </row>
    <row r="431" spans="4:6" x14ac:dyDescent="0.35">
      <c r="D431"/>
      <c r="F431"/>
    </row>
    <row r="432" spans="4:6" x14ac:dyDescent="0.35">
      <c r="D432"/>
      <c r="F432"/>
    </row>
    <row r="433" spans="4:6" x14ac:dyDescent="0.35">
      <c r="D433"/>
      <c r="F433"/>
    </row>
    <row r="434" spans="4:6" x14ac:dyDescent="0.35">
      <c r="D434"/>
      <c r="F434"/>
    </row>
    <row r="435" spans="4:6" x14ac:dyDescent="0.35">
      <c r="D435"/>
      <c r="F435"/>
    </row>
    <row r="436" spans="4:6" x14ac:dyDescent="0.35">
      <c r="D436"/>
      <c r="F436"/>
    </row>
    <row r="437" spans="4:6" x14ac:dyDescent="0.35">
      <c r="D437"/>
      <c r="F437"/>
    </row>
    <row r="438" spans="4:6" x14ac:dyDescent="0.35">
      <c r="D438"/>
      <c r="F438"/>
    </row>
    <row r="439" spans="4:6" x14ac:dyDescent="0.35">
      <c r="D439"/>
      <c r="F439"/>
    </row>
    <row r="440" spans="4:6" x14ac:dyDescent="0.35">
      <c r="D440"/>
      <c r="F440"/>
    </row>
    <row r="441" spans="4:6" x14ac:dyDescent="0.35">
      <c r="D441"/>
      <c r="F441"/>
    </row>
    <row r="442" spans="4:6" x14ac:dyDescent="0.35">
      <c r="D442"/>
      <c r="F442"/>
    </row>
    <row r="443" spans="4:6" x14ac:dyDescent="0.35">
      <c r="D443"/>
      <c r="F443"/>
    </row>
    <row r="444" spans="4:6" x14ac:dyDescent="0.35">
      <c r="D444"/>
      <c r="F444"/>
    </row>
    <row r="445" spans="4:6" x14ac:dyDescent="0.35">
      <c r="D445"/>
      <c r="F445"/>
    </row>
    <row r="446" spans="4:6" x14ac:dyDescent="0.35">
      <c r="D446"/>
      <c r="F446"/>
    </row>
    <row r="447" spans="4:6" x14ac:dyDescent="0.35">
      <c r="D447"/>
      <c r="F447"/>
    </row>
    <row r="448" spans="4:6" x14ac:dyDescent="0.35">
      <c r="D448"/>
      <c r="F448"/>
    </row>
    <row r="449" spans="4:6" x14ac:dyDescent="0.35">
      <c r="D449"/>
      <c r="F449"/>
    </row>
    <row r="450" spans="4:6" x14ac:dyDescent="0.35">
      <c r="D450"/>
      <c r="F450"/>
    </row>
    <row r="451" spans="4:6" x14ac:dyDescent="0.35">
      <c r="D451"/>
      <c r="F451"/>
    </row>
    <row r="452" spans="4:6" x14ac:dyDescent="0.35">
      <c r="D452"/>
      <c r="F452"/>
    </row>
    <row r="453" spans="4:6" x14ac:dyDescent="0.35">
      <c r="D453"/>
      <c r="F453"/>
    </row>
    <row r="454" spans="4:6" x14ac:dyDescent="0.35">
      <c r="D454"/>
      <c r="F454"/>
    </row>
    <row r="455" spans="4:6" x14ac:dyDescent="0.35">
      <c r="D455"/>
      <c r="F455"/>
    </row>
    <row r="456" spans="4:6" x14ac:dyDescent="0.35">
      <c r="D456"/>
      <c r="F456"/>
    </row>
    <row r="457" spans="4:6" x14ac:dyDescent="0.35">
      <c r="D457"/>
      <c r="F457"/>
    </row>
    <row r="458" spans="4:6" x14ac:dyDescent="0.35">
      <c r="D458"/>
      <c r="F458"/>
    </row>
    <row r="459" spans="4:6" x14ac:dyDescent="0.35">
      <c r="D459"/>
      <c r="F459"/>
    </row>
    <row r="460" spans="4:6" x14ac:dyDescent="0.35">
      <c r="D460"/>
      <c r="F460"/>
    </row>
    <row r="461" spans="4:6" x14ac:dyDescent="0.35">
      <c r="D461"/>
      <c r="F461"/>
    </row>
    <row r="462" spans="4:6" x14ac:dyDescent="0.35">
      <c r="D462"/>
      <c r="F462"/>
    </row>
    <row r="463" spans="4:6" x14ac:dyDescent="0.35">
      <c r="D463"/>
      <c r="F463"/>
    </row>
    <row r="464" spans="4:6" x14ac:dyDescent="0.35">
      <c r="D464"/>
      <c r="F464"/>
    </row>
    <row r="465" spans="4:6" x14ac:dyDescent="0.35">
      <c r="D465"/>
      <c r="F465"/>
    </row>
    <row r="466" spans="4:6" x14ac:dyDescent="0.35">
      <c r="D466"/>
      <c r="F466"/>
    </row>
    <row r="467" spans="4:6" x14ac:dyDescent="0.35">
      <c r="D467"/>
      <c r="F467"/>
    </row>
    <row r="468" spans="4:6" x14ac:dyDescent="0.35">
      <c r="D468"/>
      <c r="F468"/>
    </row>
    <row r="469" spans="4:6" x14ac:dyDescent="0.35">
      <c r="D469"/>
      <c r="F469"/>
    </row>
  </sheetData>
  <autoFilter ref="A4:AZ194" xr:uid="{00000000-0009-0000-0000-000000000000}"/>
  <sortState xmlns:xlrd2="http://schemas.microsoft.com/office/spreadsheetml/2017/richdata2" ref="A4:BA5">
    <sortCondition ref="BA4"/>
    <sortCondition ref="S4"/>
  </sortState>
  <dataConsolidate/>
  <dataValidations count="1">
    <dataValidation type="list" showInputMessage="1" error="Please select a valid value" promptTitle="select a value" sqref="R3:R4" xr:uid="{9631E02C-D40C-4916-A815-195A1DBF628B}">
      <formula1>ffff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4.5" x14ac:dyDescent="0.35"/>
  <sheetData>
    <row r="1" spans="1:206" ht="30.75" customHeight="1" thickBot="1" x14ac:dyDescent="0.4">
      <c r="A1" s="11" t="s">
        <v>61</v>
      </c>
      <c r="B1" s="107" t="s">
        <v>62</v>
      </c>
      <c r="C1" s="107" t="s">
        <v>63</v>
      </c>
      <c r="D1" s="107" t="s">
        <v>64</v>
      </c>
      <c r="E1" s="107" t="s">
        <v>65</v>
      </c>
      <c r="F1" s="151" t="s">
        <v>66</v>
      </c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 t="s">
        <v>67</v>
      </c>
      <c r="AS1" s="151"/>
      <c r="AT1" s="151"/>
      <c r="AU1" s="152" t="s">
        <v>68</v>
      </c>
      <c r="AV1" s="152"/>
      <c r="AW1" s="152" t="s">
        <v>69</v>
      </c>
      <c r="AX1" s="152"/>
      <c r="AY1" s="152"/>
      <c r="AZ1" s="152"/>
      <c r="BA1" s="152"/>
      <c r="BB1" s="152"/>
      <c r="BC1" s="152"/>
      <c r="BD1" s="152" t="s">
        <v>70</v>
      </c>
      <c r="BE1" s="152"/>
      <c r="BF1" s="152"/>
      <c r="BG1" s="153" t="s">
        <v>71</v>
      </c>
      <c r="BH1" s="154"/>
      <c r="BI1" s="131"/>
      <c r="BJ1" s="132" t="str">
        <f>"Preço Fixo
"&amp;DOLLAR([6]ARBOR!C2,2)</f>
        <v>Preço Fixo
$75.84</v>
      </c>
      <c r="BK1" s="133"/>
      <c r="BL1" s="133"/>
      <c r="BM1" s="133"/>
      <c r="BN1" s="134"/>
      <c r="BO1" s="132" t="s">
        <v>72</v>
      </c>
      <c r="BP1" s="133"/>
      <c r="BQ1" s="133"/>
      <c r="BR1" s="134"/>
      <c r="BS1" s="132" t="s">
        <v>73</v>
      </c>
      <c r="BT1" s="133"/>
      <c r="BU1" s="133"/>
      <c r="BV1" s="134"/>
      <c r="BW1" s="132" t="s">
        <v>74</v>
      </c>
      <c r="BX1" s="133"/>
      <c r="BY1" s="133"/>
      <c r="BZ1" s="134"/>
      <c r="CA1" s="132" t="s">
        <v>75</v>
      </c>
      <c r="CB1" s="133"/>
      <c r="CC1" s="133"/>
      <c r="CD1" s="134"/>
      <c r="CE1" s="132" t="s">
        <v>76</v>
      </c>
      <c r="CF1" s="133"/>
      <c r="CG1" s="133"/>
      <c r="CH1" s="134"/>
      <c r="CI1" s="132" t="s">
        <v>77</v>
      </c>
      <c r="CJ1" s="133"/>
      <c r="CK1" s="133"/>
      <c r="CL1" s="134"/>
      <c r="CM1" s="132" t="s">
        <v>78</v>
      </c>
      <c r="CN1" s="133"/>
      <c r="CO1" s="133"/>
      <c r="CP1" s="134"/>
      <c r="CQ1" s="132" t="s">
        <v>79</v>
      </c>
      <c r="CR1" s="133"/>
      <c r="CS1" s="133"/>
      <c r="CT1" s="133"/>
      <c r="CU1" s="133"/>
      <c r="CV1" s="133"/>
      <c r="CW1" s="133"/>
      <c r="CX1" s="134"/>
      <c r="CY1" s="132" t="s">
        <v>80</v>
      </c>
      <c r="CZ1" s="133"/>
      <c r="DA1" s="133"/>
      <c r="DB1" s="133"/>
      <c r="DC1" s="133"/>
      <c r="DD1" s="133"/>
      <c r="DE1" s="133"/>
      <c r="DF1" s="134"/>
      <c r="DG1" s="132" t="s">
        <v>81</v>
      </c>
      <c r="DH1" s="133"/>
      <c r="DI1" s="133"/>
      <c r="DJ1" s="133"/>
      <c r="DK1" s="133"/>
      <c r="DL1" s="133"/>
      <c r="DM1" s="133"/>
      <c r="DN1" s="134"/>
      <c r="DO1" s="135" t="s">
        <v>82</v>
      </c>
      <c r="DP1" s="136"/>
      <c r="DQ1" s="136"/>
      <c r="DR1" s="136"/>
      <c r="DS1" s="136"/>
      <c r="DT1" s="136"/>
      <c r="DU1" s="136"/>
      <c r="DV1" s="137"/>
      <c r="DW1" s="138" t="s">
        <v>83</v>
      </c>
      <c r="DX1" s="139"/>
      <c r="DY1" s="140"/>
      <c r="DZ1" s="141" t="s">
        <v>84</v>
      </c>
      <c r="EA1" s="142"/>
      <c r="EB1" s="142"/>
      <c r="EC1" s="142"/>
      <c r="ED1" s="142"/>
      <c r="EE1" s="142"/>
      <c r="EF1" s="143"/>
      <c r="EG1" s="144" t="s">
        <v>85</v>
      </c>
      <c r="EH1" s="145"/>
      <c r="EI1" s="145"/>
      <c r="EJ1" s="145"/>
      <c r="EK1" s="145"/>
      <c r="EL1" s="145"/>
      <c r="EM1" s="145"/>
      <c r="EN1" s="145"/>
      <c r="EO1" s="146" t="s">
        <v>86</v>
      </c>
      <c r="EP1" s="147"/>
      <c r="EQ1" s="147"/>
      <c r="ER1" s="147"/>
      <c r="ES1" s="147"/>
      <c r="ET1" s="148"/>
      <c r="EU1" s="149" t="s">
        <v>87</v>
      </c>
      <c r="EV1" s="150"/>
      <c r="EW1" s="122" t="str">
        <f>"Oi Internet pra Celular 300MB (PCS-813566)
"&amp;DOLLAR(VLOOKUP("PCS-813566",[6]ARBOR!$A:$C,3,0),2)</f>
        <v>Oi Internet pra Celular 300MB (PCS-813566)
$18.92</v>
      </c>
      <c r="EX1" s="123"/>
      <c r="EY1" s="124"/>
      <c r="EZ1" s="122" t="str">
        <f>"Oi Internet pra Celular 500MB (PCS-813564)
"&amp;DOLLAR(VLOOKUP("PCS-813564",[6]ARBOR!$A:$C,3,0),2)</f>
        <v>Oi Internet pra Celular 500MB (PCS-813564)
$28.44</v>
      </c>
      <c r="FA1" s="123"/>
      <c r="FB1" s="124"/>
      <c r="FC1" s="122" t="s">
        <v>88</v>
      </c>
      <c r="FD1" s="123"/>
      <c r="FE1" s="124"/>
      <c r="FF1" s="122" t="s">
        <v>89</v>
      </c>
      <c r="FG1" s="123"/>
      <c r="FH1" s="124"/>
      <c r="FI1" s="122" t="s">
        <v>90</v>
      </c>
      <c r="FJ1" s="123"/>
      <c r="FK1" s="124"/>
      <c r="FL1" s="122" t="s">
        <v>91</v>
      </c>
      <c r="FM1" s="123"/>
      <c r="FN1" s="124"/>
      <c r="FO1" s="122" t="s">
        <v>92</v>
      </c>
      <c r="FP1" s="123"/>
      <c r="FQ1" s="124"/>
      <c r="FR1" s="125" t="s">
        <v>93</v>
      </c>
      <c r="FS1" s="126"/>
      <c r="FT1" s="127" t="s">
        <v>94</v>
      </c>
      <c r="FU1" s="128"/>
      <c r="FV1" s="129" t="s">
        <v>95</v>
      </c>
      <c r="FW1" s="130"/>
      <c r="FX1" s="130"/>
      <c r="FY1" s="130"/>
      <c r="FZ1" s="130"/>
      <c r="GA1" s="130"/>
      <c r="GB1" s="131"/>
      <c r="GC1" s="129" t="s">
        <v>96</v>
      </c>
      <c r="GD1" s="130"/>
      <c r="GE1" s="131"/>
      <c r="GF1" s="129" t="s">
        <v>96</v>
      </c>
      <c r="GG1" s="130"/>
      <c r="GH1" s="131"/>
      <c r="GI1" s="106" t="s">
        <v>97</v>
      </c>
      <c r="GJ1" s="12" t="s">
        <v>98</v>
      </c>
      <c r="GK1" s="119" t="s">
        <v>99</v>
      </c>
      <c r="GL1" s="120"/>
      <c r="GM1" s="120"/>
      <c r="GN1" s="120"/>
      <c r="GO1" s="120"/>
      <c r="GP1" s="120"/>
      <c r="GQ1" s="120"/>
      <c r="GR1" s="120"/>
      <c r="GS1" s="120"/>
      <c r="GT1" s="120"/>
      <c r="GU1" s="121"/>
    </row>
    <row r="2" spans="1:206" ht="164.25" customHeight="1" thickBot="1" x14ac:dyDescent="0.4">
      <c r="A2" t="s">
        <v>100</v>
      </c>
      <c r="B2" s="13" t="s">
        <v>101</v>
      </c>
      <c r="C2" s="13" t="s">
        <v>102</v>
      </c>
      <c r="D2" s="13" t="s">
        <v>103</v>
      </c>
      <c r="E2" s="13" t="s">
        <v>104</v>
      </c>
      <c r="F2" s="14" t="s">
        <v>105</v>
      </c>
      <c r="G2" s="14" t="s">
        <v>106</v>
      </c>
      <c r="H2" s="14" t="s">
        <v>107</v>
      </c>
      <c r="I2" s="14" t="s">
        <v>108</v>
      </c>
      <c r="J2" s="14" t="s">
        <v>109</v>
      </c>
      <c r="K2" s="14" t="s">
        <v>110</v>
      </c>
      <c r="L2" s="14" t="s">
        <v>111</v>
      </c>
      <c r="M2" s="14" t="s">
        <v>112</v>
      </c>
      <c r="N2" s="14" t="s">
        <v>113</v>
      </c>
      <c r="O2" s="14" t="s">
        <v>114</v>
      </c>
      <c r="P2" s="14" t="s">
        <v>115</v>
      </c>
      <c r="Q2" s="14" t="s">
        <v>116</v>
      </c>
      <c r="R2" s="14" t="s">
        <v>117</v>
      </c>
      <c r="S2" s="14" t="s">
        <v>118</v>
      </c>
      <c r="T2" s="14" t="s">
        <v>119</v>
      </c>
      <c r="U2" s="14" t="s">
        <v>120</v>
      </c>
      <c r="V2" s="14" t="s">
        <v>121</v>
      </c>
      <c r="W2" s="14" t="s">
        <v>122</v>
      </c>
      <c r="X2" s="15" t="s">
        <v>123</v>
      </c>
      <c r="Y2" s="14" t="s">
        <v>124</v>
      </c>
      <c r="Z2" s="14" t="s">
        <v>125</v>
      </c>
      <c r="AA2" s="14" t="s">
        <v>126</v>
      </c>
      <c r="AB2" s="14" t="s">
        <v>127</v>
      </c>
      <c r="AC2" s="14" t="s">
        <v>128</v>
      </c>
      <c r="AD2" s="16" t="s">
        <v>129</v>
      </c>
      <c r="AE2" s="16" t="s">
        <v>130</v>
      </c>
      <c r="AF2" s="16" t="s">
        <v>131</v>
      </c>
      <c r="AG2" s="16" t="s">
        <v>132</v>
      </c>
      <c r="AH2" s="14" t="s">
        <v>133</v>
      </c>
      <c r="AI2" s="14" t="s">
        <v>134</v>
      </c>
      <c r="AJ2" s="14" t="s">
        <v>135</v>
      </c>
      <c r="AK2" s="14" t="s">
        <v>136</v>
      </c>
      <c r="AL2" s="14" t="s">
        <v>137</v>
      </c>
      <c r="AM2" s="14" t="s">
        <v>138</v>
      </c>
      <c r="AN2" s="14" t="s">
        <v>139</v>
      </c>
      <c r="AO2" s="15" t="s">
        <v>140</v>
      </c>
      <c r="AP2" s="15" t="s">
        <v>141</v>
      </c>
      <c r="AQ2" s="14" t="s">
        <v>142</v>
      </c>
      <c r="AR2" s="17" t="s">
        <v>143</v>
      </c>
      <c r="AS2" s="13" t="s">
        <v>144</v>
      </c>
      <c r="AT2" s="13" t="s">
        <v>145</v>
      </c>
      <c r="AU2" s="13" t="s">
        <v>146</v>
      </c>
      <c r="AV2" s="13" t="s">
        <v>147</v>
      </c>
      <c r="AW2" s="17" t="s">
        <v>148</v>
      </c>
      <c r="AX2" s="17" t="s">
        <v>149</v>
      </c>
      <c r="AY2" s="17" t="s">
        <v>150</v>
      </c>
      <c r="AZ2" s="17" t="s">
        <v>151</v>
      </c>
      <c r="BA2" s="17" t="s">
        <v>152</v>
      </c>
      <c r="BB2" s="17" t="s">
        <v>153</v>
      </c>
      <c r="BC2" s="17" t="s">
        <v>154</v>
      </c>
      <c r="BD2" s="18" t="s">
        <v>155</v>
      </c>
      <c r="BE2" s="19" t="s">
        <v>156</v>
      </c>
      <c r="BF2" s="19" t="s">
        <v>157</v>
      </c>
      <c r="BG2" s="17" t="s">
        <v>158</v>
      </c>
      <c r="BH2" s="20" t="s">
        <v>159</v>
      </c>
      <c r="BI2" s="17" t="s">
        <v>160</v>
      </c>
      <c r="BJ2" s="21" t="s">
        <v>161</v>
      </c>
      <c r="BK2" s="22" t="s">
        <v>162</v>
      </c>
      <c r="BL2" s="17" t="s">
        <v>163</v>
      </c>
      <c r="BM2" s="23" t="s">
        <v>164</v>
      </c>
      <c r="BN2" s="24" t="s">
        <v>165</v>
      </c>
      <c r="BO2" s="17" t="s">
        <v>166</v>
      </c>
      <c r="BP2" s="13" t="s">
        <v>161</v>
      </c>
      <c r="BQ2" s="13" t="s">
        <v>167</v>
      </c>
      <c r="BR2" s="17" t="s">
        <v>163</v>
      </c>
      <c r="BS2" s="17" t="s">
        <v>166</v>
      </c>
      <c r="BT2" s="13" t="s">
        <v>161</v>
      </c>
      <c r="BU2" s="13" t="s">
        <v>167</v>
      </c>
      <c r="BV2" s="17" t="s">
        <v>163</v>
      </c>
      <c r="BW2" s="17" t="s">
        <v>166</v>
      </c>
      <c r="BX2" s="13" t="s">
        <v>161</v>
      </c>
      <c r="BY2" s="13" t="s">
        <v>167</v>
      </c>
      <c r="BZ2" s="17" t="s">
        <v>163</v>
      </c>
      <c r="CA2" s="17" t="s">
        <v>166</v>
      </c>
      <c r="CB2" s="13" t="s">
        <v>161</v>
      </c>
      <c r="CC2" s="13" t="s">
        <v>167</v>
      </c>
      <c r="CD2" s="17" t="s">
        <v>163</v>
      </c>
      <c r="CE2" s="17" t="s">
        <v>166</v>
      </c>
      <c r="CF2" s="13" t="s">
        <v>161</v>
      </c>
      <c r="CG2" s="13" t="s">
        <v>167</v>
      </c>
      <c r="CH2" s="17" t="s">
        <v>163</v>
      </c>
      <c r="CI2" s="17" t="s">
        <v>166</v>
      </c>
      <c r="CJ2" s="13" t="s">
        <v>161</v>
      </c>
      <c r="CK2" s="13" t="s">
        <v>167</v>
      </c>
      <c r="CL2" s="17" t="s">
        <v>163</v>
      </c>
      <c r="CM2" s="17" t="s">
        <v>166</v>
      </c>
      <c r="CN2" s="13" t="s">
        <v>161</v>
      </c>
      <c r="CO2" s="13" t="s">
        <v>167</v>
      </c>
      <c r="CP2" s="17" t="s">
        <v>163</v>
      </c>
      <c r="CQ2" s="17" t="s">
        <v>166</v>
      </c>
      <c r="CR2" s="13" t="s">
        <v>161</v>
      </c>
      <c r="CS2" s="13" t="s">
        <v>167</v>
      </c>
      <c r="CT2" s="17" t="s">
        <v>163</v>
      </c>
      <c r="CU2" s="25" t="s">
        <v>161</v>
      </c>
      <c r="CV2" s="25" t="s">
        <v>168</v>
      </c>
      <c r="CW2" s="25" t="s">
        <v>167</v>
      </c>
      <c r="CX2" s="26" t="s">
        <v>163</v>
      </c>
      <c r="CY2" s="17" t="s">
        <v>166</v>
      </c>
      <c r="CZ2" s="13" t="s">
        <v>161</v>
      </c>
      <c r="DA2" s="13" t="s">
        <v>167</v>
      </c>
      <c r="DB2" s="17" t="s">
        <v>163</v>
      </c>
      <c r="DC2" s="25" t="s">
        <v>161</v>
      </c>
      <c r="DD2" s="25" t="s">
        <v>168</v>
      </c>
      <c r="DE2" s="25" t="s">
        <v>167</v>
      </c>
      <c r="DF2" s="26" t="s">
        <v>163</v>
      </c>
      <c r="DG2" s="17" t="s">
        <v>166</v>
      </c>
      <c r="DH2" s="13" t="s">
        <v>161</v>
      </c>
      <c r="DI2" s="13" t="s">
        <v>167</v>
      </c>
      <c r="DJ2" s="17" t="s">
        <v>163</v>
      </c>
      <c r="DK2" s="25" t="s">
        <v>161</v>
      </c>
      <c r="DL2" s="25" t="s">
        <v>168</v>
      </c>
      <c r="DM2" s="25" t="s">
        <v>167</v>
      </c>
      <c r="DN2" s="26" t="s">
        <v>163</v>
      </c>
      <c r="DO2" s="17" t="s">
        <v>166</v>
      </c>
      <c r="DP2" s="13" t="s">
        <v>161</v>
      </c>
      <c r="DQ2" s="13" t="s">
        <v>167</v>
      </c>
      <c r="DR2" s="17" t="s">
        <v>163</v>
      </c>
      <c r="DS2" s="25" t="s">
        <v>161</v>
      </c>
      <c r="DT2" s="25" t="s">
        <v>168</v>
      </c>
      <c r="DU2" s="25" t="s">
        <v>167</v>
      </c>
      <c r="DV2" s="26" t="s">
        <v>163</v>
      </c>
      <c r="DW2" s="27" t="s">
        <v>161</v>
      </c>
      <c r="DX2" s="27" t="s">
        <v>169</v>
      </c>
      <c r="DY2" s="17" t="s">
        <v>163</v>
      </c>
      <c r="DZ2" s="28" t="s">
        <v>170</v>
      </c>
      <c r="EA2" s="29" t="s">
        <v>167</v>
      </c>
      <c r="EB2" s="29" t="s">
        <v>163</v>
      </c>
      <c r="EC2" s="28" t="s">
        <v>171</v>
      </c>
      <c r="ED2" s="28" t="s">
        <v>172</v>
      </c>
      <c r="EE2" s="29" t="s">
        <v>167</v>
      </c>
      <c r="EF2" s="29" t="s">
        <v>163</v>
      </c>
      <c r="EG2" s="30" t="s">
        <v>173</v>
      </c>
      <c r="EH2" s="13" t="s">
        <v>174</v>
      </c>
      <c r="EI2" s="13" t="s">
        <v>175</v>
      </c>
      <c r="EJ2" s="17" t="s">
        <v>176</v>
      </c>
      <c r="EK2" s="17" t="s">
        <v>163</v>
      </c>
      <c r="EL2" s="13" t="s">
        <v>177</v>
      </c>
      <c r="EM2" s="13" t="s">
        <v>167</v>
      </c>
      <c r="EN2" s="17" t="s">
        <v>163</v>
      </c>
      <c r="EO2" s="13" t="s">
        <v>178</v>
      </c>
      <c r="EP2" s="31" t="s">
        <v>179</v>
      </c>
      <c r="EQ2" s="13" t="s">
        <v>180</v>
      </c>
      <c r="ER2" s="13" t="s">
        <v>181</v>
      </c>
      <c r="ES2" s="17" t="s">
        <v>176</v>
      </c>
      <c r="ET2" s="17" t="s">
        <v>163</v>
      </c>
      <c r="EU2" s="32" t="s">
        <v>182</v>
      </c>
      <c r="EV2" s="33" t="s">
        <v>183</v>
      </c>
      <c r="EW2" s="13" t="s">
        <v>161</v>
      </c>
      <c r="EX2" s="13" t="s">
        <v>184</v>
      </c>
      <c r="EY2" s="17" t="s">
        <v>163</v>
      </c>
      <c r="EZ2" s="13" t="s">
        <v>161</v>
      </c>
      <c r="FA2" s="13" t="s">
        <v>184</v>
      </c>
      <c r="FB2" s="17" t="s">
        <v>163</v>
      </c>
      <c r="FC2" s="13" t="s">
        <v>161</v>
      </c>
      <c r="FD2" s="13" t="s">
        <v>184</v>
      </c>
      <c r="FE2" s="17" t="s">
        <v>163</v>
      </c>
      <c r="FF2" s="13" t="s">
        <v>161</v>
      </c>
      <c r="FG2" s="13" t="s">
        <v>184</v>
      </c>
      <c r="FH2" s="17" t="s">
        <v>163</v>
      </c>
      <c r="FI2" s="13" t="s">
        <v>161</v>
      </c>
      <c r="FJ2" s="13" t="s">
        <v>184</v>
      </c>
      <c r="FK2" s="17" t="s">
        <v>163</v>
      </c>
      <c r="FL2" s="13" t="s">
        <v>161</v>
      </c>
      <c r="FM2" s="13" t="s">
        <v>184</v>
      </c>
      <c r="FN2" s="17" t="s">
        <v>163</v>
      </c>
      <c r="FO2" s="13" t="s">
        <v>161</v>
      </c>
      <c r="FP2" s="13" t="s">
        <v>184</v>
      </c>
      <c r="FQ2" s="17" t="s">
        <v>163</v>
      </c>
      <c r="FR2" s="13" t="s">
        <v>167</v>
      </c>
      <c r="FS2" s="17" t="s">
        <v>163</v>
      </c>
      <c r="FT2" s="34" t="s">
        <v>185</v>
      </c>
      <c r="FU2" s="17" t="s">
        <v>186</v>
      </c>
      <c r="FV2" s="13" t="s">
        <v>187</v>
      </c>
      <c r="FW2" s="34" t="s">
        <v>188</v>
      </c>
      <c r="FX2" s="13" t="s">
        <v>189</v>
      </c>
      <c r="FY2" s="35" t="s">
        <v>190</v>
      </c>
      <c r="FZ2" s="17" t="s">
        <v>191</v>
      </c>
      <c r="GA2" s="36" t="s">
        <v>192</v>
      </c>
      <c r="GB2" s="17" t="s">
        <v>193</v>
      </c>
      <c r="GC2" s="35" t="s">
        <v>194</v>
      </c>
      <c r="GD2" s="36" t="s">
        <v>195</v>
      </c>
      <c r="GE2" s="36" t="s">
        <v>163</v>
      </c>
      <c r="GF2" s="35" t="s">
        <v>194</v>
      </c>
      <c r="GG2" s="36" t="s">
        <v>195</v>
      </c>
      <c r="GH2" s="36" t="s">
        <v>163</v>
      </c>
      <c r="GI2" s="37" t="s">
        <v>196</v>
      </c>
      <c r="GJ2" s="38" t="s">
        <v>197</v>
      </c>
      <c r="GK2" s="39" t="s">
        <v>198</v>
      </c>
      <c r="GL2" s="40" t="s">
        <v>199</v>
      </c>
      <c r="GM2" s="40" t="s">
        <v>200</v>
      </c>
      <c r="GN2" s="41" t="s">
        <v>201</v>
      </c>
      <c r="GO2" s="41" t="s">
        <v>202</v>
      </c>
      <c r="GP2" s="41" t="s">
        <v>203</v>
      </c>
      <c r="GQ2" s="40" t="s">
        <v>204</v>
      </c>
      <c r="GR2" s="40" t="s">
        <v>205</v>
      </c>
      <c r="GS2" s="40"/>
      <c r="GT2" s="40" t="s">
        <v>206</v>
      </c>
      <c r="GU2" s="42" t="s">
        <v>207</v>
      </c>
      <c r="GV2" s="43" t="s">
        <v>208</v>
      </c>
      <c r="GW2" s="43" t="s">
        <v>209</v>
      </c>
      <c r="GX2" s="43" t="s">
        <v>210</v>
      </c>
    </row>
    <row r="3" spans="1:206" s="44" customFormat="1" x14ac:dyDescent="0.35">
      <c r="A3" s="44" t="str">
        <f t="shared" ref="A3:A26" si="0">CONCATENATE(BH3,GM3,EV3,GL3)</f>
        <v>Oi Total Fixo + Pós 800 + Banda LargaN1MG</v>
      </c>
      <c r="B3" s="45" t="s">
        <v>211</v>
      </c>
      <c r="C3" s="46" t="s">
        <v>127</v>
      </c>
      <c r="D3" s="46" t="s">
        <v>212</v>
      </c>
      <c r="E3" s="47" t="s">
        <v>213</v>
      </c>
      <c r="F3" s="48" t="s">
        <v>214</v>
      </c>
      <c r="G3" s="49"/>
      <c r="H3" s="49"/>
      <c r="I3" s="49"/>
      <c r="J3" s="49" t="s">
        <v>214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214</v>
      </c>
      <c r="AC3" s="49" t="s">
        <v>214</v>
      </c>
      <c r="AD3" s="49" t="s">
        <v>214</v>
      </c>
      <c r="AE3" s="49" t="s">
        <v>214</v>
      </c>
      <c r="AF3" s="49" t="s">
        <v>214</v>
      </c>
      <c r="AG3" s="49" t="s">
        <v>214</v>
      </c>
      <c r="AH3" s="50"/>
      <c r="AI3" s="49" t="s">
        <v>214</v>
      </c>
      <c r="AJ3" s="49" t="s">
        <v>214</v>
      </c>
      <c r="AK3" s="49" t="s">
        <v>214</v>
      </c>
      <c r="AL3" s="49" t="s">
        <v>214</v>
      </c>
      <c r="AM3" s="49" t="s">
        <v>214</v>
      </c>
      <c r="AN3" s="49" t="s">
        <v>214</v>
      </c>
      <c r="AO3" s="49" t="s">
        <v>214</v>
      </c>
      <c r="AP3" s="49"/>
      <c r="AQ3" s="51"/>
      <c r="AR3" s="52" t="s">
        <v>215</v>
      </c>
      <c r="AS3" s="46" t="s">
        <v>216</v>
      </c>
      <c r="AT3" s="53" t="s">
        <v>217</v>
      </c>
      <c r="AU3" s="54">
        <v>42972</v>
      </c>
      <c r="AV3" s="55">
        <v>43038</v>
      </c>
      <c r="AW3" s="56" t="s">
        <v>218</v>
      </c>
      <c r="AX3" s="57" t="s">
        <v>218</v>
      </c>
      <c r="AY3" s="58"/>
      <c r="AZ3" s="58" t="s">
        <v>219</v>
      </c>
      <c r="BA3" s="58">
        <v>20</v>
      </c>
      <c r="BB3" s="58">
        <v>10000</v>
      </c>
      <c r="BC3" s="59" t="s">
        <v>220</v>
      </c>
      <c r="BD3" s="60" t="s">
        <v>221</v>
      </c>
      <c r="BE3" s="58" t="s">
        <v>213</v>
      </c>
      <c r="BF3" s="51" t="s">
        <v>213</v>
      </c>
      <c r="BG3" s="45" t="s">
        <v>215</v>
      </c>
      <c r="BH3" s="61" t="s">
        <v>222</v>
      </c>
      <c r="BI3" s="62" t="str">
        <f>IF(ISERROR(VLOOKUP(BH3,[7]PLANOS!B:C,2,0)),"",VLOOKUP(BH3,[7]PLANOS!B:C,2,0))</f>
        <v>PCS-4P6pi</v>
      </c>
      <c r="BJ3" s="63">
        <v>50.1</v>
      </c>
      <c r="BK3" s="64">
        <f>IF(BJ3=0,"",IF(BJ3=VLOOKUP("FIXO",[7]ARBOR!$A:$C,3,0),0.0001,IF(BJ3&gt;VLOOKUP("FIXO",[7]ARBOR!$A:$C,3,0),"Maior que CAP!",IF((DOLLAR(BJ3+(VLOOKUP("FIXO",[7]ARBOR!$A:$C,3,0)*-TRUNC(BJ3/VLOOKUP("FIXO",[7]ARBOR!$A:$C,3,0)-1,4)),6))&lt;&gt;(DOLLAR(VLOOKUP("FIXO",[7]ARBOR!$A:$C,3,0),6)),-TRUNC(BJ3/VLOOKUP("FIXO",[7]ARBOR!$A:$C,3,0)-1,4)+0.0001,-TRUNC(BJ3/VLOOKUP("FIXO",[7]ARBOR!$A:$C,3,0)-1,4)))))</f>
        <v>0.33939999999999998</v>
      </c>
      <c r="BL3" s="65" t="str">
        <f>IF(ISERROR(IF(BK3="","",VLOOKUP(($BH3&amp;BK3&amp;"Template de desconto FLAT bundle - Fixo - Varejo - Ganho Tributário Cross"),[7]BENEFICIOS!$A:$E,5,0))),"Criar",IF(BK3="","",VLOOKUP(($BH3&amp;BK3&amp;"Template de desconto FLAT bundle - Fixo - Varejo - Ganho Tributário Cross"),[7]BENEFICIOS!$A:$E,5,0)))</f>
        <v>MKT-1-9856472058</v>
      </c>
      <c r="BM3" s="66"/>
      <c r="BN3" s="67"/>
      <c r="BO3" s="68" t="s">
        <v>161</v>
      </c>
      <c r="BP3" s="69">
        <v>44.9</v>
      </c>
      <c r="BQ3" s="64">
        <f>IF(BP3=0,"",IF(BP3=VLOOKUP("PCS-30874g",[7]ARBOR!$A:$C,3,0),0.0001,IF(BP3&gt;VLOOKUP("PCS-30874g",[7]ARBOR!$A:$C,3,0),"Maior que CAP!",IF((DOLLAR(BP3+(VLOOKUP("PCS-30874g",[7]ARBOR!$A:$C,3,0)*-TRUNC(BP3/VLOOKUP("PCS-30874g",[7]ARBOR!$A:$C,3,0)-1,4)),6))&lt;&gt;(DOLLAR(VLOOKUP("PCS-30874g",[7]ARBOR!$A:$C,3,0),6)),-TRUNC(BP3/VLOOKUP("PCS-30874g",[7]ARBOR!$A:$C,3,0)-1,4)+0.0001,-TRUNC(BP3/VLOOKUP("PCS-30874g",[7]ARBOR!$A:$C,3,0)-1,4)))))</f>
        <v>0.53679999999999994</v>
      </c>
      <c r="BR3" s="65" t="str">
        <f>IF(ISERROR(IF(BQ3="","",VLOOKUP(($BH3&amp;BQ3&amp;"Template de desconto FLAT bundle - Velox XDSL - Varejo"),[7]BENEFICIOS!$A:$E,5,0))),"Criar",IF(BQ3="","",VLOOKUP(($BH3&amp;BQ3&amp;"Template de desconto FLAT bundle - Velox XDSL - Varejo"),[7]BENEFICIOS!$A:$E,5,0)))</f>
        <v>MKT-1-9865126733</v>
      </c>
      <c r="BS3" s="68" t="s">
        <v>161</v>
      </c>
      <c r="BT3" s="69">
        <v>44.9</v>
      </c>
      <c r="BU3" s="64">
        <f>IF(BT3=0,"",IF(BT3=VLOOKUP("PCS-30577g",[7]ARBOR!$A:$C,3,0),0.0001,IF(BT3&gt;VLOOKUP("PCS-30577g",[7]ARBOR!$A:$C,3,0),"Maior que CAP!",IF((DOLLAR(BT3+(VLOOKUP("PCS-30577g",[7]ARBOR!$A:$C,3,0)*-TRUNC(BT3/VLOOKUP("PCS-30577g",[7]ARBOR!$A:$C,3,0)-1,4)),6))&lt;&gt;(DOLLAR(VLOOKUP("PCS-30577g",[7]ARBOR!$A:$C,3,0),6)),-TRUNC(BT3/VLOOKUP("PCS-30577g",[7]ARBOR!$A:$C,3,0)-1,4)+0.0001,-TRUNC(BT3/VLOOKUP("PCS-30577g",[7]ARBOR!$A:$C,3,0)-1,4)))))</f>
        <v>0.53679999999999994</v>
      </c>
      <c r="BV3" s="65" t="str">
        <f>IF(ISERROR(IF(BU3="","",VLOOKUP(($BH3&amp;BU3&amp;"Template de desconto FLAT bundle - Velox XDSL - Varejo"),[7]BENEFICIOS!$A:$E,5,0))),"Criar",IF(BU3="","",VLOOKUP(($BH3&amp;BU3&amp;"Template de desconto FLAT bundle - Velox XDSL - Varejo"),[7]BENEFICIOS!$A:$E,5,0)))</f>
        <v>MKT-1-9865126733</v>
      </c>
      <c r="BW3" s="68" t="s">
        <v>161</v>
      </c>
      <c r="BX3" s="69">
        <v>44.9</v>
      </c>
      <c r="BY3" s="64">
        <f>IF(BX3=0,"",IF(BX3=VLOOKUP("PCS-30604g",[7]ARBOR!$A:$C,3,0),0.0001,IF(BX3&gt;VLOOKUP("PCS-30604g",[7]ARBOR!$A:$C,3,0),"Maior que CAP!",IF((DOLLAR(BX3+(VLOOKUP("PCS-30604g",[7]ARBOR!$A:$C,3,0)*-TRUNC(BX3/VLOOKUP("PCS-30604g",[7]ARBOR!$A:$C,3,0)-1,4)),6))&lt;&gt;(DOLLAR(VLOOKUP("PCS-30604g",[7]ARBOR!$A:$C,3,0),6)),-TRUNC(BX3/VLOOKUP("PCS-30604g",[7]ARBOR!$A:$C,3,0)-1,4)+0.0001,-TRUNC(BX3/VLOOKUP("PCS-30604g",[7]ARBOR!$A:$C,3,0)-1,4)))))</f>
        <v>0.53679999999999994</v>
      </c>
      <c r="BZ3" s="65" t="str">
        <f>IF(ISERROR(IF(BY3="","",VLOOKUP(($BH3&amp;BY3&amp;"Template de desconto FLAT bundle - Velox XDSL - Varejo"),[7]BENEFICIOS!$A:$E,5,0))),"Criar",IF(BY3="","",VLOOKUP(($BH3&amp;BY3&amp;"Template de desconto FLAT bundle - Velox XDSL - Varejo"),[7]BENEFICIOS!$A:$E,5,0)))</f>
        <v>MKT-1-9865126733</v>
      </c>
      <c r="CA3" s="68" t="s">
        <v>161</v>
      </c>
      <c r="CB3" s="69">
        <v>44.9</v>
      </c>
      <c r="CC3" s="64">
        <f>IF(CB3=0,"",IF(CB3=VLOOKUP("PCS-30631g",[7]ARBOR!$A:$C,3,0),0.0001,IF(CB3&gt;VLOOKUP("PCS-30631g",[7]ARBOR!$A:$C,3,0),"Maior que CAP!",IF((DOLLAR(CB3+(VLOOKUP("PCS-30631g",[7]ARBOR!$A:$C,3,0)*-TRUNC(CB3/VLOOKUP("PCS-30631g",[7]ARBOR!$A:$C,3,0)-1,4)),6))&lt;&gt;(DOLLAR(VLOOKUP("PCS-30631g",[7]ARBOR!$A:$C,3,0),6)),-TRUNC(CB3/VLOOKUP("PCS-30631g",[7]ARBOR!$A:$C,3,0)-1,4)+0.0001,-TRUNC(CB3/VLOOKUP("PCS-30631g",[7]ARBOR!$A:$C,3,0)-1,4)))))</f>
        <v>0.54310000000000003</v>
      </c>
      <c r="CD3" s="65" t="str">
        <f>IF(ISERROR(IF(CC3="","",VLOOKUP(($BH3&amp;CC3&amp;"Template de desconto FLAT bundle - Velox XDSL - Varejo"),[7]BENEFICIOS!$A:$E,5,0))),"Criar",IF(CC3="","",VLOOKUP(($BH3&amp;CC3&amp;"Template de desconto FLAT bundle - Velox XDSL - Varejo"),[7]BENEFICIOS!$A:$E,5,0)))</f>
        <v>MKT-1-9865126826</v>
      </c>
      <c r="CE3" s="68"/>
      <c r="CF3" s="69"/>
      <c r="CG3" s="64" t="str">
        <f>IF(CF3=0,"",IF(CF3=VLOOKUP("PCS-30658g",[7]ARBOR!$A:$C,3,0),0.0001,IF(CF3&gt;VLOOKUP("PCS-30658g",[7]ARBOR!$A:$C,3,0),"Maior que CAP!",IF((DOLLAR(CF3+(VLOOKUP("PCS-30658g",[7]ARBOR!$A:$C,3,0)*-TRUNC(CF3/VLOOKUP("PCS-30658g",[7]ARBOR!$A:$C,3,0)-1,4)),6))&lt;&gt;(DOLLAR(VLOOKUP("PCS-30658g",[7]ARBOR!$A:$C,3,0),6)),-TRUNC(CF3/VLOOKUP("PCS-30658g",[7]ARBOR!$A:$C,3,0)-1,4)+0.0001,-TRUNC(CF3/VLOOKUP("PCS-30658g",[7]ARBOR!$A:$C,3,0)-1,4)))))</f>
        <v/>
      </c>
      <c r="CH3" s="65" t="str">
        <f>IF(ISERROR(IF(CG3="","",VLOOKUP(($BH3&amp;CG3&amp;"Template de desconto FLAT bundle - Velox XDSL - Varejo"),[7]BENEFICIOS!$A:$E,5,0))),"Criar",IF(CG3="","",VLOOKUP(($BH3&amp;CG3&amp;"Template de desconto FLAT bundle - Velox XDSL - Varejo"),[7]BENEFICIOS!$A:$E,5,0)))</f>
        <v/>
      </c>
      <c r="CI3" s="68"/>
      <c r="CJ3" s="69"/>
      <c r="CK3" s="64" t="str">
        <f>IF(CJ3=0,"",IF(CJ3=VLOOKUP("PCS-30685g",[7]ARBOR!$A:$C,3,0),0.0001,IF(CJ3&gt;VLOOKUP("PCS-30685g",[7]ARBOR!$A:$C,3,0),"Maior que CAP!",IF((DOLLAR(CJ3+(VLOOKUP("PCS-30685g",[7]ARBOR!$A:$C,3,0)*-TRUNC(CJ3/VLOOKUP("PCS-30685g",[7]ARBOR!$A:$C,3,0)-1,4)),6))&lt;&gt;(DOLLAR(VLOOKUP("PCS-30685g",[7]ARBOR!$A:$C,3,0),6)),-TRUNC(CJ3/VLOOKUP("PCS-30685g",[7]ARBOR!$A:$C,3,0)-1,4)+0.0001,-TRUNC(CJ3/VLOOKUP("PCS-30685g",[7]ARBOR!$A:$C,3,0)-1,4)))))</f>
        <v/>
      </c>
      <c r="CL3" s="65" t="str">
        <f>IF(ISERROR(IF(CK3="","",VLOOKUP(($BH3&amp;CK3&amp;"Template de desconto FLAT bundle - Velox XDSL - Varejo"),[7]BENEFICIOS!$A:$E,5,0))),"Criar",IF(CK3="","",VLOOKUP(($BH3&amp;CK3&amp;"Template de desconto FLAT bundle - Velox XDSL - Varejo"),[7]BENEFICIOS!$A:$E,5,0)))</f>
        <v/>
      </c>
      <c r="CM3" s="68"/>
      <c r="CN3" s="69"/>
      <c r="CO3" s="64" t="str">
        <f>IF(CN3=0,"",IF(CN3=VLOOKUP("PCS-30712g",[7]ARBOR!$A:$C,3,0),0.0001,IF(CN3&gt;VLOOKUP("PCS-30712g",[7]ARBOR!$A:$C,3,0),"Maior que CAP!",IF((DOLLAR(CN3+(VLOOKUP("PCS-30712g",[7]ARBOR!$A:$C,3,0)*-TRUNC(CN3/VLOOKUP("PCS-30712g",[7]ARBOR!$A:$C,3,0)-1,4)),6))&lt;&gt;(DOLLAR(VLOOKUP("PCS-30712g",[7]ARBOR!$A:$C,3,0),6)),-TRUNC(CN3/VLOOKUP("PCS-30712g",[7]ARBOR!$A:$C,3,0)-1,4)+0.0001,-TRUNC(CN3/VLOOKUP("PCS-30712g",[7]ARBOR!$A:$C,3,0)-1,4)))))</f>
        <v/>
      </c>
      <c r="CP3" s="65" t="str">
        <f>IF(ISERROR(IF(CO3="","",VLOOKUP(($BH3&amp;CO3&amp;"Template de desconto FLAT bundle - Velox XDSL - Varejo"),[7]BENEFICIOS!$A:$E,5,0))),"Criar",IF(CO3="","",VLOOKUP(($BH3&amp;CO3&amp;"Template de desconto FLAT bundle - Velox XDSL - Varejo"),[7]BENEFICIOS!$A:$E,5,0)))</f>
        <v/>
      </c>
      <c r="CQ3" s="68"/>
      <c r="CR3" s="69"/>
      <c r="CS3" s="64" t="str">
        <f>IF(CR3=0,"",IF(CR3=VLOOKUP("PCS-30739g",[7]ARBOR!$A:$C,3,0),0.0001,IF(CR3&gt;VLOOKUP("PCS-30739g",[7]ARBOR!$A:$C,3,0),"Maior que CAP!",IF((DOLLAR(CR3+(VLOOKUP("PCS-30739g",[7]ARBOR!$A:$C,3,0)*-TRUNC(CR3/VLOOKUP("PCS-30739g",[7]ARBOR!$A:$C,3,0)-1,4)),6))&lt;&gt;(DOLLAR(VLOOKUP("PCS-30739g",[7]ARBOR!$A:$C,3,0),6)),-TRUNC(CR3/VLOOKUP("PCS-30739g",[7]ARBOR!$A:$C,3,0)-1,4)+0.0001,-TRUNC(CR3/VLOOKUP("PCS-30739g",[7]ARBOR!$A:$C,3,0)-1,4)))))</f>
        <v/>
      </c>
      <c r="CT3" s="65" t="str">
        <f>IF(ISERROR(IF(CS3="","",VLOOKUP(($BH3&amp;CS3&amp;"Template de desconto FLAT bundle - Velox XDSL - Varejo"),[7]BENEFICIOS!$A:$E,5,0))),"Criar",IF(CS3="","",VLOOKUP(($BH3&amp;CS3&amp;"Template de desconto FLAT bundle - Velox XDSL - Varejo"),[7]BENEFICIOS!$A:$E,5,0)))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IF(CZ3=0,"",IF(CZ3=VLOOKUP("PCS-30766g",[7]ARBOR!$A:$C,3,0),0.0001,IF(CZ3&gt;VLOOKUP("PCS-30766g",[7]ARBOR!$A:$C,3,0),"Maior que CAP!",IF((DOLLAR(CZ3+(VLOOKUP("PCS-30766g",[7]ARBOR!$A:$C,3,0)*-TRUNC(CZ3/VLOOKUP("PCS-30766g",[7]ARBOR!$A:$C,3,0)-1,4)),6))&lt;&gt;(DOLLAR(VLOOKUP("PCS-30766g",[7]ARBOR!$A:$C,3,0),6)),-TRUNC(CZ3/VLOOKUP("PCS-30766g",[7]ARBOR!$A:$C,3,0)-1,4)+0.0001,-TRUNC(CZ3/VLOOKUP("PCS-30766g",[7]ARBOR!$A:$C,3,0)-1,4)))))</f>
        <v/>
      </c>
      <c r="DB3" s="65" t="str">
        <f>IF(ISERROR(IF(DA3="","",VLOOKUP(($BH3&amp;DA3&amp;"Template de desconto FLAT bundle - Velox XDSL - Varejo"),[7]BENEFICIOS!$A:$E,5,0))),"Criar",IF(DA3="","",VLOOKUP(($BH3&amp;DA3&amp;"Template de desconto FLAT bundle - Velox XDSL - Varejo"),[7]BENEFICIOS!$A:$E,5,0)))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IF(DH3=0,"",IF(DH3=VLOOKUP("PCS-30793g",[7]ARBOR!$A:$C,3,0),0.0001,IF(DH3&gt;VLOOKUP("PCS-30793g",[7]ARBOR!$A:$C,3,0),"Maior que CAP!",IF((DOLLAR(DH3+(VLOOKUP("PCS-30793g",[7]ARBOR!$A:$C,3,0)*-TRUNC(DH3/VLOOKUP("PCS-30793g",[7]ARBOR!$A:$C,3,0)-1,4)),6))&lt;&gt;(DOLLAR(VLOOKUP("PCS-30793g",[7]ARBOR!$A:$C,3,0),6)),-TRUNC(DH3/VLOOKUP("PCS-30793g",[7]ARBOR!$A:$C,3,0)-1,4)+0.0001,-TRUNC(DH3/VLOOKUP("PCS-30793g",[7]ARBOR!$A:$C,3,0)-1,4)))))</f>
        <v/>
      </c>
      <c r="DJ3" s="65" t="str">
        <f>IF(ISERROR(IF(DI3="","",VLOOKUP(($BH3&amp;DI3&amp;"Template de desconto FLAT bundle - Velox XDSL - Varejo"),[7]BENEFICIOS!$A:$E,5,0))),"Criar",IF(DI3="","",VLOOKUP(($BH3&amp;DI3&amp;"Template de desconto FLAT bundle - Velox XDSL - Varejo"),[7]BENEFICIOS!$A:$E,5,0)))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IF(DP3=0,"",IF(DP3=VLOOKUP("PCS-30820g",[7]ARBOR!$A:$C,3,0),0.0001,IF(DP3&gt;VLOOKUP("PCS-30820g",[7]ARBOR!$A:$C,3,0),"Maior que CAP!",IF((DOLLAR(DP3+(VLOOKUP("PCS-30820g",[7]ARBOR!$A:$C,3,0)*-TRUNC(DP3/VLOOKUP("PCS-30820g",[7]ARBOR!$A:$C,3,0)-1,4)),6))&lt;&gt;(DOLLAR(VLOOKUP("PCS-30820g",[7]ARBOR!$A:$C,3,0),6)),-TRUNC(DP3/VLOOKUP("PCS-30820g",[7]ARBOR!$A:$C,3,0)-1,4)+0.0001,-TRUNC(DP3/VLOOKUP("PCS-30820g",[7]ARBOR!$A:$C,3,0)-1,4)))))</f>
        <v/>
      </c>
      <c r="DR3" s="65" t="str">
        <f>IF(ISERROR(IF(DQ3="","",VLOOKUP(($BH3&amp;DQ3&amp;"Template de desconto FLAT bundle - Velox XDSL - Varejo"),[7]BENEFICIOS!$A:$E,5,0))),"Criar",IF(DQ3="","",VLOOKUP(($BH3&amp;DQ3&amp;"Template de desconto FLAT bundle - Velox XDSL - Varejo"),[7]BENEFICIOS!$A:$E,5,0)))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IF(DW3=0,"",IF(DW3=VLOOKUP("PCS-21448p2",[7]ARBOR!$A:$C,3,0),0.0001,IF(DW3&gt;VLOOKUP("PCS-21448p2",[7]ARBOR!$A:$C,3,0),"Maior que CAP!",IF((DOLLAR(DW3+(VLOOKUP("PCS-21448p2",[7]ARBOR!$A:$C,3,0)*-TRUNC(DW3/VLOOKUP("PCS-21448p2",[7]ARBOR!$A:$C,3,0)-1,4)),6))&lt;&gt;(DOLLAR(VLOOKUP("PCS-21448p2",[7]ARBOR!$A:$C,3,0),6)),-TRUNC(DW3/VLOOKUP("PCS-21448p2",[7]ARBOR!$A:$C,3,0)-1,4)+0.0001,-TRUNC(DW3/VLOOKUP("PCS-21448p2",[7]ARBOR!$A:$C,3,0)-1,4)))))</f>
        <v>0.64900000000000002</v>
      </c>
      <c r="DY3" s="65" t="str">
        <f>IF(ISERROR(IF(DX3="","",VLOOKUP(("Oi Conta Total Plug 10GB Downgrade"&amp;DX3&amp;"Template de desconto percentual BL Móvel - Internet Total - Varejo"),[7]BENEFICIOS!$A:$E,5,0))),"Criar",IF(DX3="","",VLOOKUP(("Oi Conta Total Plug 10GB Downgrade"&amp;DX3&amp;"Template de desconto percentual BL Móvel - Internet Total - Varejo"),[7]BENEFICIOS!$A:$E,5,0)))</f>
        <v>MKT-1-9825544790</v>
      </c>
      <c r="DZ3" s="71">
        <v>16.5</v>
      </c>
      <c r="EA3" s="72">
        <f>IF(DZ3=0,"",IF(DZ3=VLOOKUP("SVA",[7]ARBOR!$A:$C,3,0),0.0001,IF(DZ3&gt;VLOOKUP("SVA",[7]ARBOR!$A:$C,3,0),"Maior que CAP!",IF((DOLLAR(DZ3+(VLOOKUP("SVA",[7]ARBOR!$A:$C,3,0)*-TRUNC(DZ3/VLOOKUP("SVA",[7]ARBOR!$A:$C,3,0)-1,4)),6))&lt;&gt;(DOLLAR(VLOOKUP("SVA",[7]ARBOR!$A:$C,3,0),6)),-TRUNC(DZ3/VLOOKUP("SVA",[7]ARBOR!$A:$C,3,0)-1,4)+0.0001,-TRUNC(DZ3/VLOOKUP("SVA",[7]ARBOR!$A:$C,3,0)-1,4)))))</f>
        <v>0.2301</v>
      </c>
      <c r="EB3" s="65" t="s">
        <v>223</v>
      </c>
      <c r="EC3" s="69"/>
      <c r="ED3" s="73"/>
      <c r="EE3" s="74"/>
      <c r="EF3" s="65"/>
      <c r="EG3" s="75">
        <f>IF(BI3="","",VLOOKUP(BI3,[7]ARBOR!A:C,3,0))</f>
        <v>479.46</v>
      </c>
      <c r="EH3" s="69">
        <v>15</v>
      </c>
      <c r="EI3" s="76">
        <f>IF(EH3="","",1-(EH3/VLOOKUP(BI3&amp;"ASS",[7]ARBOR!A:C,3,0)))</f>
        <v>0.34725848563968664</v>
      </c>
      <c r="EJ3" s="77" t="s">
        <v>224</v>
      </c>
      <c r="EK3" s="78" t="s">
        <v>225</v>
      </c>
      <c r="EL3" s="69">
        <v>145.9</v>
      </c>
      <c r="EM3" s="64">
        <f>ROUND(IF(EL3=0,"",IF(EL3=EG3,0.0001,1-((EL3+(VLOOKUP(BI3&amp;"ASS",[7]ARBOR!A:C,3,0)-EH3))/EG3))),4)</f>
        <v>0.67910000000000004</v>
      </c>
      <c r="EN3" s="65" t="str">
        <f>IF(ISERROR(IF(EM3="","",VLOOKUP(($BH3&amp;EM3&amp;"Template de desconto percentual FLAT Móvel - Conta Total - Varejo - Ganho Tributário Cross"),[7]BENEFICIOS!$A:$E,5,0))),"Criar",IF(EM3="","",VLOOKUP(($BH3&amp;EM3&amp;"Template de desconto percentual FLAT Móvel - Conta Total - Varejo - Ganho Tributário Cross"),[7]BENEFICIOS!$A:$E,5,0)))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IF(FC3=0,"",IF(FC3=VLOOKUP("PCS-10357",[7]ARBOR!$A:$C,3,0),0.0001,IF(FC3&gt;VLOOKUP("PCS-10357",[7]ARBOR!$A:$C,3,0),"Maior que CAP!",ROUND(-1*(FC3/VLOOKUP("PCS-10357",[7]ARBOR!$A:$C,3,0)-1),4))))</f>
        <v/>
      </c>
      <c r="FE3" s="84" t="str">
        <f>IF(ISERROR(IF(FD3="","",VLOOKUP(("Oi Internet Pra Celular 1GB"&amp;FD3&amp;"Template Flat Instância Dados"),[7]BENEFICIOS!$A:$E,5,0))),"Criar",IF(FD3="","",VLOOKUP(("Oi Internet Pra Celular 1GB"&amp;FD3&amp;"Template Flat Instância Dados"),[7]BENEFICIOS!$A:$E,5,0)))</f>
        <v/>
      </c>
      <c r="FF3" s="82"/>
      <c r="FG3" s="83" t="str">
        <f>IF(FF3=0,"",IF(FF3=VLOOKUP("PCS-813565",[7]ARBOR!$A:$C,3,0),0.0001,IF(FF3&gt;VLOOKUP("PCS-813565",[7]ARBOR!$A:$C,3,0),"Maior que CAP!",ROUND(-1*(FF3/VLOOKUP("PCS-813565",[7]ARBOR!$A:$C,3,0)-1),4))))</f>
        <v/>
      </c>
      <c r="FH3" s="84" t="str">
        <f>IF(ISERROR(IF(FG3="","",VLOOKUP(("Oi Internet Pra Celular 2GB"&amp;FG3&amp;"Template Flat Instância Dados"),[7]BENEFICIOS!$A:$E,5,0))),"Criar",IF(FG3="","",VLOOKUP(("Oi Internet Pra Celular 2GB"&amp;FG3&amp;"Template Flat Instância Dados"),[7]BENEFICIOS!$A:$E,5,0)))</f>
        <v/>
      </c>
      <c r="FI3" s="82"/>
      <c r="FJ3" s="83" t="str">
        <f>IF(FI3=0,"",IF(FI3=VLOOKUP("PCS-7171B",[7]ARBOR!$A:$C,3,0),0.0001,IF(FI3&gt;VLOOKUP("PCS-7171B",[7]ARBOR!$A:$C,3,0),"Maior que CAP!",ROUND(-1*(FI3/VLOOKUP("PCS-7171B",[7]ARBOR!$A:$C,3,0)-1),4))))</f>
        <v/>
      </c>
      <c r="FK3" s="84" t="str">
        <f>IF(ISERROR(IF(FJ3="","",VLOOKUP(("Oi Internet Pra Celular 3GB"&amp;FJ3&amp;"Template Flat Instância Dados"),[7]BENEFICIOS!$A:$E,5,0))),"Criar",IF(FJ3="","",VLOOKUP(("Oi Internet Pra Celular 3GB"&amp;FJ3&amp;"Template Flat Instância Dados"),[7]BENEFICIOS!$A:$E,5,0)))</f>
        <v/>
      </c>
      <c r="FL3" s="82"/>
      <c r="FM3" s="83" t="str">
        <f>IF(FL3=0,"",IF(FL3=VLOOKUP("PCS-51793o08",[7]ARBOR!$A:$C,3,0),0.0001,IF(FL3&gt;VLOOKUP("PCS-51793o08",[7]ARBOR!$A:$C,3,0),"Maior que CAP!",ROUND(-1*(FL3/VLOOKUP("PCS-51793o08",[7]ARBOR!$A:$C,3,0)-1),4))))</f>
        <v/>
      </c>
      <c r="FN3" s="84" t="str">
        <f>IF(ISERROR(IF(FM3="","",VLOOKUP(("Oi Internet Pra Celular 5GB"&amp;FM3&amp;"Template Flat Instância Dados"),[7]BENEFICIOS!$A:$E,5,0))),"Criar",IF(FM3="","",VLOOKUP(("Oi Internet Pra Celular 5GB"&amp;FM3&amp;"Template Flat Instância Dados"),[7]BENEFICIOS!$A:$E,5,0)))</f>
        <v/>
      </c>
      <c r="FO3" s="82"/>
      <c r="FP3" s="83" t="str">
        <f>IF(FO3=0,"",IF(FO3=VLOOKUP("PCS-7171A",[7]ARBOR!$A:$C,3,0),0.0001,IF(FO3&gt;VLOOKUP("PCS-7171A",[7]ARBOR!$A:$C,3,0),"Maior que CAP!",ROUND(-1*(FO3/VLOOKUP("PCS-7171A",[7]ARBOR!$A:$C,3,0)-1),4))))</f>
        <v/>
      </c>
      <c r="FQ3" s="84" t="str">
        <f>IF(ISERROR(IF(FP3="","",VLOOKUP(("Oi Internet Pra Celular 10GB"&amp;FP3&amp;"Template Flat Instância Dados"),[7]BENEFICIOS!$A:$E,5,0))),"Criar",IF(FP3="","",VLOOKUP(("Oi Internet Pra Celular 10GB"&amp;FP3&amp;"Template Flat Instância Dados"),[7]BENEFICIOS!$A:$E,5,0)))</f>
        <v/>
      </c>
      <c r="FR3" s="85"/>
      <c r="FS3" s="86"/>
      <c r="FT3" s="48"/>
      <c r="FU3" s="87"/>
      <c r="FV3" s="88" t="s">
        <v>221</v>
      </c>
      <c r="FW3" s="49" t="s">
        <v>226</v>
      </c>
      <c r="FX3" s="89">
        <v>999</v>
      </c>
      <c r="FY3" s="49">
        <v>12</v>
      </c>
      <c r="FZ3" s="90" t="s">
        <v>227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228</v>
      </c>
      <c r="GD3" s="90" t="s">
        <v>229</v>
      </c>
      <c r="GE3" s="92" t="s">
        <v>230</v>
      </c>
      <c r="GF3" s="93" t="s">
        <v>231</v>
      </c>
      <c r="GG3" s="90" t="s">
        <v>232</v>
      </c>
      <c r="GH3" s="92" t="s">
        <v>233</v>
      </c>
      <c r="GI3" s="94" t="s">
        <v>234</v>
      </c>
      <c r="GJ3" s="95">
        <f>FC3+EL3+DW3+BJ3</f>
        <v>240.9</v>
      </c>
      <c r="GK3" s="96"/>
      <c r="GL3" s="97" t="s">
        <v>235</v>
      </c>
      <c r="GM3" s="98" t="s">
        <v>236</v>
      </c>
      <c r="GN3" s="97">
        <f>VLOOKUP($A3,'[7]TABELA COM TUDO'!$A:$AB,25,0)</f>
        <v>0</v>
      </c>
      <c r="GO3" s="99">
        <f>VLOOKUP($A3,'[7]TABELA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237</v>
      </c>
      <c r="GX3" s="44" t="s">
        <v>238</v>
      </c>
    </row>
    <row r="4" spans="1:206" s="44" customFormat="1" x14ac:dyDescent="0.35">
      <c r="A4" s="44" t="str">
        <f t="shared" si="0"/>
        <v>Oi Total Fixo + Pós 800 + Banda LargaN1MG</v>
      </c>
      <c r="B4" s="45" t="s">
        <v>211</v>
      </c>
      <c r="C4" s="46" t="s">
        <v>127</v>
      </c>
      <c r="D4" s="46" t="s">
        <v>212</v>
      </c>
      <c r="E4" s="47" t="s">
        <v>213</v>
      </c>
      <c r="F4" s="48" t="s">
        <v>214</v>
      </c>
      <c r="G4" s="49"/>
      <c r="H4" s="49"/>
      <c r="I4" s="49"/>
      <c r="J4" s="49" t="s">
        <v>214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214</v>
      </c>
      <c r="AC4" s="49" t="s">
        <v>214</v>
      </c>
      <c r="AD4" s="49" t="s">
        <v>214</v>
      </c>
      <c r="AE4" s="49" t="s">
        <v>214</v>
      </c>
      <c r="AF4" s="49" t="s">
        <v>214</v>
      </c>
      <c r="AG4" s="49" t="s">
        <v>214</v>
      </c>
      <c r="AH4" s="50"/>
      <c r="AI4" s="49" t="s">
        <v>214</v>
      </c>
      <c r="AJ4" s="49" t="s">
        <v>214</v>
      </c>
      <c r="AK4" s="49" t="s">
        <v>214</v>
      </c>
      <c r="AL4" s="49" t="s">
        <v>214</v>
      </c>
      <c r="AM4" s="49" t="s">
        <v>214</v>
      </c>
      <c r="AN4" s="49" t="s">
        <v>214</v>
      </c>
      <c r="AO4" s="49" t="s">
        <v>214</v>
      </c>
      <c r="AP4" s="49"/>
      <c r="AQ4" s="51"/>
      <c r="AR4" s="52" t="s">
        <v>239</v>
      </c>
      <c r="AS4" s="46" t="s">
        <v>216</v>
      </c>
      <c r="AT4" s="53" t="s">
        <v>217</v>
      </c>
      <c r="AU4" s="54">
        <v>42972</v>
      </c>
      <c r="AV4" s="55">
        <v>43038</v>
      </c>
      <c r="AW4" s="56" t="s">
        <v>218</v>
      </c>
      <c r="AX4" s="57" t="s">
        <v>218</v>
      </c>
      <c r="AY4" s="58"/>
      <c r="AZ4" s="58" t="s">
        <v>219</v>
      </c>
      <c r="BA4" s="58">
        <v>20</v>
      </c>
      <c r="BB4" s="58">
        <v>10000</v>
      </c>
      <c r="BC4" s="59" t="s">
        <v>220</v>
      </c>
      <c r="BD4" s="60" t="s">
        <v>221</v>
      </c>
      <c r="BE4" s="58" t="s">
        <v>213</v>
      </c>
      <c r="BF4" s="51" t="s">
        <v>213</v>
      </c>
      <c r="BG4" s="45" t="s">
        <v>239</v>
      </c>
      <c r="BH4" s="61" t="s">
        <v>222</v>
      </c>
      <c r="BI4" s="62" t="str">
        <f>IF(ISERROR(VLOOKUP(BH4,[7]PLANOS!B:C,2,0)),"",VLOOKUP(BH4,[7]PLANOS!B:C,2,0))</f>
        <v>PCS-4P6pi</v>
      </c>
      <c r="BJ4" s="63">
        <v>50.1</v>
      </c>
      <c r="BK4" s="64">
        <f>IF(BJ4=0,"",IF(BJ4=VLOOKUP("FIXO",[7]ARBOR!$A:$C,3,0),0.0001,IF(BJ4&gt;VLOOKUP("FIXO",[7]ARBOR!$A:$C,3,0),"Maior que CAP!",IF((DOLLAR(BJ4+(VLOOKUP("FIXO",[7]ARBOR!$A:$C,3,0)*-TRUNC(BJ4/VLOOKUP("FIXO",[7]ARBOR!$A:$C,3,0)-1,4)),6))&lt;&gt;(DOLLAR(VLOOKUP("FIXO",[7]ARBOR!$A:$C,3,0),6)),-TRUNC(BJ4/VLOOKUP("FIXO",[7]ARBOR!$A:$C,3,0)-1,4)+0.0001,-TRUNC(BJ4/VLOOKUP("FIXO",[7]ARBOR!$A:$C,3,0)-1,4)))))</f>
        <v>0.33939999999999998</v>
      </c>
      <c r="BL4" s="65" t="str">
        <f>IF(ISERROR(IF(BK4="","",VLOOKUP(($BH4&amp;BK4&amp;"Template de desconto FLAT bundle - Fixo - Varejo - Ganho Tributário Cross"),[7]BENEFICIOS!$A:$E,5,0))),"Criar",IF(BK4="","",VLOOKUP(($BH4&amp;BK4&amp;"Template de desconto FLAT bundle - Fixo - Varejo - Ganho Tributário Cross"),[7]BENEFICIOS!$A:$E,5,0)))</f>
        <v>MKT-1-9856472058</v>
      </c>
      <c r="BM4" s="66"/>
      <c r="BN4" s="67"/>
      <c r="BO4" s="104" t="s">
        <v>240</v>
      </c>
      <c r="BP4" s="69">
        <v>44.9</v>
      </c>
      <c r="BQ4" s="64">
        <f>IF(BP4=0,"",IF(BP4=VLOOKUP("PCS-30874g",[7]ARBOR!$A:$C,3,0),0.0001,IF(BP4&gt;VLOOKUP("PCS-30874g",[7]ARBOR!$A:$C,3,0),"Maior que CAP!",IF((DOLLAR(BP4+(VLOOKUP("PCS-30874g",[7]ARBOR!$A:$C,3,0)*-TRUNC(BP4/VLOOKUP("PCS-30874g",[7]ARBOR!$A:$C,3,0)-1,4)),6))&lt;&gt;(DOLLAR(VLOOKUP("PCS-30874g",[7]ARBOR!$A:$C,3,0),6)),-TRUNC(BP4/VLOOKUP("PCS-30874g",[7]ARBOR!$A:$C,3,0)-1,4)+0.0001,-TRUNC(BP4/VLOOKUP("PCS-30874g",[7]ARBOR!$A:$C,3,0)-1,4)))))</f>
        <v>0.53679999999999994</v>
      </c>
      <c r="BR4" s="65" t="str">
        <f>IF(ISERROR(IF(BQ4="","",VLOOKUP(($BH4&amp;BQ4&amp;"Template de desconto FLAT bundle - Velox XDSL - Varejo"),[7]BENEFICIOS!$A:$E,5,0))),"Criar",IF(BQ4="","",VLOOKUP(($BH4&amp;BQ4&amp;"Template de desconto FLAT bundle - Velox XDSL - Varejo"),[7]BENEFICIOS!$A:$E,5,0)))</f>
        <v>MKT-1-9865126733</v>
      </c>
      <c r="BS4" s="104" t="s">
        <v>240</v>
      </c>
      <c r="BT4" s="69">
        <v>44.9</v>
      </c>
      <c r="BU4" s="64">
        <f>IF(BT4=0,"",IF(BT4=VLOOKUP("PCS-30577g",[7]ARBOR!$A:$C,3,0),0.0001,IF(BT4&gt;VLOOKUP("PCS-30577g",[7]ARBOR!$A:$C,3,0),"Maior que CAP!",IF((DOLLAR(BT4+(VLOOKUP("PCS-30577g",[7]ARBOR!$A:$C,3,0)*-TRUNC(BT4/VLOOKUP("PCS-30577g",[7]ARBOR!$A:$C,3,0)-1,4)),6))&lt;&gt;(DOLLAR(VLOOKUP("PCS-30577g",[7]ARBOR!$A:$C,3,0),6)),-TRUNC(BT4/VLOOKUP("PCS-30577g",[7]ARBOR!$A:$C,3,0)-1,4)+0.0001,-TRUNC(BT4/VLOOKUP("PCS-30577g",[7]ARBOR!$A:$C,3,0)-1,4)))))</f>
        <v>0.53679999999999994</v>
      </c>
      <c r="BV4" s="65" t="str">
        <f>IF(ISERROR(IF(BU4="","",VLOOKUP(($BH4&amp;BU4&amp;"Template de desconto FLAT bundle - Velox XDSL - Varejo"),[7]BENEFICIOS!$A:$E,5,0))),"Criar",IF(BU4="","",VLOOKUP(($BH4&amp;BU4&amp;"Template de desconto FLAT bundle - Velox XDSL - Varejo"),[7]BENEFICIOS!$A:$E,5,0)))</f>
        <v>MKT-1-9865126733</v>
      </c>
      <c r="BW4" s="104" t="s">
        <v>240</v>
      </c>
      <c r="BX4" s="69">
        <v>44.9</v>
      </c>
      <c r="BY4" s="64">
        <f>IF(BX4=0,"",IF(BX4=VLOOKUP("PCS-30604g",[7]ARBOR!$A:$C,3,0),0.0001,IF(BX4&gt;VLOOKUP("PCS-30604g",[7]ARBOR!$A:$C,3,0),"Maior que CAP!",IF((DOLLAR(BX4+(VLOOKUP("PCS-30604g",[7]ARBOR!$A:$C,3,0)*-TRUNC(BX4/VLOOKUP("PCS-30604g",[7]ARBOR!$A:$C,3,0)-1,4)),6))&lt;&gt;(DOLLAR(VLOOKUP("PCS-30604g",[7]ARBOR!$A:$C,3,0),6)),-TRUNC(BX4/VLOOKUP("PCS-30604g",[7]ARBOR!$A:$C,3,0)-1,4)+0.0001,-TRUNC(BX4/VLOOKUP("PCS-30604g",[7]ARBOR!$A:$C,3,0)-1,4)))))</f>
        <v>0.53679999999999994</v>
      </c>
      <c r="BZ4" s="65" t="str">
        <f>IF(ISERROR(IF(BY4="","",VLOOKUP(($BH4&amp;BY4&amp;"Template de desconto FLAT bundle - Velox XDSL - Varejo"),[7]BENEFICIOS!$A:$E,5,0))),"Criar",IF(BY4="","",VLOOKUP(($BH4&amp;BY4&amp;"Template de desconto FLAT bundle - Velox XDSL - Varejo"),[7]BENEFICIOS!$A:$E,5,0)))</f>
        <v>MKT-1-9865126733</v>
      </c>
      <c r="CA4" s="104" t="s">
        <v>240</v>
      </c>
      <c r="CB4" s="69">
        <v>44.9</v>
      </c>
      <c r="CC4" s="64">
        <f>IF(CB4=0,"",IF(CB4=VLOOKUP("PCS-30631g",[7]ARBOR!$A:$C,3,0),0.0001,IF(CB4&gt;VLOOKUP("PCS-30631g",[7]ARBOR!$A:$C,3,0),"Maior que CAP!",IF((DOLLAR(CB4+(VLOOKUP("PCS-30631g",[7]ARBOR!$A:$C,3,0)*-TRUNC(CB4/VLOOKUP("PCS-30631g",[7]ARBOR!$A:$C,3,0)-1,4)),6))&lt;&gt;(DOLLAR(VLOOKUP("PCS-30631g",[7]ARBOR!$A:$C,3,0),6)),-TRUNC(CB4/VLOOKUP("PCS-30631g",[7]ARBOR!$A:$C,3,0)-1,4)+0.0001,-TRUNC(CB4/VLOOKUP("PCS-30631g",[7]ARBOR!$A:$C,3,0)-1,4)))))</f>
        <v>0.54310000000000003</v>
      </c>
      <c r="CD4" s="65" t="str">
        <f>IF(ISERROR(IF(CC4="","",VLOOKUP(($BH4&amp;CC4&amp;"Template de desconto FLAT bundle - Velox XDSL - Varejo"),[7]BENEFICIOS!$A:$E,5,0))),"Criar",IF(CC4="","",VLOOKUP(($BH4&amp;CC4&amp;"Template de desconto FLAT bundle - Velox XDSL - Varejo"),[7]BENEFICIOS!$A:$E,5,0)))</f>
        <v>MKT-1-9865126826</v>
      </c>
      <c r="CE4" s="68" t="s">
        <v>161</v>
      </c>
      <c r="CF4" s="69">
        <v>49.9</v>
      </c>
      <c r="CG4" s="64">
        <f>IF(CF4=0,"",IF(CF4=VLOOKUP("PCS-30658g",[7]ARBOR!$A:$C,3,0),0.0001,IF(CF4&gt;VLOOKUP("PCS-30658g",[7]ARBOR!$A:$C,3,0),"Maior que CAP!",IF((DOLLAR(CF4+(VLOOKUP("PCS-30658g",[7]ARBOR!$A:$C,3,0)*-TRUNC(CF4/VLOOKUP("PCS-30658g",[7]ARBOR!$A:$C,3,0)-1,4)),6))&lt;&gt;(DOLLAR(VLOOKUP("PCS-30658g",[7]ARBOR!$A:$C,3,0),6)),-TRUNC(CF4/VLOOKUP("PCS-30658g",[7]ARBOR!$A:$C,3,0)-1,4)+0.0001,-TRUNC(CF4/VLOOKUP("PCS-30658g",[7]ARBOR!$A:$C,3,0)-1,4)))))</f>
        <v>0.55569999999999997</v>
      </c>
      <c r="CH4" s="65" t="str">
        <f>IF(ISERROR(IF(CG4="","",VLOOKUP(($BH4&amp;CG4&amp;"Template de desconto FLAT bundle - Velox XDSL - Varejo"),[7]BENEFICIOS!$A:$E,5,0))),"Criar",IF(CG4="","",VLOOKUP(($BH4&amp;CG4&amp;"Template de desconto FLAT bundle - Velox XDSL - Varejo"),[7]BENEFICIOS!$A:$E,5,0)))</f>
        <v>MKT-1-9865126919</v>
      </c>
      <c r="CI4" s="68" t="s">
        <v>161</v>
      </c>
      <c r="CJ4" s="69">
        <v>49.9</v>
      </c>
      <c r="CK4" s="64">
        <f>IF(CJ4=0,"",IF(CJ4=VLOOKUP("PCS-30685g",[7]ARBOR!$A:$C,3,0),0.0001,IF(CJ4&gt;VLOOKUP("PCS-30685g",[7]ARBOR!$A:$C,3,0),"Maior que CAP!",IF((DOLLAR(CJ4+(VLOOKUP("PCS-30685g",[7]ARBOR!$A:$C,3,0)*-TRUNC(CJ4/VLOOKUP("PCS-30685g",[7]ARBOR!$A:$C,3,0)-1,4)),6))&lt;&gt;(DOLLAR(VLOOKUP("PCS-30685g",[7]ARBOR!$A:$C,3,0),6)),-TRUNC(CJ4/VLOOKUP("PCS-30685g",[7]ARBOR!$A:$C,3,0)-1,4)+0.0001,-TRUNC(CJ4/VLOOKUP("PCS-30685g",[7]ARBOR!$A:$C,3,0)-1,4)))))</f>
        <v>0.60509999999999997</v>
      </c>
      <c r="CL4" s="65" t="str">
        <f>IF(ISERROR(IF(CK4="","",VLOOKUP(($BH4&amp;CK4&amp;"Template de desconto FLAT bundle - Velox XDSL - Varejo"),[7]BENEFICIOS!$A:$E,5,0))),"Criar",IF(CK4="","",VLOOKUP(($BH4&amp;CK4&amp;"Template de desconto FLAT bundle - Velox XDSL - Varejo"),[7]BENEFICIOS!$A:$E,5,0)))</f>
        <v>MKT-1-9865694381</v>
      </c>
      <c r="CM4" s="68" t="s">
        <v>161</v>
      </c>
      <c r="CN4" s="69">
        <v>49.9</v>
      </c>
      <c r="CO4" s="64">
        <f>IF(CN4=0,"",IF(CN4=VLOOKUP("PCS-30712g",[7]ARBOR!$A:$C,3,0),0.0001,IF(CN4&gt;VLOOKUP("PCS-30712g",[7]ARBOR!$A:$C,3,0),"Maior que CAP!",IF((DOLLAR(CN4+(VLOOKUP("PCS-30712g",[7]ARBOR!$A:$C,3,0)*-TRUNC(CN4/VLOOKUP("PCS-30712g",[7]ARBOR!$A:$C,3,0)-1,4)),6))&lt;&gt;(DOLLAR(VLOOKUP("PCS-30712g",[7]ARBOR!$A:$C,3,0),6)),-TRUNC(CN4/VLOOKUP("PCS-30712g",[7]ARBOR!$A:$C,3,0)-1,4)+0.0001,-TRUNC(CN4/VLOOKUP("PCS-30712g",[7]ARBOR!$A:$C,3,0)-1,4)))))</f>
        <v>0.64459999999999995</v>
      </c>
      <c r="CP4" s="65" t="str">
        <f>IF(ISERROR(IF(CO4="","",VLOOKUP(($BH4&amp;CO4&amp;"Template de desconto FLAT bundle - Velox XDSL - Varejo"),[7]BENEFICIOS!$A:$E,5,0))),"Criar",IF(CO4="","",VLOOKUP(($BH4&amp;CO4&amp;"Template de desconto FLAT bundle - Velox XDSL - Varejo"),[7]BENEFICIOS!$A:$E,5,0)))</f>
        <v>MKT-1-9865191105</v>
      </c>
      <c r="CQ4" s="68" t="s">
        <v>161</v>
      </c>
      <c r="CR4" s="69">
        <v>59.9</v>
      </c>
      <c r="CS4" s="64">
        <f>IF(CR4=0,"",IF(CR4=VLOOKUP("PCS-30739g",[7]ARBOR!$A:$C,3,0),0.0001,IF(CR4&gt;VLOOKUP("PCS-30739g",[7]ARBOR!$A:$C,3,0),"Maior que CAP!",IF((DOLLAR(CR4+(VLOOKUP("PCS-30739g",[7]ARBOR!$A:$C,3,0)*-TRUNC(CR4/VLOOKUP("PCS-30739g",[7]ARBOR!$A:$C,3,0)-1,4)),6))&lt;&gt;(DOLLAR(VLOOKUP("PCS-30739g",[7]ARBOR!$A:$C,3,0),6)),-TRUNC(CR4/VLOOKUP("PCS-30739g",[7]ARBOR!$A:$C,3,0)-1,4)+0.0001,-TRUNC(CR4/VLOOKUP("PCS-30739g",[7]ARBOR!$A:$C,3,0)-1,4)))))</f>
        <v>0.71560000000000001</v>
      </c>
      <c r="CT4" s="65" t="str">
        <f>IF(ISERROR(IF(CS4="","",VLOOKUP(($BH4&amp;CS4&amp;"Template de desconto FLAT bundle - Velox XDSL - Varejo"),[7]BENEFICIOS!$A:$E,5,0))),"Criar",IF(CS4="","",VLOOKUP(($BH4&amp;CS4&amp;"Template de desconto FLAT bundle - Velox XDSL - Varejo"),[7]BENEFICIOS!$A:$E,5,0)))</f>
        <v>MKT-1-9865191198</v>
      </c>
      <c r="CU4" s="69"/>
      <c r="CV4" s="70"/>
      <c r="CW4" s="64"/>
      <c r="CX4" s="65"/>
      <c r="CY4" s="68" t="s">
        <v>161</v>
      </c>
      <c r="CZ4" s="69">
        <v>59.9</v>
      </c>
      <c r="DA4" s="64">
        <f>IF(CZ4=0,"",IF(CZ4=VLOOKUP("PCS-30766g",[7]ARBOR!$A:$C,3,0),0.0001,IF(CZ4&gt;VLOOKUP("PCS-30766g",[7]ARBOR!$A:$C,3,0),"Maior que CAP!",IF((DOLLAR(CZ4+(VLOOKUP("PCS-30766g",[7]ARBOR!$A:$C,3,0)*-TRUNC(CZ4/VLOOKUP("PCS-30766g",[7]ARBOR!$A:$C,3,0)-1,4)),6))&lt;&gt;(DOLLAR(VLOOKUP("PCS-30766g",[7]ARBOR!$A:$C,3,0),6)),-TRUNC(CZ4/VLOOKUP("PCS-30766g",[7]ARBOR!$A:$C,3,0)-1,4)+0.0001,-TRUNC(CZ4/VLOOKUP("PCS-30766g",[7]ARBOR!$A:$C,3,0)-1,4)))))</f>
        <v>0.78669999999999995</v>
      </c>
      <c r="DB4" s="65" t="str">
        <f>IF(ISERROR(IF(DA4="","",VLOOKUP(($BH4&amp;DA4&amp;"Template de desconto FLAT bundle - Velox XDSL - Varejo"),[7]BENEFICIOS!$A:$E,5,0))),"Criar",IF(DA4="","",VLOOKUP(($BH4&amp;DA4&amp;"Template de desconto FLAT bundle - Velox XDSL - Varejo"),[7]BENEFICIOS!$A:$E,5,0)))</f>
        <v>MKT-1-9865191291</v>
      </c>
      <c r="DC4" s="69"/>
      <c r="DD4" s="70"/>
      <c r="DE4" s="64"/>
      <c r="DF4" s="65"/>
      <c r="DG4" s="68" t="s">
        <v>240</v>
      </c>
      <c r="DH4" s="69">
        <v>69.900000000000006</v>
      </c>
      <c r="DI4" s="64">
        <f>IF(DH4=0,"",IF(DH4=VLOOKUP("PCS-30793g",[7]ARBOR!$A:$C,3,0),0.0001,IF(DH4&gt;VLOOKUP("PCS-30793g",[7]ARBOR!$A:$C,3,0),"Maior que CAP!",IF((DOLLAR(DH4+(VLOOKUP("PCS-30793g",[7]ARBOR!$A:$C,3,0)*-TRUNC(DH4/VLOOKUP("PCS-30793g",[7]ARBOR!$A:$C,3,0)-1,4)),6))&lt;&gt;(DOLLAR(VLOOKUP("PCS-30793g",[7]ARBOR!$A:$C,3,0),6)),-TRUNC(DH4/VLOOKUP("PCS-30793g",[7]ARBOR!$A:$C,3,0)-1,4)+0.0001,-TRUNC(DH4/VLOOKUP("PCS-30793g",[7]ARBOR!$A:$C,3,0)-1,4)))))</f>
        <v>0.75109999999999999</v>
      </c>
      <c r="DJ4" s="65" t="str">
        <f>IF(ISERROR(IF(DI4="","",VLOOKUP(($BH4&amp;DI4&amp;"Template de desconto FLAT bundle - Velox XDSL - Varejo"),[7]BENEFICIOS!$A:$E,5,0))),"Criar",IF(DI4="","",VLOOKUP(($BH4&amp;DI4&amp;"Template de desconto FLAT bundle - Velox XDSL - Varejo"),[7]BENEFICIOS!$A:$E,5,0)))</f>
        <v>MKT-1-9865191384</v>
      </c>
      <c r="DK4" s="69"/>
      <c r="DL4" s="70"/>
      <c r="DM4" s="64"/>
      <c r="DN4" s="65"/>
      <c r="DO4" s="68" t="s">
        <v>161</v>
      </c>
      <c r="DP4" s="69">
        <v>69.900000000000006</v>
      </c>
      <c r="DQ4" s="64">
        <f>IF(DP4=0,"",IF(DP4=VLOOKUP("PCS-30820g",[7]ARBOR!$A:$C,3,0),0.0001,IF(DP4&gt;VLOOKUP("PCS-30820g",[7]ARBOR!$A:$C,3,0),"Maior que CAP!",IF((DOLLAR(DP4+(VLOOKUP("PCS-30820g",[7]ARBOR!$A:$C,3,0)*-TRUNC(DP4/VLOOKUP("PCS-30820g",[7]ARBOR!$A:$C,3,0)-1,4)),6))&lt;&gt;(DOLLAR(VLOOKUP("PCS-30820g",[7]ARBOR!$A:$C,3,0),6)),-TRUNC(DP4/VLOOKUP("PCS-30820g",[7]ARBOR!$A:$C,3,0)-1,4)+0.0001,-TRUNC(DP4/VLOOKUP("PCS-30820g",[7]ARBOR!$A:$C,3,0)-1,4)))))</f>
        <v>0.75109999999999999</v>
      </c>
      <c r="DR4" s="65" t="str">
        <f>IF(ISERROR(IF(DQ4="","",VLOOKUP(($BH4&amp;DQ4&amp;"Template de desconto FLAT bundle - Velox XDSL - Varejo"),[7]BENEFICIOS!$A:$E,5,0))),"Criar",IF(DQ4="","",VLOOKUP(($BH4&amp;DQ4&amp;"Template de desconto FLAT bundle - Velox XDSL - Varejo"),[7]BENEFICIOS!$A:$E,5,0)))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IF(DW4=0,"",IF(DW4=VLOOKUP("PCS-21448p2",[7]ARBOR!$A:$C,3,0),0.0001,IF(DW4&gt;VLOOKUP("PCS-21448p2",[7]ARBOR!$A:$C,3,0),"Maior que CAP!",IF((DOLLAR(DW4+(VLOOKUP("PCS-21448p2",[7]ARBOR!$A:$C,3,0)*-TRUNC(DW4/VLOOKUP("PCS-21448p2",[7]ARBOR!$A:$C,3,0)-1,4)),6))&lt;&gt;(DOLLAR(VLOOKUP("PCS-21448p2",[7]ARBOR!$A:$C,3,0),6)),-TRUNC(DW4/VLOOKUP("PCS-21448p2",[7]ARBOR!$A:$C,3,0)-1,4)+0.0001,-TRUNC(DW4/VLOOKUP("PCS-21448p2",[7]ARBOR!$A:$C,3,0)-1,4)))))</f>
        <v/>
      </c>
      <c r="DY4" s="65" t="str">
        <f>IF(ISERROR(IF(DX4="","",VLOOKUP(("Oi Conta Total Plug 10GB Downgrade"&amp;DX4&amp;"Template de desconto percentual BL Móvel - Internet Total - Varejo"),[7]BENEFICIOS!$A:$E,5,0))),"Criar",IF(DX4="","",VLOOKUP(("Oi Conta Total Plug 10GB Downgrade"&amp;DX4&amp;"Template de desconto percentual BL Móvel - Internet Total - Varejo"),[7]BENEFICIOS!$A:$E,5,0)))</f>
        <v/>
      </c>
      <c r="DZ4" s="71">
        <v>19.899999999999999</v>
      </c>
      <c r="EA4" s="72">
        <f>IF(DZ4=0,"",IF(DZ4=VLOOKUP("SVA",[7]ARBOR!$A:$C,3,0),0.0001,IF(DZ4&gt;VLOOKUP("SVA",[7]ARBOR!$A:$C,3,0),"Maior que CAP!",IF((DOLLAR(DZ4+(VLOOKUP("SVA",[7]ARBOR!$A:$C,3,0)*-TRUNC(DZ4/VLOOKUP("SVA",[7]ARBOR!$A:$C,3,0)-1,4)),6))&lt;&gt;(DOLLAR(VLOOKUP("SVA",[7]ARBOR!$A:$C,3,0),6)),-TRUNC(DZ4/VLOOKUP("SVA",[7]ARBOR!$A:$C,3,0)-1,4)+0.0001,-TRUNC(DZ4/VLOOKUP("SVA",[7]ARBOR!$A:$C,3,0)-1,4)))))</f>
        <v>7.1400000000000005E-2</v>
      </c>
      <c r="EB4" s="65" t="s">
        <v>241</v>
      </c>
      <c r="EC4" s="69"/>
      <c r="ED4" s="73"/>
      <c r="EE4" s="74"/>
      <c r="EF4" s="65"/>
      <c r="EG4" s="75">
        <f>IF(BI4="","",VLOOKUP(BI4,[7]ARBOR!A:C,3,0))</f>
        <v>479.46</v>
      </c>
      <c r="EH4" s="69">
        <v>15</v>
      </c>
      <c r="EI4" s="76">
        <f>IF(EH4="","",1-(EH4/VLOOKUP(BI4&amp;"ASS",[7]ARBOR!A:C,3,0)))</f>
        <v>0.34725848563968664</v>
      </c>
      <c r="EJ4" s="77" t="s">
        <v>224</v>
      </c>
      <c r="EK4" s="78" t="s">
        <v>225</v>
      </c>
      <c r="EL4" s="69">
        <v>145.9</v>
      </c>
      <c r="EM4" s="64">
        <f>ROUND(IF(EL4=0,"",IF(EL4=EG4,0.0001,1-((EL4+(VLOOKUP(BI4&amp;"ASS",[7]ARBOR!A:C,3,0)-EH4))/EG4))),4)</f>
        <v>0.67910000000000004</v>
      </c>
      <c r="EN4" s="65" t="str">
        <f>IF(ISERROR(IF(EM4="","",VLOOKUP(($BH4&amp;EM4&amp;"Template de desconto percentual FLAT Móvel - Conta Total - Varejo - Ganho Tributário Cross"),[7]BENEFICIOS!$A:$E,5,0))),"Criar",IF(EM4="","",VLOOKUP(($BH4&amp;EM4&amp;"Template de desconto percentual FLAT Móvel - Conta Total - Varejo - Ganho Tributário Cross"),[7]BENEFICIOS!$A:$E,5,0)))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IF(FC4=0,"",IF(FC4=VLOOKUP("PCS-10357",[7]ARBOR!$A:$C,3,0),0.0001,IF(FC4&gt;VLOOKUP("PCS-10357",[7]ARBOR!$A:$C,3,0),"Maior que CAP!",ROUND(-1*(FC4/VLOOKUP("PCS-10357",[7]ARBOR!$A:$C,3,0)-1),4))))</f>
        <v/>
      </c>
      <c r="FE4" s="84" t="str">
        <f>IF(ISERROR(IF(FD4="","",VLOOKUP(("Oi Internet Pra Celular 1GB"&amp;FD4&amp;"Template Flat Instância Dados"),[7]BENEFICIOS!$A:$E,5,0))),"Criar",IF(FD4="","",VLOOKUP(("Oi Internet Pra Celular 1GB"&amp;FD4&amp;"Template Flat Instância Dados"),[7]BENEFICIOS!$A:$E,5,0)))</f>
        <v/>
      </c>
      <c r="FF4" s="82"/>
      <c r="FG4" s="83" t="str">
        <f>IF(FF4=0,"",IF(FF4=VLOOKUP("PCS-813565",[7]ARBOR!$A:$C,3,0),0.0001,IF(FF4&gt;VLOOKUP("PCS-813565",[7]ARBOR!$A:$C,3,0),"Maior que CAP!",ROUND(-1*(FF4/VLOOKUP("PCS-813565",[7]ARBOR!$A:$C,3,0)-1),4))))</f>
        <v/>
      </c>
      <c r="FH4" s="84" t="str">
        <f>IF(ISERROR(IF(FG4="","",VLOOKUP(("Oi Internet Pra Celular 2GB"&amp;FG4&amp;"Template Flat Instância Dados"),[7]BENEFICIOS!$A:$E,5,0))),"Criar",IF(FG4="","",VLOOKUP(("Oi Internet Pra Celular 2GB"&amp;FG4&amp;"Template Flat Instância Dados"),[7]BENEFICIOS!$A:$E,5,0)))</f>
        <v/>
      </c>
      <c r="FI4" s="82"/>
      <c r="FJ4" s="83" t="str">
        <f>IF(FI4=0,"",IF(FI4=VLOOKUP("PCS-7171B",[7]ARBOR!$A:$C,3,0),0.0001,IF(FI4&gt;VLOOKUP("PCS-7171B",[7]ARBOR!$A:$C,3,0),"Maior que CAP!",ROUND(-1*(FI4/VLOOKUP("PCS-7171B",[7]ARBOR!$A:$C,3,0)-1),4))))</f>
        <v/>
      </c>
      <c r="FK4" s="84" t="str">
        <f>IF(ISERROR(IF(FJ4="","",VLOOKUP(("Oi Internet Pra Celular 3GB"&amp;FJ4&amp;"Template Flat Instância Dados"),[7]BENEFICIOS!$A:$E,5,0))),"Criar",IF(FJ4="","",VLOOKUP(("Oi Internet Pra Celular 3GB"&amp;FJ4&amp;"Template Flat Instância Dados"),[7]BENEFICIOS!$A:$E,5,0)))</f>
        <v/>
      </c>
      <c r="FL4" s="82"/>
      <c r="FM4" s="83" t="str">
        <f>IF(FL4=0,"",IF(FL4=VLOOKUP("PCS-51793o08",[7]ARBOR!$A:$C,3,0),0.0001,IF(FL4&gt;VLOOKUP("PCS-51793o08",[7]ARBOR!$A:$C,3,0),"Maior que CAP!",ROUND(-1*(FL4/VLOOKUP("PCS-51793o08",[7]ARBOR!$A:$C,3,0)-1),4))))</f>
        <v/>
      </c>
      <c r="FN4" s="84" t="str">
        <f>IF(ISERROR(IF(FM4="","",VLOOKUP(("Oi Internet Pra Celular 5GB"&amp;FM4&amp;"Template Flat Instância Dados"),[7]BENEFICIOS!$A:$E,5,0))),"Criar",IF(FM4="","",VLOOKUP(("Oi Internet Pra Celular 5GB"&amp;FM4&amp;"Template Flat Instância Dados"),[7]BENEFICIOS!$A:$E,5,0)))</f>
        <v/>
      </c>
      <c r="FO4" s="82"/>
      <c r="FP4" s="83" t="str">
        <f>IF(FO4=0,"",IF(FO4=VLOOKUP("PCS-7171A",[7]ARBOR!$A:$C,3,0),0.0001,IF(FO4&gt;VLOOKUP("PCS-7171A",[7]ARBOR!$A:$C,3,0),"Maior que CAP!",ROUND(-1*(FO4/VLOOKUP("PCS-7171A",[7]ARBOR!$A:$C,3,0)-1),4))))</f>
        <v/>
      </c>
      <c r="FQ4" s="84" t="str">
        <f>IF(ISERROR(IF(FP4="","",VLOOKUP(("Oi Internet Pra Celular 10GB"&amp;FP4&amp;"Template Flat Instância Dados"),[7]BENEFICIOS!$A:$E,5,0))),"Criar",IF(FP4="","",VLOOKUP(("Oi Internet Pra Celular 10GB"&amp;FP4&amp;"Template Flat Instância Dados"),[7]BENEFICIOS!$A:$E,5,0)))</f>
        <v/>
      </c>
      <c r="FR4" s="85"/>
      <c r="FS4" s="86"/>
      <c r="FT4" s="48"/>
      <c r="FU4" s="87"/>
      <c r="FV4" s="88" t="s">
        <v>221</v>
      </c>
      <c r="FW4" s="49" t="s">
        <v>226</v>
      </c>
      <c r="FX4" s="89">
        <v>999</v>
      </c>
      <c r="FY4" s="49">
        <v>12</v>
      </c>
      <c r="FZ4" s="90" t="s">
        <v>227</v>
      </c>
      <c r="GA4" s="91" t="str">
        <f t="shared" si="1"/>
        <v>PCS-Fk83324</v>
      </c>
      <c r="GB4" s="92" t="str">
        <f t="shared" si="2"/>
        <v>PCS-SBL553142</v>
      </c>
      <c r="GC4" s="93" t="s">
        <v>228</v>
      </c>
      <c r="GD4" s="90" t="s">
        <v>229</v>
      </c>
      <c r="GE4" s="92" t="s">
        <v>230</v>
      </c>
      <c r="GF4" s="93" t="s">
        <v>231</v>
      </c>
      <c r="GG4" s="90" t="s">
        <v>232</v>
      </c>
      <c r="GH4" s="92" t="s">
        <v>233</v>
      </c>
      <c r="GI4" s="94" t="s">
        <v>234</v>
      </c>
      <c r="GJ4" s="95">
        <f>FC4+EL4+CN4+BJ4</f>
        <v>245.9</v>
      </c>
      <c r="GK4" s="96"/>
      <c r="GL4" s="97" t="s">
        <v>235</v>
      </c>
      <c r="GM4" s="98" t="s">
        <v>236</v>
      </c>
      <c r="GN4" s="97">
        <f>VLOOKUP($A4,'[7]TABELA COM TUDO'!$A:$AB,25,0)</f>
        <v>0</v>
      </c>
      <c r="GO4" s="99">
        <f>VLOOKUP($A4,'[7]TABELA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242</v>
      </c>
      <c r="GX4" s="44" t="s">
        <v>238</v>
      </c>
    </row>
    <row r="5" spans="1:206" s="44" customFormat="1" x14ac:dyDescent="0.35">
      <c r="A5" s="44" t="str">
        <f t="shared" si="0"/>
        <v>Oi Total Fixo + Pós 800 + Banda LargaN11GBMG</v>
      </c>
      <c r="B5" s="45" t="s">
        <v>211</v>
      </c>
      <c r="C5" s="46" t="s">
        <v>127</v>
      </c>
      <c r="D5" s="46" t="s">
        <v>212</v>
      </c>
      <c r="E5" s="47" t="s">
        <v>213</v>
      </c>
      <c r="F5" s="48" t="s">
        <v>214</v>
      </c>
      <c r="G5" s="49"/>
      <c r="H5" s="49"/>
      <c r="I5" s="49"/>
      <c r="J5" s="49" t="s">
        <v>214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214</v>
      </c>
      <c r="AC5" s="49" t="s">
        <v>214</v>
      </c>
      <c r="AD5" s="49" t="s">
        <v>214</v>
      </c>
      <c r="AE5" s="49" t="s">
        <v>214</v>
      </c>
      <c r="AF5" s="49" t="s">
        <v>214</v>
      </c>
      <c r="AG5" s="49" t="s">
        <v>214</v>
      </c>
      <c r="AH5" s="50"/>
      <c r="AI5" s="49" t="s">
        <v>214</v>
      </c>
      <c r="AJ5" s="49" t="s">
        <v>214</v>
      </c>
      <c r="AK5" s="49" t="s">
        <v>214</v>
      </c>
      <c r="AL5" s="49" t="s">
        <v>214</v>
      </c>
      <c r="AM5" s="49" t="s">
        <v>214</v>
      </c>
      <c r="AN5" s="49" t="s">
        <v>214</v>
      </c>
      <c r="AO5" s="49" t="s">
        <v>214</v>
      </c>
      <c r="AP5" s="49"/>
      <c r="AQ5" s="51"/>
      <c r="AR5" s="52" t="s">
        <v>243</v>
      </c>
      <c r="AS5" s="46" t="s">
        <v>216</v>
      </c>
      <c r="AT5" s="53" t="s">
        <v>217</v>
      </c>
      <c r="AU5" s="54">
        <v>42972</v>
      </c>
      <c r="AV5" s="55">
        <v>43038</v>
      </c>
      <c r="AW5" s="56" t="s">
        <v>218</v>
      </c>
      <c r="AX5" s="57" t="s">
        <v>218</v>
      </c>
      <c r="AY5" s="58"/>
      <c r="AZ5" s="58" t="s">
        <v>219</v>
      </c>
      <c r="BA5" s="58">
        <v>20</v>
      </c>
      <c r="BB5" s="58">
        <v>10000</v>
      </c>
      <c r="BC5" s="59" t="s">
        <v>220</v>
      </c>
      <c r="BD5" s="60" t="s">
        <v>221</v>
      </c>
      <c r="BE5" s="58" t="s">
        <v>213</v>
      </c>
      <c r="BF5" s="51" t="s">
        <v>213</v>
      </c>
      <c r="BG5" s="45" t="s">
        <v>243</v>
      </c>
      <c r="BH5" s="61" t="s">
        <v>222</v>
      </c>
      <c r="BI5" s="62" t="str">
        <f>IF(ISERROR(VLOOKUP(BH5,[7]PLANOS!B:C,2,0)),"",VLOOKUP(BH5,[7]PLANOS!B:C,2,0))</f>
        <v>PCS-4P6pi</v>
      </c>
      <c r="BJ5" s="63">
        <v>50.1</v>
      </c>
      <c r="BK5" s="64">
        <f>IF(BJ5=0,"",IF(BJ5=VLOOKUP("FIXO",[7]ARBOR!$A:$C,3,0),0.0001,IF(BJ5&gt;VLOOKUP("FIXO",[7]ARBOR!$A:$C,3,0),"Maior que CAP!",IF((DOLLAR(BJ5+(VLOOKUP("FIXO",[7]ARBOR!$A:$C,3,0)*-TRUNC(BJ5/VLOOKUP("FIXO",[7]ARBOR!$A:$C,3,0)-1,4)),6))&lt;&gt;(DOLLAR(VLOOKUP("FIXO",[7]ARBOR!$A:$C,3,0),6)),-TRUNC(BJ5/VLOOKUP("FIXO",[7]ARBOR!$A:$C,3,0)-1,4)+0.0001,-TRUNC(BJ5/VLOOKUP("FIXO",[7]ARBOR!$A:$C,3,0)-1,4)))))</f>
        <v>0.33939999999999998</v>
      </c>
      <c r="BL5" s="65" t="str">
        <f>IF(ISERROR(IF(BK5="","",VLOOKUP(($BH5&amp;BK5&amp;"Template de desconto FLAT bundle - Fixo - Varejo - Ganho Tributário Cross"),[7]BENEFICIOS!$A:$E,5,0))),"Criar",IF(BK5="","",VLOOKUP(($BH5&amp;BK5&amp;"Template de desconto FLAT bundle - Fixo - Varejo - Ganho Tributário Cross"),[7]BENEFICIOS!$A:$E,5,0)))</f>
        <v>MKT-1-9856472058</v>
      </c>
      <c r="BM5" s="66"/>
      <c r="BN5" s="67"/>
      <c r="BO5" s="68" t="s">
        <v>161</v>
      </c>
      <c r="BP5" s="69">
        <v>44.9</v>
      </c>
      <c r="BQ5" s="64">
        <f>IF(BP5=0,"",IF(BP5=VLOOKUP("PCS-30874g",[7]ARBOR!$A:$C,3,0),0.0001,IF(BP5&gt;VLOOKUP("PCS-30874g",[7]ARBOR!$A:$C,3,0),"Maior que CAP!",IF((DOLLAR(BP5+(VLOOKUP("PCS-30874g",[7]ARBOR!$A:$C,3,0)*-TRUNC(BP5/VLOOKUP("PCS-30874g",[7]ARBOR!$A:$C,3,0)-1,4)),6))&lt;&gt;(DOLLAR(VLOOKUP("PCS-30874g",[7]ARBOR!$A:$C,3,0),6)),-TRUNC(BP5/VLOOKUP("PCS-30874g",[7]ARBOR!$A:$C,3,0)-1,4)+0.0001,-TRUNC(BP5/VLOOKUP("PCS-30874g",[7]ARBOR!$A:$C,3,0)-1,4)))))</f>
        <v>0.53679999999999994</v>
      </c>
      <c r="BR5" s="65" t="str">
        <f>IF(ISERROR(IF(BQ5="","",VLOOKUP(($BH5&amp;BQ5&amp;"Template de desconto FLAT bundle - Velox XDSL - Varejo"),[7]BENEFICIOS!$A:$E,5,0))),"Criar",IF(BQ5="","",VLOOKUP(($BH5&amp;BQ5&amp;"Template de desconto FLAT bundle - Velox XDSL - Varejo"),[7]BENEFICIOS!$A:$E,5,0)))</f>
        <v>MKT-1-9865126733</v>
      </c>
      <c r="BS5" s="68" t="s">
        <v>161</v>
      </c>
      <c r="BT5" s="69">
        <v>44.9</v>
      </c>
      <c r="BU5" s="64">
        <f>IF(BT5=0,"",IF(BT5=VLOOKUP("PCS-30577g",[7]ARBOR!$A:$C,3,0),0.0001,IF(BT5&gt;VLOOKUP("PCS-30577g",[7]ARBOR!$A:$C,3,0),"Maior que CAP!",IF((DOLLAR(BT5+(VLOOKUP("PCS-30577g",[7]ARBOR!$A:$C,3,0)*-TRUNC(BT5/VLOOKUP("PCS-30577g",[7]ARBOR!$A:$C,3,0)-1,4)),6))&lt;&gt;(DOLLAR(VLOOKUP("PCS-30577g",[7]ARBOR!$A:$C,3,0),6)),-TRUNC(BT5/VLOOKUP("PCS-30577g",[7]ARBOR!$A:$C,3,0)-1,4)+0.0001,-TRUNC(BT5/VLOOKUP("PCS-30577g",[7]ARBOR!$A:$C,3,0)-1,4)))))</f>
        <v>0.53679999999999994</v>
      </c>
      <c r="BV5" s="65" t="str">
        <f>IF(ISERROR(IF(BU5="","",VLOOKUP(($BH5&amp;BU5&amp;"Template de desconto FLAT bundle - Velox XDSL - Varejo"),[7]BENEFICIOS!$A:$E,5,0))),"Criar",IF(BU5="","",VLOOKUP(($BH5&amp;BU5&amp;"Template de desconto FLAT bundle - Velox XDSL - Varejo"),[7]BENEFICIOS!$A:$E,5,0)))</f>
        <v>MKT-1-9865126733</v>
      </c>
      <c r="BW5" s="68" t="s">
        <v>161</v>
      </c>
      <c r="BX5" s="69">
        <v>44.9</v>
      </c>
      <c r="BY5" s="64">
        <f>IF(BX5=0,"",IF(BX5=VLOOKUP("PCS-30604g",[7]ARBOR!$A:$C,3,0),0.0001,IF(BX5&gt;VLOOKUP("PCS-30604g",[7]ARBOR!$A:$C,3,0),"Maior que CAP!",IF((DOLLAR(BX5+(VLOOKUP("PCS-30604g",[7]ARBOR!$A:$C,3,0)*-TRUNC(BX5/VLOOKUP("PCS-30604g",[7]ARBOR!$A:$C,3,0)-1,4)),6))&lt;&gt;(DOLLAR(VLOOKUP("PCS-30604g",[7]ARBOR!$A:$C,3,0),6)),-TRUNC(BX5/VLOOKUP("PCS-30604g",[7]ARBOR!$A:$C,3,0)-1,4)+0.0001,-TRUNC(BX5/VLOOKUP("PCS-30604g",[7]ARBOR!$A:$C,3,0)-1,4)))))</f>
        <v>0.53679999999999994</v>
      </c>
      <c r="BZ5" s="65" t="str">
        <f>IF(ISERROR(IF(BY5="","",VLOOKUP(($BH5&amp;BY5&amp;"Template de desconto FLAT bundle - Velox XDSL - Varejo"),[7]BENEFICIOS!$A:$E,5,0))),"Criar",IF(BY5="","",VLOOKUP(($BH5&amp;BY5&amp;"Template de desconto FLAT bundle - Velox XDSL - Varejo"),[7]BENEFICIOS!$A:$E,5,0)))</f>
        <v>MKT-1-9865126733</v>
      </c>
      <c r="CA5" s="68" t="s">
        <v>161</v>
      </c>
      <c r="CB5" s="69">
        <v>44.9</v>
      </c>
      <c r="CC5" s="64">
        <f>IF(CB5=0,"",IF(CB5=VLOOKUP("PCS-30631g",[7]ARBOR!$A:$C,3,0),0.0001,IF(CB5&gt;VLOOKUP("PCS-30631g",[7]ARBOR!$A:$C,3,0),"Maior que CAP!",IF((DOLLAR(CB5+(VLOOKUP("PCS-30631g",[7]ARBOR!$A:$C,3,0)*-TRUNC(CB5/VLOOKUP("PCS-30631g",[7]ARBOR!$A:$C,3,0)-1,4)),6))&lt;&gt;(DOLLAR(VLOOKUP("PCS-30631g",[7]ARBOR!$A:$C,3,0),6)),-TRUNC(CB5/VLOOKUP("PCS-30631g",[7]ARBOR!$A:$C,3,0)-1,4)+0.0001,-TRUNC(CB5/VLOOKUP("PCS-30631g",[7]ARBOR!$A:$C,3,0)-1,4)))))</f>
        <v>0.54310000000000003</v>
      </c>
      <c r="CD5" s="65" t="str">
        <f>IF(ISERROR(IF(CC5="","",VLOOKUP(($BH5&amp;CC5&amp;"Template de desconto FLAT bundle - Velox XDSL - Varejo"),[7]BENEFICIOS!$A:$E,5,0))),"Criar",IF(CC5="","",VLOOKUP(($BH5&amp;CC5&amp;"Template de desconto FLAT bundle - Velox XDSL - Varejo"),[7]BENEFICIOS!$A:$E,5,0)))</f>
        <v>MKT-1-9865126826</v>
      </c>
      <c r="CE5" s="68"/>
      <c r="CF5" s="69"/>
      <c r="CG5" s="64" t="str">
        <f>IF(CF5=0,"",IF(CF5=VLOOKUP("PCS-30658g",[7]ARBOR!$A:$C,3,0),0.0001,IF(CF5&gt;VLOOKUP("PCS-30658g",[7]ARBOR!$A:$C,3,0),"Maior que CAP!",IF((DOLLAR(CF5+(VLOOKUP("PCS-30658g",[7]ARBOR!$A:$C,3,0)*-TRUNC(CF5/VLOOKUP("PCS-30658g",[7]ARBOR!$A:$C,3,0)-1,4)),6))&lt;&gt;(DOLLAR(VLOOKUP("PCS-30658g",[7]ARBOR!$A:$C,3,0),6)),-TRUNC(CF5/VLOOKUP("PCS-30658g",[7]ARBOR!$A:$C,3,0)-1,4)+0.0001,-TRUNC(CF5/VLOOKUP("PCS-30658g",[7]ARBOR!$A:$C,3,0)-1,4)))))</f>
        <v/>
      </c>
      <c r="CH5" s="65" t="str">
        <f>IF(ISERROR(IF(CG5="","",VLOOKUP(($BH5&amp;CG5&amp;"Template de desconto FLAT bundle - Velox XDSL - Varejo"),[7]BENEFICIOS!$A:$E,5,0))),"Criar",IF(CG5="","",VLOOKUP(($BH5&amp;CG5&amp;"Template de desconto FLAT bundle - Velox XDSL - Varejo"),[7]BENEFICIOS!$A:$E,5,0)))</f>
        <v/>
      </c>
      <c r="CI5" s="68"/>
      <c r="CJ5" s="69"/>
      <c r="CK5" s="64" t="str">
        <f>IF(CJ5=0,"",IF(CJ5=VLOOKUP("PCS-30685g",[7]ARBOR!$A:$C,3,0),0.0001,IF(CJ5&gt;VLOOKUP("PCS-30685g",[7]ARBOR!$A:$C,3,0),"Maior que CAP!",IF((DOLLAR(CJ5+(VLOOKUP("PCS-30685g",[7]ARBOR!$A:$C,3,0)*-TRUNC(CJ5/VLOOKUP("PCS-30685g",[7]ARBOR!$A:$C,3,0)-1,4)),6))&lt;&gt;(DOLLAR(VLOOKUP("PCS-30685g",[7]ARBOR!$A:$C,3,0),6)),-TRUNC(CJ5/VLOOKUP("PCS-30685g",[7]ARBOR!$A:$C,3,0)-1,4)+0.0001,-TRUNC(CJ5/VLOOKUP("PCS-30685g",[7]ARBOR!$A:$C,3,0)-1,4)))))</f>
        <v/>
      </c>
      <c r="CL5" s="65" t="str">
        <f>IF(ISERROR(IF(CK5="","",VLOOKUP(($BH5&amp;CK5&amp;"Template de desconto FLAT bundle - Velox XDSL - Varejo"),[7]BENEFICIOS!$A:$E,5,0))),"Criar",IF(CK5="","",VLOOKUP(($BH5&amp;CK5&amp;"Template de desconto FLAT bundle - Velox XDSL - Varejo"),[7]BENEFICIOS!$A:$E,5,0)))</f>
        <v/>
      </c>
      <c r="CM5" s="68"/>
      <c r="CN5" s="69"/>
      <c r="CO5" s="64" t="str">
        <f>IF(CN5=0,"",IF(CN5=VLOOKUP("PCS-30712g",[7]ARBOR!$A:$C,3,0),0.0001,IF(CN5&gt;VLOOKUP("PCS-30712g",[7]ARBOR!$A:$C,3,0),"Maior que CAP!",IF((DOLLAR(CN5+(VLOOKUP("PCS-30712g",[7]ARBOR!$A:$C,3,0)*-TRUNC(CN5/VLOOKUP("PCS-30712g",[7]ARBOR!$A:$C,3,0)-1,4)),6))&lt;&gt;(DOLLAR(VLOOKUP("PCS-30712g",[7]ARBOR!$A:$C,3,0),6)),-TRUNC(CN5/VLOOKUP("PCS-30712g",[7]ARBOR!$A:$C,3,0)-1,4)+0.0001,-TRUNC(CN5/VLOOKUP("PCS-30712g",[7]ARBOR!$A:$C,3,0)-1,4)))))</f>
        <v/>
      </c>
      <c r="CP5" s="65" t="str">
        <f>IF(ISERROR(IF(CO5="","",VLOOKUP(($BH5&amp;CO5&amp;"Template de desconto FLAT bundle - Velox XDSL - Varejo"),[7]BENEFICIOS!$A:$E,5,0))),"Criar",IF(CO5="","",VLOOKUP(($BH5&amp;CO5&amp;"Template de desconto FLAT bundle - Velox XDSL - Varejo"),[7]BENEFICIOS!$A:$E,5,0)))</f>
        <v/>
      </c>
      <c r="CQ5" s="68"/>
      <c r="CR5" s="69"/>
      <c r="CS5" s="64" t="str">
        <f>IF(CR5=0,"",IF(CR5=VLOOKUP("PCS-30739g",[7]ARBOR!$A:$C,3,0),0.0001,IF(CR5&gt;VLOOKUP("PCS-30739g",[7]ARBOR!$A:$C,3,0),"Maior que CAP!",IF((DOLLAR(CR5+(VLOOKUP("PCS-30739g",[7]ARBOR!$A:$C,3,0)*-TRUNC(CR5/VLOOKUP("PCS-30739g",[7]ARBOR!$A:$C,3,0)-1,4)),6))&lt;&gt;(DOLLAR(VLOOKUP("PCS-30739g",[7]ARBOR!$A:$C,3,0),6)),-TRUNC(CR5/VLOOKUP("PCS-30739g",[7]ARBOR!$A:$C,3,0)-1,4)+0.0001,-TRUNC(CR5/VLOOKUP("PCS-30739g",[7]ARBOR!$A:$C,3,0)-1,4)))))</f>
        <v/>
      </c>
      <c r="CT5" s="65" t="str">
        <f>IF(ISERROR(IF(CS5="","",VLOOKUP(($BH5&amp;CS5&amp;"Template de desconto FLAT bundle - Velox XDSL - Varejo"),[7]BENEFICIOS!$A:$E,5,0))),"Criar",IF(CS5="","",VLOOKUP(($BH5&amp;CS5&amp;"Template de desconto FLAT bundle - Velox XDSL - Varejo"),[7]BENEFICIOS!$A:$E,5,0)))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IF(CZ5=0,"",IF(CZ5=VLOOKUP("PCS-30766g",[7]ARBOR!$A:$C,3,0),0.0001,IF(CZ5&gt;VLOOKUP("PCS-30766g",[7]ARBOR!$A:$C,3,0),"Maior que CAP!",IF((DOLLAR(CZ5+(VLOOKUP("PCS-30766g",[7]ARBOR!$A:$C,3,0)*-TRUNC(CZ5/VLOOKUP("PCS-30766g",[7]ARBOR!$A:$C,3,0)-1,4)),6))&lt;&gt;(DOLLAR(VLOOKUP("PCS-30766g",[7]ARBOR!$A:$C,3,0),6)),-TRUNC(CZ5/VLOOKUP("PCS-30766g",[7]ARBOR!$A:$C,3,0)-1,4)+0.0001,-TRUNC(CZ5/VLOOKUP("PCS-30766g",[7]ARBOR!$A:$C,3,0)-1,4)))))</f>
        <v/>
      </c>
      <c r="DB5" s="65" t="str">
        <f>IF(ISERROR(IF(DA5="","",VLOOKUP(($BH5&amp;DA5&amp;"Template de desconto FLAT bundle - Velox XDSL - Varejo"),[7]BENEFICIOS!$A:$E,5,0))),"Criar",IF(DA5="","",VLOOKUP(($BH5&amp;DA5&amp;"Template de desconto FLAT bundle - Velox XDSL - Varejo"),[7]BENEFICIOS!$A:$E,5,0)))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IF(DH5=0,"",IF(DH5=VLOOKUP("PCS-30793g",[7]ARBOR!$A:$C,3,0),0.0001,IF(DH5&gt;VLOOKUP("PCS-30793g",[7]ARBOR!$A:$C,3,0),"Maior que CAP!",IF((DOLLAR(DH5+(VLOOKUP("PCS-30793g",[7]ARBOR!$A:$C,3,0)*-TRUNC(DH5/VLOOKUP("PCS-30793g",[7]ARBOR!$A:$C,3,0)-1,4)),6))&lt;&gt;(DOLLAR(VLOOKUP("PCS-30793g",[7]ARBOR!$A:$C,3,0),6)),-TRUNC(DH5/VLOOKUP("PCS-30793g",[7]ARBOR!$A:$C,3,0)-1,4)+0.0001,-TRUNC(DH5/VLOOKUP("PCS-30793g",[7]ARBOR!$A:$C,3,0)-1,4)))))</f>
        <v/>
      </c>
      <c r="DJ5" s="65" t="str">
        <f>IF(ISERROR(IF(DI5="","",VLOOKUP(($BH5&amp;DI5&amp;"Template de desconto FLAT bundle - Velox XDSL - Varejo"),[7]BENEFICIOS!$A:$E,5,0))),"Criar",IF(DI5="","",VLOOKUP(($BH5&amp;DI5&amp;"Template de desconto FLAT bundle - Velox XDSL - Varejo"),[7]BENEFICIOS!$A:$E,5,0)))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IF(DP5=0,"",IF(DP5=VLOOKUP("PCS-30820g",[7]ARBOR!$A:$C,3,0),0.0001,IF(DP5&gt;VLOOKUP("PCS-30820g",[7]ARBOR!$A:$C,3,0),"Maior que CAP!",IF((DOLLAR(DP5+(VLOOKUP("PCS-30820g",[7]ARBOR!$A:$C,3,0)*-TRUNC(DP5/VLOOKUP("PCS-30820g",[7]ARBOR!$A:$C,3,0)-1,4)),6))&lt;&gt;(DOLLAR(VLOOKUP("PCS-30820g",[7]ARBOR!$A:$C,3,0),6)),-TRUNC(DP5/VLOOKUP("PCS-30820g",[7]ARBOR!$A:$C,3,0)-1,4)+0.0001,-TRUNC(DP5/VLOOKUP("PCS-30820g",[7]ARBOR!$A:$C,3,0)-1,4)))))</f>
        <v/>
      </c>
      <c r="DR5" s="65" t="str">
        <f>IF(ISERROR(IF(DQ5="","",VLOOKUP(($BH5&amp;DQ5&amp;"Template de desconto FLAT bundle - Velox XDSL - Varejo"),[7]BENEFICIOS!$A:$E,5,0))),"Criar",IF(DQ5="","",VLOOKUP(($BH5&amp;DQ5&amp;"Template de desconto FLAT bundle - Velox XDSL - Varejo"),[7]BENEFICIOS!$A:$E,5,0)))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IF(DW5=0,"",IF(DW5=VLOOKUP("PCS-21448p2",[7]ARBOR!$A:$C,3,0),0.0001,IF(DW5&gt;VLOOKUP("PCS-21448p2",[7]ARBOR!$A:$C,3,0),"Maior que CAP!",IF((DOLLAR(DW5+(VLOOKUP("PCS-21448p2",[7]ARBOR!$A:$C,3,0)*-TRUNC(DW5/VLOOKUP("PCS-21448p2",[7]ARBOR!$A:$C,3,0)-1,4)),6))&lt;&gt;(DOLLAR(VLOOKUP("PCS-21448p2",[7]ARBOR!$A:$C,3,0),6)),-TRUNC(DW5/VLOOKUP("PCS-21448p2",[7]ARBOR!$A:$C,3,0)-1,4)+0.0001,-TRUNC(DW5/VLOOKUP("PCS-21448p2",[7]ARBOR!$A:$C,3,0)-1,4)))))</f>
        <v>0.64900000000000002</v>
      </c>
      <c r="DY5" s="65" t="str">
        <f>IF(ISERROR(IF(DX5="","",VLOOKUP(("Oi Conta Total Plug 10GB Downgrade"&amp;DX5&amp;"Template de desconto percentual BL Móvel - Internet Total - Varejo"),[7]BENEFICIOS!$A:$E,5,0))),"Criar",IF(DX5="","",VLOOKUP(("Oi Conta Total Plug 10GB Downgrade"&amp;DX5&amp;"Template de desconto percentual BL Móvel - Internet Total - Varejo"),[7]BENEFICIOS!$A:$E,5,0)))</f>
        <v>MKT-1-9825544790</v>
      </c>
      <c r="DZ5" s="71">
        <v>16.5</v>
      </c>
      <c r="EA5" s="72">
        <f>IF(DZ5=0,"",IF(DZ5=VLOOKUP("SVA",[7]ARBOR!$A:$C,3,0),0.0001,IF(DZ5&gt;VLOOKUP("SVA",[7]ARBOR!$A:$C,3,0),"Maior que CAP!",IF((DOLLAR(DZ5+(VLOOKUP("SVA",[7]ARBOR!$A:$C,3,0)*-TRUNC(DZ5/VLOOKUP("SVA",[7]ARBOR!$A:$C,3,0)-1,4)),6))&lt;&gt;(DOLLAR(VLOOKUP("SVA",[7]ARBOR!$A:$C,3,0),6)),-TRUNC(DZ5/VLOOKUP("SVA",[7]ARBOR!$A:$C,3,0)-1,4)+0.0001,-TRUNC(DZ5/VLOOKUP("SVA",[7]ARBOR!$A:$C,3,0)-1,4)))))</f>
        <v>0.2301</v>
      </c>
      <c r="EB5" s="65" t="s">
        <v>223</v>
      </c>
      <c r="EC5" s="69"/>
      <c r="ED5" s="73"/>
      <c r="EE5" s="74"/>
      <c r="EF5" s="65"/>
      <c r="EG5" s="75">
        <f>IF(BI5="","",VLOOKUP(BI5,[7]ARBOR!A:C,3,0))</f>
        <v>479.46</v>
      </c>
      <c r="EH5" s="69">
        <v>15</v>
      </c>
      <c r="EI5" s="76">
        <f>IF(EH5="","",1-(EH5/VLOOKUP(BI5&amp;"ASS",[7]ARBOR!A:C,3,0)))</f>
        <v>0.34725848563968664</v>
      </c>
      <c r="EJ5" s="77" t="s">
        <v>224</v>
      </c>
      <c r="EK5" s="78" t="s">
        <v>225</v>
      </c>
      <c r="EL5" s="69">
        <v>137.16</v>
      </c>
      <c r="EM5" s="64">
        <f>ROUND(IF(EL5=0,"",IF(EL5=EG5,0.0001,1-((EL5+(VLOOKUP(BI5&amp;"ASS",[7]ARBOR!A:C,3,0)-EH5))/EG5))),4)</f>
        <v>0.69730000000000003</v>
      </c>
      <c r="EN5" s="65" t="str">
        <f>IF(ISERROR(IF(EM5="","",VLOOKUP(($BH5&amp;EM5&amp;"Template de desconto percentual FLAT Móvel - Conta Total - Varejo - Ganho Tributário Cross"),[7]BENEFICIOS!$A:$E,5,0))),"Criar",IF(EM5="","",VLOOKUP(($BH5&amp;EM5&amp;"Template de desconto percentual FLAT Móvel - Conta Total - Varejo - Ganho Tributário Cross"),[7]BENEFICIOS!$A:$E,5,0)))</f>
        <v>Criar</v>
      </c>
      <c r="EO5" s="79"/>
      <c r="EP5" s="64"/>
      <c r="EQ5" s="72"/>
      <c r="ER5" s="72"/>
      <c r="ES5" s="64"/>
      <c r="ET5" s="80"/>
      <c r="EU5" s="81" t="s">
        <v>244</v>
      </c>
      <c r="EV5" s="81" t="s">
        <v>245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IF(FC5=0,"",IF(FC5=VLOOKUP("PCS-10357",[7]ARBOR!$A:$C,3,0),0.0001,IF(FC5&gt;VLOOKUP("PCS-10357",[7]ARBOR!$A:$C,3,0),"Maior que CAP!",ROUND(-1*(FC5/VLOOKUP("PCS-10357",[7]ARBOR!$A:$C,3,0)-1),4))))</f>
        <v>0.8669</v>
      </c>
      <c r="FE5" s="84" t="str">
        <f>IF(ISERROR(IF(FD5="","",VLOOKUP(("Oi Internet Pra Celular 1GB"&amp;FD5&amp;"Template Flat Instância Dados"),[7]BENEFICIOS!$A:$E,5,0))),"Criar",IF(FD5="","",VLOOKUP(("Oi Internet Pra Celular 1GB"&amp;FD5&amp;"Template Flat Instância Dados"),[7]BENEFICIOS!$A:$E,5,0)))</f>
        <v>MKT-1-9869952543</v>
      </c>
      <c r="FF5" s="82"/>
      <c r="FG5" s="83" t="str">
        <f>IF(FF5=0,"",IF(FF5=VLOOKUP("PCS-813565",[7]ARBOR!$A:$C,3,0),0.0001,IF(FF5&gt;VLOOKUP("PCS-813565",[7]ARBOR!$A:$C,3,0),"Maior que CAP!",ROUND(-1*(FF5/VLOOKUP("PCS-813565",[7]ARBOR!$A:$C,3,0)-1),4))))</f>
        <v/>
      </c>
      <c r="FH5" s="84" t="str">
        <f>IF(ISERROR(IF(FG5="","",VLOOKUP(("Oi Internet Pra Celular 2GB"&amp;FG5&amp;"Template Flat Instância Dados"),[7]BENEFICIOS!$A:$E,5,0))),"Criar",IF(FG5="","",VLOOKUP(("Oi Internet Pra Celular 2GB"&amp;FG5&amp;"Template Flat Instância Dados"),[7]BENEFICIOS!$A:$E,5,0)))</f>
        <v/>
      </c>
      <c r="FI5" s="82"/>
      <c r="FJ5" s="83" t="str">
        <f>IF(FI5=0,"",IF(FI5=VLOOKUP("PCS-7171B",[7]ARBOR!$A:$C,3,0),0.0001,IF(FI5&gt;VLOOKUP("PCS-7171B",[7]ARBOR!$A:$C,3,0),"Maior que CAP!",ROUND(-1*(FI5/VLOOKUP("PCS-7171B",[7]ARBOR!$A:$C,3,0)-1),4))))</f>
        <v/>
      </c>
      <c r="FK5" s="84" t="str">
        <f>IF(ISERROR(IF(FJ5="","",VLOOKUP(("Oi Internet Pra Celular 3GB"&amp;FJ5&amp;"Template Flat Instância Dados"),[7]BENEFICIOS!$A:$E,5,0))),"Criar",IF(FJ5="","",VLOOKUP(("Oi Internet Pra Celular 3GB"&amp;FJ5&amp;"Template Flat Instância Dados"),[7]BENEFICIOS!$A:$E,5,0)))</f>
        <v/>
      </c>
      <c r="FL5" s="82"/>
      <c r="FM5" s="83" t="str">
        <f>IF(FL5=0,"",IF(FL5=VLOOKUP("PCS-51793o08",[7]ARBOR!$A:$C,3,0),0.0001,IF(FL5&gt;VLOOKUP("PCS-51793o08",[7]ARBOR!$A:$C,3,0),"Maior que CAP!",ROUND(-1*(FL5/VLOOKUP("PCS-51793o08",[7]ARBOR!$A:$C,3,0)-1),4))))</f>
        <v/>
      </c>
      <c r="FN5" s="84" t="str">
        <f>IF(ISERROR(IF(FM5="","",VLOOKUP(("Oi Internet Pra Celular 5GB"&amp;FM5&amp;"Template Flat Instância Dados"),[7]BENEFICIOS!$A:$E,5,0))),"Criar",IF(FM5="","",VLOOKUP(("Oi Internet Pra Celular 5GB"&amp;FM5&amp;"Template Flat Instância Dados"),[7]BENEFICIOS!$A:$E,5,0)))</f>
        <v/>
      </c>
      <c r="FO5" s="82"/>
      <c r="FP5" s="83" t="str">
        <f>IF(FO5=0,"",IF(FO5=VLOOKUP("PCS-7171A",[7]ARBOR!$A:$C,3,0),0.0001,IF(FO5&gt;VLOOKUP("PCS-7171A",[7]ARBOR!$A:$C,3,0),"Maior que CAP!",ROUND(-1*(FO5/VLOOKUP("PCS-7171A",[7]ARBOR!$A:$C,3,0)-1),4))))</f>
        <v/>
      </c>
      <c r="FQ5" s="84" t="str">
        <f>IF(ISERROR(IF(FP5="","",VLOOKUP(("Oi Internet Pra Celular 10GB"&amp;FP5&amp;"Template Flat Instância Dados"),[7]BENEFICIOS!$A:$E,5,0))),"Criar",IF(FP5="","",VLOOKUP(("Oi Internet Pra Celular 10GB"&amp;FP5&amp;"Template Flat Instância Dados"),[7]BENEFICIOS!$A:$E,5,0)))</f>
        <v/>
      </c>
      <c r="FR5" s="85">
        <v>0.74219999999999997</v>
      </c>
      <c r="FS5" s="86" t="s">
        <v>246</v>
      </c>
      <c r="FT5" s="48"/>
      <c r="FU5" s="87"/>
      <c r="FV5" s="88" t="s">
        <v>221</v>
      </c>
      <c r="FW5" s="49" t="s">
        <v>226</v>
      </c>
      <c r="FX5" s="89">
        <v>999</v>
      </c>
      <c r="FY5" s="49">
        <v>12</v>
      </c>
      <c r="FZ5" s="90" t="s">
        <v>227</v>
      </c>
      <c r="GA5" s="91" t="str">
        <f t="shared" si="1"/>
        <v>PCS-Fk83324</v>
      </c>
      <c r="GB5" s="92" t="str">
        <f t="shared" si="2"/>
        <v>PCS-SBL553142</v>
      </c>
      <c r="GC5" s="93" t="s">
        <v>228</v>
      </c>
      <c r="GD5" s="90" t="s">
        <v>229</v>
      </c>
      <c r="GE5" s="92" t="s">
        <v>230</v>
      </c>
      <c r="GF5" s="93" t="s">
        <v>231</v>
      </c>
      <c r="GG5" s="90" t="s">
        <v>232</v>
      </c>
      <c r="GH5" s="92" t="s">
        <v>233</v>
      </c>
      <c r="GI5" s="94" t="s">
        <v>234</v>
      </c>
      <c r="GJ5" s="95">
        <f>FC5+EL5+DW5+BJ5</f>
        <v>240.9</v>
      </c>
      <c r="GK5" s="96"/>
      <c r="GL5" s="97" t="s">
        <v>235</v>
      </c>
      <c r="GM5" s="98" t="s">
        <v>236</v>
      </c>
      <c r="GN5" s="97">
        <f>VLOOKUP($A5,'[7]TABELA COM TUDO'!$A:$AB,25,0)</f>
        <v>14</v>
      </c>
      <c r="GO5" s="99">
        <f>VLOOKUP($A5,'[7]TABELA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247</v>
      </c>
      <c r="GX5" s="44" t="s">
        <v>238</v>
      </c>
    </row>
    <row r="6" spans="1:206" s="44" customFormat="1" x14ac:dyDescent="0.35">
      <c r="A6" s="44" t="str">
        <f t="shared" si="0"/>
        <v>Oi Total Fixo + Pós 800 + Banda LargaN11GBMG</v>
      </c>
      <c r="B6" s="45" t="s">
        <v>211</v>
      </c>
      <c r="C6" s="46" t="s">
        <v>127</v>
      </c>
      <c r="D6" s="46" t="s">
        <v>212</v>
      </c>
      <c r="E6" s="47" t="s">
        <v>213</v>
      </c>
      <c r="F6" s="48" t="s">
        <v>214</v>
      </c>
      <c r="G6" s="49"/>
      <c r="H6" s="49"/>
      <c r="I6" s="49"/>
      <c r="J6" s="49" t="s">
        <v>214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214</v>
      </c>
      <c r="AC6" s="49" t="s">
        <v>214</v>
      </c>
      <c r="AD6" s="49" t="s">
        <v>214</v>
      </c>
      <c r="AE6" s="49" t="s">
        <v>214</v>
      </c>
      <c r="AF6" s="49" t="s">
        <v>214</v>
      </c>
      <c r="AG6" s="49" t="s">
        <v>214</v>
      </c>
      <c r="AH6" s="50"/>
      <c r="AI6" s="49" t="s">
        <v>214</v>
      </c>
      <c r="AJ6" s="49" t="s">
        <v>214</v>
      </c>
      <c r="AK6" s="49" t="s">
        <v>214</v>
      </c>
      <c r="AL6" s="49" t="s">
        <v>214</v>
      </c>
      <c r="AM6" s="49" t="s">
        <v>214</v>
      </c>
      <c r="AN6" s="49" t="s">
        <v>214</v>
      </c>
      <c r="AO6" s="49" t="s">
        <v>214</v>
      </c>
      <c r="AP6" s="49"/>
      <c r="AQ6" s="51"/>
      <c r="AR6" s="52" t="s">
        <v>248</v>
      </c>
      <c r="AS6" s="46" t="s">
        <v>216</v>
      </c>
      <c r="AT6" s="53" t="s">
        <v>217</v>
      </c>
      <c r="AU6" s="54">
        <v>42972</v>
      </c>
      <c r="AV6" s="55">
        <v>43038</v>
      </c>
      <c r="AW6" s="56" t="s">
        <v>218</v>
      </c>
      <c r="AX6" s="57" t="s">
        <v>218</v>
      </c>
      <c r="AY6" s="58"/>
      <c r="AZ6" s="58" t="s">
        <v>219</v>
      </c>
      <c r="BA6" s="58">
        <v>20</v>
      </c>
      <c r="BB6" s="58">
        <v>10000</v>
      </c>
      <c r="BC6" s="59" t="s">
        <v>220</v>
      </c>
      <c r="BD6" s="60" t="s">
        <v>221</v>
      </c>
      <c r="BE6" s="58" t="s">
        <v>213</v>
      </c>
      <c r="BF6" s="51" t="s">
        <v>213</v>
      </c>
      <c r="BG6" s="45" t="s">
        <v>248</v>
      </c>
      <c r="BH6" s="61" t="s">
        <v>222</v>
      </c>
      <c r="BI6" s="62" t="str">
        <f>IF(ISERROR(VLOOKUP(BH6,[7]PLANOS!B:C,2,0)),"",VLOOKUP(BH6,[7]PLANOS!B:C,2,0))</f>
        <v>PCS-4P6pi</v>
      </c>
      <c r="BJ6" s="63">
        <v>50.1</v>
      </c>
      <c r="BK6" s="64">
        <f>IF(BJ6=0,"",IF(BJ6=VLOOKUP("FIXO",[7]ARBOR!$A:$C,3,0),0.0001,IF(BJ6&gt;VLOOKUP("FIXO",[7]ARBOR!$A:$C,3,0),"Maior que CAP!",IF((DOLLAR(BJ6+(VLOOKUP("FIXO",[7]ARBOR!$A:$C,3,0)*-TRUNC(BJ6/VLOOKUP("FIXO",[7]ARBOR!$A:$C,3,0)-1,4)),6))&lt;&gt;(DOLLAR(VLOOKUP("FIXO",[7]ARBOR!$A:$C,3,0),6)),-TRUNC(BJ6/VLOOKUP("FIXO",[7]ARBOR!$A:$C,3,0)-1,4)+0.0001,-TRUNC(BJ6/VLOOKUP("FIXO",[7]ARBOR!$A:$C,3,0)-1,4)))))</f>
        <v>0.33939999999999998</v>
      </c>
      <c r="BL6" s="65" t="str">
        <f>IF(ISERROR(IF(BK6="","",VLOOKUP(($BH6&amp;BK6&amp;"Template de desconto FLAT bundle - Fixo - Varejo - Ganho Tributário Cross"),[7]BENEFICIOS!$A:$E,5,0))),"Criar",IF(BK6="","",VLOOKUP(($BH6&amp;BK6&amp;"Template de desconto FLAT bundle - Fixo - Varejo - Ganho Tributário Cross"),[7]BENEFICIOS!$A:$E,5,0)))</f>
        <v>MKT-1-9856472058</v>
      </c>
      <c r="BM6" s="66"/>
      <c r="BN6" s="67"/>
      <c r="BO6" s="104" t="s">
        <v>240</v>
      </c>
      <c r="BP6" s="69">
        <v>44.9</v>
      </c>
      <c r="BQ6" s="64">
        <f>IF(BP6=0,"",IF(BP6=VLOOKUP("PCS-30874g",[7]ARBOR!$A:$C,3,0),0.0001,IF(BP6&gt;VLOOKUP("PCS-30874g",[7]ARBOR!$A:$C,3,0),"Maior que CAP!",IF((DOLLAR(BP6+(VLOOKUP("PCS-30874g",[7]ARBOR!$A:$C,3,0)*-TRUNC(BP6/VLOOKUP("PCS-30874g",[7]ARBOR!$A:$C,3,0)-1,4)),6))&lt;&gt;(DOLLAR(VLOOKUP("PCS-30874g",[7]ARBOR!$A:$C,3,0),6)),-TRUNC(BP6/VLOOKUP("PCS-30874g",[7]ARBOR!$A:$C,3,0)-1,4)+0.0001,-TRUNC(BP6/VLOOKUP("PCS-30874g",[7]ARBOR!$A:$C,3,0)-1,4)))))</f>
        <v>0.53679999999999994</v>
      </c>
      <c r="BR6" s="65" t="str">
        <f>IF(ISERROR(IF(BQ6="","",VLOOKUP(($BH6&amp;BQ6&amp;"Template de desconto FLAT bundle - Velox XDSL - Varejo"),[7]BENEFICIOS!$A:$E,5,0))),"Criar",IF(BQ6="","",VLOOKUP(($BH6&amp;BQ6&amp;"Template de desconto FLAT bundle - Velox XDSL - Varejo"),[7]BENEFICIOS!$A:$E,5,0)))</f>
        <v>MKT-1-9865126733</v>
      </c>
      <c r="BS6" s="104" t="s">
        <v>240</v>
      </c>
      <c r="BT6" s="69">
        <v>44.9</v>
      </c>
      <c r="BU6" s="64">
        <f>IF(BT6=0,"",IF(BT6=VLOOKUP("PCS-30577g",[7]ARBOR!$A:$C,3,0),0.0001,IF(BT6&gt;VLOOKUP("PCS-30577g",[7]ARBOR!$A:$C,3,0),"Maior que CAP!",IF((DOLLAR(BT6+(VLOOKUP("PCS-30577g",[7]ARBOR!$A:$C,3,0)*-TRUNC(BT6/VLOOKUP("PCS-30577g",[7]ARBOR!$A:$C,3,0)-1,4)),6))&lt;&gt;(DOLLAR(VLOOKUP("PCS-30577g",[7]ARBOR!$A:$C,3,0),6)),-TRUNC(BT6/VLOOKUP("PCS-30577g",[7]ARBOR!$A:$C,3,0)-1,4)+0.0001,-TRUNC(BT6/VLOOKUP("PCS-30577g",[7]ARBOR!$A:$C,3,0)-1,4)))))</f>
        <v>0.53679999999999994</v>
      </c>
      <c r="BV6" s="65" t="str">
        <f>IF(ISERROR(IF(BU6="","",VLOOKUP(($BH6&amp;BU6&amp;"Template de desconto FLAT bundle - Velox XDSL - Varejo"),[7]BENEFICIOS!$A:$E,5,0))),"Criar",IF(BU6="","",VLOOKUP(($BH6&amp;BU6&amp;"Template de desconto FLAT bundle - Velox XDSL - Varejo"),[7]BENEFICIOS!$A:$E,5,0)))</f>
        <v>MKT-1-9865126733</v>
      </c>
      <c r="BW6" s="104" t="s">
        <v>240</v>
      </c>
      <c r="BX6" s="69">
        <v>44.9</v>
      </c>
      <c r="BY6" s="64">
        <f>IF(BX6=0,"",IF(BX6=VLOOKUP("PCS-30604g",[7]ARBOR!$A:$C,3,0),0.0001,IF(BX6&gt;VLOOKUP("PCS-30604g",[7]ARBOR!$A:$C,3,0),"Maior que CAP!",IF((DOLLAR(BX6+(VLOOKUP("PCS-30604g",[7]ARBOR!$A:$C,3,0)*-TRUNC(BX6/VLOOKUP("PCS-30604g",[7]ARBOR!$A:$C,3,0)-1,4)),6))&lt;&gt;(DOLLAR(VLOOKUP("PCS-30604g",[7]ARBOR!$A:$C,3,0),6)),-TRUNC(BX6/VLOOKUP("PCS-30604g",[7]ARBOR!$A:$C,3,0)-1,4)+0.0001,-TRUNC(BX6/VLOOKUP("PCS-30604g",[7]ARBOR!$A:$C,3,0)-1,4)))))</f>
        <v>0.53679999999999994</v>
      </c>
      <c r="BZ6" s="65" t="str">
        <f>IF(ISERROR(IF(BY6="","",VLOOKUP(($BH6&amp;BY6&amp;"Template de desconto FLAT bundle - Velox XDSL - Varejo"),[7]BENEFICIOS!$A:$E,5,0))),"Criar",IF(BY6="","",VLOOKUP(($BH6&amp;BY6&amp;"Template de desconto FLAT bundle - Velox XDSL - Varejo"),[7]BENEFICIOS!$A:$E,5,0)))</f>
        <v>MKT-1-9865126733</v>
      </c>
      <c r="CA6" s="104" t="s">
        <v>240</v>
      </c>
      <c r="CB6" s="69">
        <v>44.9</v>
      </c>
      <c r="CC6" s="64">
        <f>IF(CB6=0,"",IF(CB6=VLOOKUP("PCS-30631g",[7]ARBOR!$A:$C,3,0),0.0001,IF(CB6&gt;VLOOKUP("PCS-30631g",[7]ARBOR!$A:$C,3,0),"Maior que CAP!",IF((DOLLAR(CB6+(VLOOKUP("PCS-30631g",[7]ARBOR!$A:$C,3,0)*-TRUNC(CB6/VLOOKUP("PCS-30631g",[7]ARBOR!$A:$C,3,0)-1,4)),6))&lt;&gt;(DOLLAR(VLOOKUP("PCS-30631g",[7]ARBOR!$A:$C,3,0),6)),-TRUNC(CB6/VLOOKUP("PCS-30631g",[7]ARBOR!$A:$C,3,0)-1,4)+0.0001,-TRUNC(CB6/VLOOKUP("PCS-30631g",[7]ARBOR!$A:$C,3,0)-1,4)))))</f>
        <v>0.54310000000000003</v>
      </c>
      <c r="CD6" s="65" t="str">
        <f>IF(ISERROR(IF(CC6="","",VLOOKUP(($BH6&amp;CC6&amp;"Template de desconto FLAT bundle - Velox XDSL - Varejo"),[7]BENEFICIOS!$A:$E,5,0))),"Criar",IF(CC6="","",VLOOKUP(($BH6&amp;CC6&amp;"Template de desconto FLAT bundle - Velox XDSL - Varejo"),[7]BENEFICIOS!$A:$E,5,0)))</f>
        <v>MKT-1-9865126826</v>
      </c>
      <c r="CE6" s="68" t="s">
        <v>161</v>
      </c>
      <c r="CF6" s="69">
        <v>49.9</v>
      </c>
      <c r="CG6" s="64">
        <f>IF(CF6=0,"",IF(CF6=VLOOKUP("PCS-30658g",[7]ARBOR!$A:$C,3,0),0.0001,IF(CF6&gt;VLOOKUP("PCS-30658g",[7]ARBOR!$A:$C,3,0),"Maior que CAP!",IF((DOLLAR(CF6+(VLOOKUP("PCS-30658g",[7]ARBOR!$A:$C,3,0)*-TRUNC(CF6/VLOOKUP("PCS-30658g",[7]ARBOR!$A:$C,3,0)-1,4)),6))&lt;&gt;(DOLLAR(VLOOKUP("PCS-30658g",[7]ARBOR!$A:$C,3,0),6)),-TRUNC(CF6/VLOOKUP("PCS-30658g",[7]ARBOR!$A:$C,3,0)-1,4)+0.0001,-TRUNC(CF6/VLOOKUP("PCS-30658g",[7]ARBOR!$A:$C,3,0)-1,4)))))</f>
        <v>0.55569999999999997</v>
      </c>
      <c r="CH6" s="65" t="str">
        <f>IF(ISERROR(IF(CG6="","",VLOOKUP(($BH6&amp;CG6&amp;"Template de desconto FLAT bundle - Velox XDSL - Varejo"),[7]BENEFICIOS!$A:$E,5,0))),"Criar",IF(CG6="","",VLOOKUP(($BH6&amp;CG6&amp;"Template de desconto FLAT bundle - Velox XDSL - Varejo"),[7]BENEFICIOS!$A:$E,5,0)))</f>
        <v>MKT-1-9865126919</v>
      </c>
      <c r="CI6" s="68" t="s">
        <v>161</v>
      </c>
      <c r="CJ6" s="69">
        <v>49.9</v>
      </c>
      <c r="CK6" s="64">
        <f>IF(CJ6=0,"",IF(CJ6=VLOOKUP("PCS-30685g",[7]ARBOR!$A:$C,3,0),0.0001,IF(CJ6&gt;VLOOKUP("PCS-30685g",[7]ARBOR!$A:$C,3,0),"Maior que CAP!",IF((DOLLAR(CJ6+(VLOOKUP("PCS-30685g",[7]ARBOR!$A:$C,3,0)*-TRUNC(CJ6/VLOOKUP("PCS-30685g",[7]ARBOR!$A:$C,3,0)-1,4)),6))&lt;&gt;(DOLLAR(VLOOKUP("PCS-30685g",[7]ARBOR!$A:$C,3,0),6)),-TRUNC(CJ6/VLOOKUP("PCS-30685g",[7]ARBOR!$A:$C,3,0)-1,4)+0.0001,-TRUNC(CJ6/VLOOKUP("PCS-30685g",[7]ARBOR!$A:$C,3,0)-1,4)))))</f>
        <v>0.60509999999999997</v>
      </c>
      <c r="CL6" s="65" t="str">
        <f>IF(ISERROR(IF(CK6="","",VLOOKUP(($BH6&amp;CK6&amp;"Template de desconto FLAT bundle - Velox XDSL - Varejo"),[7]BENEFICIOS!$A:$E,5,0))),"Criar",IF(CK6="","",VLOOKUP(($BH6&amp;CK6&amp;"Template de desconto FLAT bundle - Velox XDSL - Varejo"),[7]BENEFICIOS!$A:$E,5,0)))</f>
        <v>MKT-1-9865694381</v>
      </c>
      <c r="CM6" s="68" t="s">
        <v>161</v>
      </c>
      <c r="CN6" s="69">
        <v>49.9</v>
      </c>
      <c r="CO6" s="64">
        <f>IF(CN6=0,"",IF(CN6=VLOOKUP("PCS-30712g",[7]ARBOR!$A:$C,3,0),0.0001,IF(CN6&gt;VLOOKUP("PCS-30712g",[7]ARBOR!$A:$C,3,0),"Maior que CAP!",IF((DOLLAR(CN6+(VLOOKUP("PCS-30712g",[7]ARBOR!$A:$C,3,0)*-TRUNC(CN6/VLOOKUP("PCS-30712g",[7]ARBOR!$A:$C,3,0)-1,4)),6))&lt;&gt;(DOLLAR(VLOOKUP("PCS-30712g",[7]ARBOR!$A:$C,3,0),6)),-TRUNC(CN6/VLOOKUP("PCS-30712g",[7]ARBOR!$A:$C,3,0)-1,4)+0.0001,-TRUNC(CN6/VLOOKUP("PCS-30712g",[7]ARBOR!$A:$C,3,0)-1,4)))))</f>
        <v>0.64459999999999995</v>
      </c>
      <c r="CP6" s="65" t="str">
        <f>IF(ISERROR(IF(CO6="","",VLOOKUP(($BH6&amp;CO6&amp;"Template de desconto FLAT bundle - Velox XDSL - Varejo"),[7]BENEFICIOS!$A:$E,5,0))),"Criar",IF(CO6="","",VLOOKUP(($BH6&amp;CO6&amp;"Template de desconto FLAT bundle - Velox XDSL - Varejo"),[7]BENEFICIOS!$A:$E,5,0)))</f>
        <v>MKT-1-9865191105</v>
      </c>
      <c r="CQ6" s="68" t="s">
        <v>161</v>
      </c>
      <c r="CR6" s="69">
        <v>59.9</v>
      </c>
      <c r="CS6" s="64">
        <f>IF(CR6=0,"",IF(CR6=VLOOKUP("PCS-30739g",[7]ARBOR!$A:$C,3,0),0.0001,IF(CR6&gt;VLOOKUP("PCS-30739g",[7]ARBOR!$A:$C,3,0),"Maior que CAP!",IF((DOLLAR(CR6+(VLOOKUP("PCS-30739g",[7]ARBOR!$A:$C,3,0)*-TRUNC(CR6/VLOOKUP("PCS-30739g",[7]ARBOR!$A:$C,3,0)-1,4)),6))&lt;&gt;(DOLLAR(VLOOKUP("PCS-30739g",[7]ARBOR!$A:$C,3,0),6)),-TRUNC(CR6/VLOOKUP("PCS-30739g",[7]ARBOR!$A:$C,3,0)-1,4)+0.0001,-TRUNC(CR6/VLOOKUP("PCS-30739g",[7]ARBOR!$A:$C,3,0)-1,4)))))</f>
        <v>0.71560000000000001</v>
      </c>
      <c r="CT6" s="65" t="str">
        <f>IF(ISERROR(IF(CS6="","",VLOOKUP(($BH6&amp;CS6&amp;"Template de desconto FLAT bundle - Velox XDSL - Varejo"),[7]BENEFICIOS!$A:$E,5,0))),"Criar",IF(CS6="","",VLOOKUP(($BH6&amp;CS6&amp;"Template de desconto FLAT bundle - Velox XDSL - Varejo"),[7]BENEFICIOS!$A:$E,5,0)))</f>
        <v>MKT-1-9865191198</v>
      </c>
      <c r="CU6" s="69"/>
      <c r="CV6" s="70"/>
      <c r="CW6" s="64"/>
      <c r="CX6" s="65"/>
      <c r="CY6" s="68" t="s">
        <v>161</v>
      </c>
      <c r="CZ6" s="69">
        <v>59.9</v>
      </c>
      <c r="DA6" s="64">
        <f>IF(CZ6=0,"",IF(CZ6=VLOOKUP("PCS-30766g",[7]ARBOR!$A:$C,3,0),0.0001,IF(CZ6&gt;VLOOKUP("PCS-30766g",[7]ARBOR!$A:$C,3,0),"Maior que CAP!",IF((DOLLAR(CZ6+(VLOOKUP("PCS-30766g",[7]ARBOR!$A:$C,3,0)*-TRUNC(CZ6/VLOOKUP("PCS-30766g",[7]ARBOR!$A:$C,3,0)-1,4)),6))&lt;&gt;(DOLLAR(VLOOKUP("PCS-30766g",[7]ARBOR!$A:$C,3,0),6)),-TRUNC(CZ6/VLOOKUP("PCS-30766g",[7]ARBOR!$A:$C,3,0)-1,4)+0.0001,-TRUNC(CZ6/VLOOKUP("PCS-30766g",[7]ARBOR!$A:$C,3,0)-1,4)))))</f>
        <v>0.78669999999999995</v>
      </c>
      <c r="DB6" s="65" t="str">
        <f>IF(ISERROR(IF(DA6="","",VLOOKUP(($BH6&amp;DA6&amp;"Template de desconto FLAT bundle - Velox XDSL - Varejo"),[7]BENEFICIOS!$A:$E,5,0))),"Criar",IF(DA6="","",VLOOKUP(($BH6&amp;DA6&amp;"Template de desconto FLAT bundle - Velox XDSL - Varejo"),[7]BENEFICIOS!$A:$E,5,0)))</f>
        <v>MKT-1-9865191291</v>
      </c>
      <c r="DC6" s="69"/>
      <c r="DD6" s="70"/>
      <c r="DE6" s="64"/>
      <c r="DF6" s="65"/>
      <c r="DG6" s="68" t="s">
        <v>240</v>
      </c>
      <c r="DH6" s="69">
        <v>69.900000000000006</v>
      </c>
      <c r="DI6" s="64">
        <f>IF(DH6=0,"",IF(DH6=VLOOKUP("PCS-30793g",[7]ARBOR!$A:$C,3,0),0.0001,IF(DH6&gt;VLOOKUP("PCS-30793g",[7]ARBOR!$A:$C,3,0),"Maior que CAP!",IF((DOLLAR(DH6+(VLOOKUP("PCS-30793g",[7]ARBOR!$A:$C,3,0)*-TRUNC(DH6/VLOOKUP("PCS-30793g",[7]ARBOR!$A:$C,3,0)-1,4)),6))&lt;&gt;(DOLLAR(VLOOKUP("PCS-30793g",[7]ARBOR!$A:$C,3,0),6)),-TRUNC(DH6/VLOOKUP("PCS-30793g",[7]ARBOR!$A:$C,3,0)-1,4)+0.0001,-TRUNC(DH6/VLOOKUP("PCS-30793g",[7]ARBOR!$A:$C,3,0)-1,4)))))</f>
        <v>0.75109999999999999</v>
      </c>
      <c r="DJ6" s="65" t="str">
        <f>IF(ISERROR(IF(DI6="","",VLOOKUP(($BH6&amp;DI6&amp;"Template de desconto FLAT bundle - Velox XDSL - Varejo"),[7]BENEFICIOS!$A:$E,5,0))),"Criar",IF(DI6="","",VLOOKUP(($BH6&amp;DI6&amp;"Template de desconto FLAT bundle - Velox XDSL - Varejo"),[7]BENEFICIOS!$A:$E,5,0)))</f>
        <v>MKT-1-9865191384</v>
      </c>
      <c r="DK6" s="69"/>
      <c r="DL6" s="70"/>
      <c r="DM6" s="64"/>
      <c r="DN6" s="65"/>
      <c r="DO6" s="68" t="s">
        <v>161</v>
      </c>
      <c r="DP6" s="69">
        <v>69.900000000000006</v>
      </c>
      <c r="DQ6" s="64">
        <f>IF(DP6=0,"",IF(DP6=VLOOKUP("PCS-30820g",[7]ARBOR!$A:$C,3,0),0.0001,IF(DP6&gt;VLOOKUP("PCS-30820g",[7]ARBOR!$A:$C,3,0),"Maior que CAP!",IF((DOLLAR(DP6+(VLOOKUP("PCS-30820g",[7]ARBOR!$A:$C,3,0)*-TRUNC(DP6/VLOOKUP("PCS-30820g",[7]ARBOR!$A:$C,3,0)-1,4)),6))&lt;&gt;(DOLLAR(VLOOKUP("PCS-30820g",[7]ARBOR!$A:$C,3,0),6)),-TRUNC(DP6/VLOOKUP("PCS-30820g",[7]ARBOR!$A:$C,3,0)-1,4)+0.0001,-TRUNC(DP6/VLOOKUP("PCS-30820g",[7]ARBOR!$A:$C,3,0)-1,4)))))</f>
        <v>0.75109999999999999</v>
      </c>
      <c r="DR6" s="65" t="str">
        <f>IF(ISERROR(IF(DQ6="","",VLOOKUP(($BH6&amp;DQ6&amp;"Template de desconto FLAT bundle - Velox XDSL - Varejo"),[7]BENEFICIOS!$A:$E,5,0))),"Criar",IF(DQ6="","",VLOOKUP(($BH6&amp;DQ6&amp;"Template de desconto FLAT bundle - Velox XDSL - Varejo"),[7]BENEFICIOS!$A:$E,5,0)))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IF(DW6=0,"",IF(DW6=VLOOKUP("PCS-21448p2",[7]ARBOR!$A:$C,3,0),0.0001,IF(DW6&gt;VLOOKUP("PCS-21448p2",[7]ARBOR!$A:$C,3,0),"Maior que CAP!",IF((DOLLAR(DW6+(VLOOKUP("PCS-21448p2",[7]ARBOR!$A:$C,3,0)*-TRUNC(DW6/VLOOKUP("PCS-21448p2",[7]ARBOR!$A:$C,3,0)-1,4)),6))&lt;&gt;(DOLLAR(VLOOKUP("PCS-21448p2",[7]ARBOR!$A:$C,3,0),6)),-TRUNC(DW6/VLOOKUP("PCS-21448p2",[7]ARBOR!$A:$C,3,0)-1,4)+0.0001,-TRUNC(DW6/VLOOKUP("PCS-21448p2",[7]ARBOR!$A:$C,3,0)-1,4)))))</f>
        <v/>
      </c>
      <c r="DY6" s="65" t="str">
        <f>IF(ISERROR(IF(DX6="","",VLOOKUP(("Oi Conta Total Plug 10GB Downgrade"&amp;DX6&amp;"Template de desconto percentual BL Móvel - Internet Total - Varejo"),[7]BENEFICIOS!$A:$E,5,0))),"Criar",IF(DX6="","",VLOOKUP(("Oi Conta Total Plug 10GB Downgrade"&amp;DX6&amp;"Template de desconto percentual BL Móvel - Internet Total - Varejo"),[7]BENEFICIOS!$A:$E,5,0)))</f>
        <v/>
      </c>
      <c r="DZ6" s="71">
        <v>19.899999999999999</v>
      </c>
      <c r="EA6" s="72">
        <f>IF(DZ6=0,"",IF(DZ6=VLOOKUP("SVA",[7]ARBOR!$A:$C,3,0),0.0001,IF(DZ6&gt;VLOOKUP("SVA",[7]ARBOR!$A:$C,3,0),"Maior que CAP!",IF((DOLLAR(DZ6+(VLOOKUP("SVA",[7]ARBOR!$A:$C,3,0)*-TRUNC(DZ6/VLOOKUP("SVA",[7]ARBOR!$A:$C,3,0)-1,4)),6))&lt;&gt;(DOLLAR(VLOOKUP("SVA",[7]ARBOR!$A:$C,3,0),6)),-TRUNC(DZ6/VLOOKUP("SVA",[7]ARBOR!$A:$C,3,0)-1,4)+0.0001,-TRUNC(DZ6/VLOOKUP("SVA",[7]ARBOR!$A:$C,3,0)-1,4)))))</f>
        <v>7.1400000000000005E-2</v>
      </c>
      <c r="EB6" s="65" t="s">
        <v>241</v>
      </c>
      <c r="EC6" s="69"/>
      <c r="ED6" s="73"/>
      <c r="EE6" s="74"/>
      <c r="EF6" s="65"/>
      <c r="EG6" s="75">
        <f>IF(BI6="","",VLOOKUP(BI6,[7]ARBOR!A:C,3,0))</f>
        <v>479.46</v>
      </c>
      <c r="EH6" s="69">
        <v>15</v>
      </c>
      <c r="EI6" s="76">
        <f>IF(EH6="","",1-(EH6/VLOOKUP(BI6&amp;"ASS",[7]ARBOR!A:C,3,0)))</f>
        <v>0.34725848563968664</v>
      </c>
      <c r="EJ6" s="77" t="s">
        <v>224</v>
      </c>
      <c r="EK6" s="78" t="s">
        <v>225</v>
      </c>
      <c r="EL6" s="69">
        <v>137.16</v>
      </c>
      <c r="EM6" s="64">
        <f>ROUND(IF(EL6=0,"",IF(EL6=EG6,0.0001,1-((EL6+(VLOOKUP(BI6&amp;"ASS",[7]ARBOR!A:C,3,0)-EH6))/EG6))),4)</f>
        <v>0.69730000000000003</v>
      </c>
      <c r="EN6" s="65" t="str">
        <f>IF(ISERROR(IF(EM6="","",VLOOKUP(($BH6&amp;EM6&amp;"Template de desconto percentual FLAT Móvel - Conta Total - Varejo - Ganho Tributário Cross"),[7]BENEFICIOS!$A:$E,5,0))),"Criar",IF(EM6="","",VLOOKUP(($BH6&amp;EM6&amp;"Template de desconto percentual FLAT Móvel - Conta Total - Varejo - Ganho Tributário Cross"),[7]BENEFICIOS!$A:$E,5,0)))</f>
        <v>Criar</v>
      </c>
      <c r="EO6" s="79"/>
      <c r="EP6" s="64"/>
      <c r="EQ6" s="72"/>
      <c r="ER6" s="72"/>
      <c r="ES6" s="64"/>
      <c r="ET6" s="80"/>
      <c r="EU6" s="81" t="s">
        <v>244</v>
      </c>
      <c r="EV6" s="81" t="s">
        <v>245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IF(FC6=0,"",IF(FC6=VLOOKUP("PCS-10357",[7]ARBOR!$A:$C,3,0),0.0001,IF(FC6&gt;VLOOKUP("PCS-10357",[7]ARBOR!$A:$C,3,0),"Maior que CAP!",ROUND(-1*(FC6/VLOOKUP("PCS-10357",[7]ARBOR!$A:$C,3,0)-1),4))))</f>
        <v>0.8669</v>
      </c>
      <c r="FE6" s="84" t="str">
        <f>IF(ISERROR(IF(FD6="","",VLOOKUP(("Oi Internet Pra Celular 1GB"&amp;FD6&amp;"Template Flat Instância Dados"),[7]BENEFICIOS!$A:$E,5,0))),"Criar",IF(FD6="","",VLOOKUP(("Oi Internet Pra Celular 1GB"&amp;FD6&amp;"Template Flat Instância Dados"),[7]BENEFICIOS!$A:$E,5,0)))</f>
        <v>MKT-1-9869952543</v>
      </c>
      <c r="FF6" s="82"/>
      <c r="FG6" s="83" t="str">
        <f>IF(FF6=0,"",IF(FF6=VLOOKUP("PCS-813565",[7]ARBOR!$A:$C,3,0),0.0001,IF(FF6&gt;VLOOKUP("PCS-813565",[7]ARBOR!$A:$C,3,0),"Maior que CAP!",ROUND(-1*(FF6/VLOOKUP("PCS-813565",[7]ARBOR!$A:$C,3,0)-1),4))))</f>
        <v/>
      </c>
      <c r="FH6" s="84" t="str">
        <f>IF(ISERROR(IF(FG6="","",VLOOKUP(("Oi Internet Pra Celular 2GB"&amp;FG6&amp;"Template Flat Instância Dados"),[7]BENEFICIOS!$A:$E,5,0))),"Criar",IF(FG6="","",VLOOKUP(("Oi Internet Pra Celular 2GB"&amp;FG6&amp;"Template Flat Instância Dados"),[7]BENEFICIOS!$A:$E,5,0)))</f>
        <v/>
      </c>
      <c r="FI6" s="82"/>
      <c r="FJ6" s="83" t="str">
        <f>IF(FI6=0,"",IF(FI6=VLOOKUP("PCS-7171B",[7]ARBOR!$A:$C,3,0),0.0001,IF(FI6&gt;VLOOKUP("PCS-7171B",[7]ARBOR!$A:$C,3,0),"Maior que CAP!",ROUND(-1*(FI6/VLOOKUP("PCS-7171B",[7]ARBOR!$A:$C,3,0)-1),4))))</f>
        <v/>
      </c>
      <c r="FK6" s="84" t="str">
        <f>IF(ISERROR(IF(FJ6="","",VLOOKUP(("Oi Internet Pra Celular 3GB"&amp;FJ6&amp;"Template Flat Instância Dados"),[7]BENEFICIOS!$A:$E,5,0))),"Criar",IF(FJ6="","",VLOOKUP(("Oi Internet Pra Celular 3GB"&amp;FJ6&amp;"Template Flat Instância Dados"),[7]BENEFICIOS!$A:$E,5,0)))</f>
        <v/>
      </c>
      <c r="FL6" s="82"/>
      <c r="FM6" s="83" t="str">
        <f>IF(FL6=0,"",IF(FL6=VLOOKUP("PCS-51793o08",[7]ARBOR!$A:$C,3,0),0.0001,IF(FL6&gt;VLOOKUP("PCS-51793o08",[7]ARBOR!$A:$C,3,0),"Maior que CAP!",ROUND(-1*(FL6/VLOOKUP("PCS-51793o08",[7]ARBOR!$A:$C,3,0)-1),4))))</f>
        <v/>
      </c>
      <c r="FN6" s="84" t="str">
        <f>IF(ISERROR(IF(FM6="","",VLOOKUP(("Oi Internet Pra Celular 5GB"&amp;FM6&amp;"Template Flat Instância Dados"),[7]BENEFICIOS!$A:$E,5,0))),"Criar",IF(FM6="","",VLOOKUP(("Oi Internet Pra Celular 5GB"&amp;FM6&amp;"Template Flat Instância Dados"),[7]BENEFICIOS!$A:$E,5,0)))</f>
        <v/>
      </c>
      <c r="FO6" s="82"/>
      <c r="FP6" s="83" t="str">
        <f>IF(FO6=0,"",IF(FO6=VLOOKUP("PCS-7171A",[7]ARBOR!$A:$C,3,0),0.0001,IF(FO6&gt;VLOOKUP("PCS-7171A",[7]ARBOR!$A:$C,3,0),"Maior que CAP!",ROUND(-1*(FO6/VLOOKUP("PCS-7171A",[7]ARBOR!$A:$C,3,0)-1),4))))</f>
        <v/>
      </c>
      <c r="FQ6" s="84" t="str">
        <f>IF(ISERROR(IF(FP6="","",VLOOKUP(("Oi Internet Pra Celular 10GB"&amp;FP6&amp;"Template Flat Instância Dados"),[7]BENEFICIOS!$A:$E,5,0))),"Criar",IF(FP6="","",VLOOKUP(("Oi Internet Pra Celular 10GB"&amp;FP6&amp;"Template Flat Instância Dados"),[7]BENEFICIOS!$A:$E,5,0)))</f>
        <v/>
      </c>
      <c r="FR6" s="85">
        <v>0.74219999999999997</v>
      </c>
      <c r="FS6" s="86" t="s">
        <v>246</v>
      </c>
      <c r="FT6" s="48"/>
      <c r="FU6" s="87"/>
      <c r="FV6" s="88" t="s">
        <v>221</v>
      </c>
      <c r="FW6" s="49" t="s">
        <v>226</v>
      </c>
      <c r="FX6" s="89">
        <v>999</v>
      </c>
      <c r="FY6" s="49">
        <v>12</v>
      </c>
      <c r="FZ6" s="90" t="s">
        <v>227</v>
      </c>
      <c r="GA6" s="91" t="str">
        <f t="shared" si="1"/>
        <v>PCS-Fk83324</v>
      </c>
      <c r="GB6" s="92" t="str">
        <f t="shared" si="2"/>
        <v>PCS-SBL553142</v>
      </c>
      <c r="GC6" s="93" t="s">
        <v>228</v>
      </c>
      <c r="GD6" s="90" t="s">
        <v>229</v>
      </c>
      <c r="GE6" s="92" t="s">
        <v>230</v>
      </c>
      <c r="GF6" s="93" t="s">
        <v>231</v>
      </c>
      <c r="GG6" s="90" t="s">
        <v>232</v>
      </c>
      <c r="GH6" s="92" t="s">
        <v>233</v>
      </c>
      <c r="GI6" s="94" t="s">
        <v>234</v>
      </c>
      <c r="GJ6" s="95">
        <f>FC6+EL6+CN6+BJ6</f>
        <v>245.9</v>
      </c>
      <c r="GK6" s="96"/>
      <c r="GL6" s="97" t="s">
        <v>235</v>
      </c>
      <c r="GM6" s="98" t="s">
        <v>236</v>
      </c>
      <c r="GN6" s="97">
        <f>VLOOKUP($A6,'[7]TABELA COM TUDO'!$A:$AB,25,0)</f>
        <v>14</v>
      </c>
      <c r="GO6" s="99">
        <f>VLOOKUP($A6,'[7]TABELA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249</v>
      </c>
      <c r="GX6" s="44" t="s">
        <v>238</v>
      </c>
    </row>
    <row r="7" spans="1:206" s="44" customFormat="1" x14ac:dyDescent="0.35">
      <c r="A7" s="44" t="str">
        <f t="shared" si="0"/>
        <v>Oi Total Fixo + Pós 800 + Banda LargaN12GBMG</v>
      </c>
      <c r="B7" s="45" t="s">
        <v>211</v>
      </c>
      <c r="C7" s="46" t="s">
        <v>127</v>
      </c>
      <c r="D7" s="46" t="s">
        <v>212</v>
      </c>
      <c r="E7" s="47" t="s">
        <v>213</v>
      </c>
      <c r="F7" s="48" t="s">
        <v>214</v>
      </c>
      <c r="G7" s="49"/>
      <c r="H7" s="49"/>
      <c r="I7" s="49"/>
      <c r="J7" s="49" t="s">
        <v>214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214</v>
      </c>
      <c r="AC7" s="49" t="s">
        <v>214</v>
      </c>
      <c r="AD7" s="49" t="s">
        <v>214</v>
      </c>
      <c r="AE7" s="49" t="s">
        <v>214</v>
      </c>
      <c r="AF7" s="49" t="s">
        <v>214</v>
      </c>
      <c r="AG7" s="49" t="s">
        <v>214</v>
      </c>
      <c r="AH7" s="50"/>
      <c r="AI7" s="49" t="s">
        <v>214</v>
      </c>
      <c r="AJ7" s="49" t="s">
        <v>214</v>
      </c>
      <c r="AK7" s="49" t="s">
        <v>214</v>
      </c>
      <c r="AL7" s="49" t="s">
        <v>214</v>
      </c>
      <c r="AM7" s="49" t="s">
        <v>214</v>
      </c>
      <c r="AN7" s="49" t="s">
        <v>214</v>
      </c>
      <c r="AO7" s="49" t="s">
        <v>214</v>
      </c>
      <c r="AP7" s="49"/>
      <c r="AQ7" s="51"/>
      <c r="AR7" s="52" t="s">
        <v>250</v>
      </c>
      <c r="AS7" s="46" t="s">
        <v>216</v>
      </c>
      <c r="AT7" s="53" t="s">
        <v>217</v>
      </c>
      <c r="AU7" s="54">
        <v>42972</v>
      </c>
      <c r="AV7" s="55">
        <v>43038</v>
      </c>
      <c r="AW7" s="56" t="s">
        <v>218</v>
      </c>
      <c r="AX7" s="57" t="s">
        <v>218</v>
      </c>
      <c r="AY7" s="58"/>
      <c r="AZ7" s="58" t="s">
        <v>219</v>
      </c>
      <c r="BA7" s="58">
        <v>20</v>
      </c>
      <c r="BB7" s="58">
        <v>10000</v>
      </c>
      <c r="BC7" s="59" t="s">
        <v>220</v>
      </c>
      <c r="BD7" s="60" t="s">
        <v>221</v>
      </c>
      <c r="BE7" s="58" t="s">
        <v>213</v>
      </c>
      <c r="BF7" s="51" t="s">
        <v>213</v>
      </c>
      <c r="BG7" s="45" t="s">
        <v>250</v>
      </c>
      <c r="BH7" s="61" t="s">
        <v>222</v>
      </c>
      <c r="BI7" s="62" t="str">
        <f>IF(ISERROR(VLOOKUP(BH7,[7]PLANOS!B:C,2,0)),"",VLOOKUP(BH7,[7]PLANOS!B:C,2,0))</f>
        <v>PCS-4P6pi</v>
      </c>
      <c r="BJ7" s="63">
        <v>50.1</v>
      </c>
      <c r="BK7" s="64">
        <f>IF(BJ7=0,"",IF(BJ7=VLOOKUP("FIXO",[7]ARBOR!$A:$C,3,0),0.0001,IF(BJ7&gt;VLOOKUP("FIXO",[7]ARBOR!$A:$C,3,0),"Maior que CAP!",IF((DOLLAR(BJ7+(VLOOKUP("FIXO",[7]ARBOR!$A:$C,3,0)*-TRUNC(BJ7/VLOOKUP("FIXO",[7]ARBOR!$A:$C,3,0)-1,4)),6))&lt;&gt;(DOLLAR(VLOOKUP("FIXO",[7]ARBOR!$A:$C,3,0),6)),-TRUNC(BJ7/VLOOKUP("FIXO",[7]ARBOR!$A:$C,3,0)-1,4)+0.0001,-TRUNC(BJ7/VLOOKUP("FIXO",[7]ARBOR!$A:$C,3,0)-1,4)))))</f>
        <v>0.33939999999999998</v>
      </c>
      <c r="BL7" s="65" t="str">
        <f>IF(ISERROR(IF(BK7="","",VLOOKUP(($BH7&amp;BK7&amp;"Template de desconto FLAT bundle - Fixo - Varejo - Ganho Tributário Cross"),[7]BENEFICIOS!$A:$E,5,0))),"Criar",IF(BK7="","",VLOOKUP(($BH7&amp;BK7&amp;"Template de desconto FLAT bundle - Fixo - Varejo - Ganho Tributário Cross"),[7]BENEFICIOS!$A:$E,5,0)))</f>
        <v>MKT-1-9856472058</v>
      </c>
      <c r="BM7" s="66"/>
      <c r="BN7" s="67"/>
      <c r="BO7" s="68" t="s">
        <v>161</v>
      </c>
      <c r="BP7" s="69">
        <v>44.9</v>
      </c>
      <c r="BQ7" s="64">
        <f>IF(BP7=0,"",IF(BP7=VLOOKUP("PCS-30874g",[7]ARBOR!$A:$C,3,0),0.0001,IF(BP7&gt;VLOOKUP("PCS-30874g",[7]ARBOR!$A:$C,3,0),"Maior que CAP!",IF((DOLLAR(BP7+(VLOOKUP("PCS-30874g",[7]ARBOR!$A:$C,3,0)*-TRUNC(BP7/VLOOKUP("PCS-30874g",[7]ARBOR!$A:$C,3,0)-1,4)),6))&lt;&gt;(DOLLAR(VLOOKUP("PCS-30874g",[7]ARBOR!$A:$C,3,0),6)),-TRUNC(BP7/VLOOKUP("PCS-30874g",[7]ARBOR!$A:$C,3,0)-1,4)+0.0001,-TRUNC(BP7/VLOOKUP("PCS-30874g",[7]ARBOR!$A:$C,3,0)-1,4)))))</f>
        <v>0.53679999999999994</v>
      </c>
      <c r="BR7" s="65" t="str">
        <f>IF(ISERROR(IF(BQ7="","",VLOOKUP(($BH7&amp;BQ7&amp;"Template de desconto FLAT bundle - Velox XDSL - Varejo"),[7]BENEFICIOS!$A:$E,5,0))),"Criar",IF(BQ7="","",VLOOKUP(($BH7&amp;BQ7&amp;"Template de desconto FLAT bundle - Velox XDSL - Varejo"),[7]BENEFICIOS!$A:$E,5,0)))</f>
        <v>MKT-1-9865126733</v>
      </c>
      <c r="BS7" s="68" t="s">
        <v>161</v>
      </c>
      <c r="BT7" s="69">
        <v>44.9</v>
      </c>
      <c r="BU7" s="64">
        <f>IF(BT7=0,"",IF(BT7=VLOOKUP("PCS-30577g",[7]ARBOR!$A:$C,3,0),0.0001,IF(BT7&gt;VLOOKUP("PCS-30577g",[7]ARBOR!$A:$C,3,0),"Maior que CAP!",IF((DOLLAR(BT7+(VLOOKUP("PCS-30577g",[7]ARBOR!$A:$C,3,0)*-TRUNC(BT7/VLOOKUP("PCS-30577g",[7]ARBOR!$A:$C,3,0)-1,4)),6))&lt;&gt;(DOLLAR(VLOOKUP("PCS-30577g",[7]ARBOR!$A:$C,3,0),6)),-TRUNC(BT7/VLOOKUP("PCS-30577g",[7]ARBOR!$A:$C,3,0)-1,4)+0.0001,-TRUNC(BT7/VLOOKUP("PCS-30577g",[7]ARBOR!$A:$C,3,0)-1,4)))))</f>
        <v>0.53679999999999994</v>
      </c>
      <c r="BV7" s="65" t="str">
        <f>IF(ISERROR(IF(BU7="","",VLOOKUP(($BH7&amp;BU7&amp;"Template de desconto FLAT bundle - Velox XDSL - Varejo"),[7]BENEFICIOS!$A:$E,5,0))),"Criar",IF(BU7="","",VLOOKUP(($BH7&amp;BU7&amp;"Template de desconto FLAT bundle - Velox XDSL - Varejo"),[7]BENEFICIOS!$A:$E,5,0)))</f>
        <v>MKT-1-9865126733</v>
      </c>
      <c r="BW7" s="68" t="s">
        <v>161</v>
      </c>
      <c r="BX7" s="69">
        <v>44.9</v>
      </c>
      <c r="BY7" s="64">
        <f>IF(BX7=0,"",IF(BX7=VLOOKUP("PCS-30604g",[7]ARBOR!$A:$C,3,0),0.0001,IF(BX7&gt;VLOOKUP("PCS-30604g",[7]ARBOR!$A:$C,3,0),"Maior que CAP!",IF((DOLLAR(BX7+(VLOOKUP("PCS-30604g",[7]ARBOR!$A:$C,3,0)*-TRUNC(BX7/VLOOKUP("PCS-30604g",[7]ARBOR!$A:$C,3,0)-1,4)),6))&lt;&gt;(DOLLAR(VLOOKUP("PCS-30604g",[7]ARBOR!$A:$C,3,0),6)),-TRUNC(BX7/VLOOKUP("PCS-30604g",[7]ARBOR!$A:$C,3,0)-1,4)+0.0001,-TRUNC(BX7/VLOOKUP("PCS-30604g",[7]ARBOR!$A:$C,3,0)-1,4)))))</f>
        <v>0.53679999999999994</v>
      </c>
      <c r="BZ7" s="65" t="str">
        <f>IF(ISERROR(IF(BY7="","",VLOOKUP(($BH7&amp;BY7&amp;"Template de desconto FLAT bundle - Velox XDSL - Varejo"),[7]BENEFICIOS!$A:$E,5,0))),"Criar",IF(BY7="","",VLOOKUP(($BH7&amp;BY7&amp;"Template de desconto FLAT bundle - Velox XDSL - Varejo"),[7]BENEFICIOS!$A:$E,5,0)))</f>
        <v>MKT-1-9865126733</v>
      </c>
      <c r="CA7" s="68" t="s">
        <v>161</v>
      </c>
      <c r="CB7" s="69">
        <v>44.9</v>
      </c>
      <c r="CC7" s="64">
        <f>IF(CB7=0,"",IF(CB7=VLOOKUP("PCS-30631g",[7]ARBOR!$A:$C,3,0),0.0001,IF(CB7&gt;VLOOKUP("PCS-30631g",[7]ARBOR!$A:$C,3,0),"Maior que CAP!",IF((DOLLAR(CB7+(VLOOKUP("PCS-30631g",[7]ARBOR!$A:$C,3,0)*-TRUNC(CB7/VLOOKUP("PCS-30631g",[7]ARBOR!$A:$C,3,0)-1,4)),6))&lt;&gt;(DOLLAR(VLOOKUP("PCS-30631g",[7]ARBOR!$A:$C,3,0),6)),-TRUNC(CB7/VLOOKUP("PCS-30631g",[7]ARBOR!$A:$C,3,0)-1,4)+0.0001,-TRUNC(CB7/VLOOKUP("PCS-30631g",[7]ARBOR!$A:$C,3,0)-1,4)))))</f>
        <v>0.54310000000000003</v>
      </c>
      <c r="CD7" s="65" t="str">
        <f>IF(ISERROR(IF(CC7="","",VLOOKUP(($BH7&amp;CC7&amp;"Template de desconto FLAT bundle - Velox XDSL - Varejo"),[7]BENEFICIOS!$A:$E,5,0))),"Criar",IF(CC7="","",VLOOKUP(($BH7&amp;CC7&amp;"Template de desconto FLAT bundle - Velox XDSL - Varejo"),[7]BENEFICIOS!$A:$E,5,0)))</f>
        <v>MKT-1-9865126826</v>
      </c>
      <c r="CE7" s="68"/>
      <c r="CF7" s="69"/>
      <c r="CG7" s="64" t="str">
        <f>IF(CF7=0,"",IF(CF7=VLOOKUP("PCS-30658g",[7]ARBOR!$A:$C,3,0),0.0001,IF(CF7&gt;VLOOKUP("PCS-30658g",[7]ARBOR!$A:$C,3,0),"Maior que CAP!",IF((DOLLAR(CF7+(VLOOKUP("PCS-30658g",[7]ARBOR!$A:$C,3,0)*-TRUNC(CF7/VLOOKUP("PCS-30658g",[7]ARBOR!$A:$C,3,0)-1,4)),6))&lt;&gt;(DOLLAR(VLOOKUP("PCS-30658g",[7]ARBOR!$A:$C,3,0),6)),-TRUNC(CF7/VLOOKUP("PCS-30658g",[7]ARBOR!$A:$C,3,0)-1,4)+0.0001,-TRUNC(CF7/VLOOKUP("PCS-30658g",[7]ARBOR!$A:$C,3,0)-1,4)))))</f>
        <v/>
      </c>
      <c r="CH7" s="65" t="str">
        <f>IF(ISERROR(IF(CG7="","",VLOOKUP(($BH7&amp;CG7&amp;"Template de desconto FLAT bundle - Velox XDSL - Varejo"),[7]BENEFICIOS!$A:$E,5,0))),"Criar",IF(CG7="","",VLOOKUP(($BH7&amp;CG7&amp;"Template de desconto FLAT bundle - Velox XDSL - Varejo"),[7]BENEFICIOS!$A:$E,5,0)))</f>
        <v/>
      </c>
      <c r="CI7" s="68"/>
      <c r="CJ7" s="69"/>
      <c r="CK7" s="64" t="str">
        <f>IF(CJ7=0,"",IF(CJ7=VLOOKUP("PCS-30685g",[7]ARBOR!$A:$C,3,0),0.0001,IF(CJ7&gt;VLOOKUP("PCS-30685g",[7]ARBOR!$A:$C,3,0),"Maior que CAP!",IF((DOLLAR(CJ7+(VLOOKUP("PCS-30685g",[7]ARBOR!$A:$C,3,0)*-TRUNC(CJ7/VLOOKUP("PCS-30685g",[7]ARBOR!$A:$C,3,0)-1,4)),6))&lt;&gt;(DOLLAR(VLOOKUP("PCS-30685g",[7]ARBOR!$A:$C,3,0),6)),-TRUNC(CJ7/VLOOKUP("PCS-30685g",[7]ARBOR!$A:$C,3,0)-1,4)+0.0001,-TRUNC(CJ7/VLOOKUP("PCS-30685g",[7]ARBOR!$A:$C,3,0)-1,4)))))</f>
        <v/>
      </c>
      <c r="CL7" s="65" t="str">
        <f>IF(ISERROR(IF(CK7="","",VLOOKUP(($BH7&amp;CK7&amp;"Template de desconto FLAT bundle - Velox XDSL - Varejo"),[7]BENEFICIOS!$A:$E,5,0))),"Criar",IF(CK7="","",VLOOKUP(($BH7&amp;CK7&amp;"Template de desconto FLAT bundle - Velox XDSL - Varejo"),[7]BENEFICIOS!$A:$E,5,0)))</f>
        <v/>
      </c>
      <c r="CM7" s="68"/>
      <c r="CN7" s="69"/>
      <c r="CO7" s="64" t="str">
        <f>IF(CN7=0,"",IF(CN7=VLOOKUP("PCS-30712g",[7]ARBOR!$A:$C,3,0),0.0001,IF(CN7&gt;VLOOKUP("PCS-30712g",[7]ARBOR!$A:$C,3,0),"Maior que CAP!",IF((DOLLAR(CN7+(VLOOKUP("PCS-30712g",[7]ARBOR!$A:$C,3,0)*-TRUNC(CN7/VLOOKUP("PCS-30712g",[7]ARBOR!$A:$C,3,0)-1,4)),6))&lt;&gt;(DOLLAR(VLOOKUP("PCS-30712g",[7]ARBOR!$A:$C,3,0),6)),-TRUNC(CN7/VLOOKUP("PCS-30712g",[7]ARBOR!$A:$C,3,0)-1,4)+0.0001,-TRUNC(CN7/VLOOKUP("PCS-30712g",[7]ARBOR!$A:$C,3,0)-1,4)))))</f>
        <v/>
      </c>
      <c r="CP7" s="65" t="str">
        <f>IF(ISERROR(IF(CO7="","",VLOOKUP(($BH7&amp;CO7&amp;"Template de desconto FLAT bundle - Velox XDSL - Varejo"),[7]BENEFICIOS!$A:$E,5,0))),"Criar",IF(CO7="","",VLOOKUP(($BH7&amp;CO7&amp;"Template de desconto FLAT bundle - Velox XDSL - Varejo"),[7]BENEFICIOS!$A:$E,5,0)))</f>
        <v/>
      </c>
      <c r="CQ7" s="68"/>
      <c r="CR7" s="69"/>
      <c r="CS7" s="64" t="str">
        <f>IF(CR7=0,"",IF(CR7=VLOOKUP("PCS-30739g",[7]ARBOR!$A:$C,3,0),0.0001,IF(CR7&gt;VLOOKUP("PCS-30739g",[7]ARBOR!$A:$C,3,0),"Maior que CAP!",IF((DOLLAR(CR7+(VLOOKUP("PCS-30739g",[7]ARBOR!$A:$C,3,0)*-TRUNC(CR7/VLOOKUP("PCS-30739g",[7]ARBOR!$A:$C,3,0)-1,4)),6))&lt;&gt;(DOLLAR(VLOOKUP("PCS-30739g",[7]ARBOR!$A:$C,3,0),6)),-TRUNC(CR7/VLOOKUP("PCS-30739g",[7]ARBOR!$A:$C,3,0)-1,4)+0.0001,-TRUNC(CR7/VLOOKUP("PCS-30739g",[7]ARBOR!$A:$C,3,0)-1,4)))))</f>
        <v/>
      </c>
      <c r="CT7" s="65" t="str">
        <f>IF(ISERROR(IF(CS7="","",VLOOKUP(($BH7&amp;CS7&amp;"Template de desconto FLAT bundle - Velox XDSL - Varejo"),[7]BENEFICIOS!$A:$E,5,0))),"Criar",IF(CS7="","",VLOOKUP(($BH7&amp;CS7&amp;"Template de desconto FLAT bundle - Velox XDSL - Varejo"),[7]BENEFICIOS!$A:$E,5,0)))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IF(CZ7=0,"",IF(CZ7=VLOOKUP("PCS-30766g",[7]ARBOR!$A:$C,3,0),0.0001,IF(CZ7&gt;VLOOKUP("PCS-30766g",[7]ARBOR!$A:$C,3,0),"Maior que CAP!",IF((DOLLAR(CZ7+(VLOOKUP("PCS-30766g",[7]ARBOR!$A:$C,3,0)*-TRUNC(CZ7/VLOOKUP("PCS-30766g",[7]ARBOR!$A:$C,3,0)-1,4)),6))&lt;&gt;(DOLLAR(VLOOKUP("PCS-30766g",[7]ARBOR!$A:$C,3,0),6)),-TRUNC(CZ7/VLOOKUP("PCS-30766g",[7]ARBOR!$A:$C,3,0)-1,4)+0.0001,-TRUNC(CZ7/VLOOKUP("PCS-30766g",[7]ARBOR!$A:$C,3,0)-1,4)))))</f>
        <v/>
      </c>
      <c r="DB7" s="65" t="str">
        <f>IF(ISERROR(IF(DA7="","",VLOOKUP(($BH7&amp;DA7&amp;"Template de desconto FLAT bundle - Velox XDSL - Varejo"),[7]BENEFICIOS!$A:$E,5,0))),"Criar",IF(DA7="","",VLOOKUP(($BH7&amp;DA7&amp;"Template de desconto FLAT bundle - Velox XDSL - Varejo"),[7]BENEFICIOS!$A:$E,5,0)))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IF(DH7=0,"",IF(DH7=VLOOKUP("PCS-30793g",[7]ARBOR!$A:$C,3,0),0.0001,IF(DH7&gt;VLOOKUP("PCS-30793g",[7]ARBOR!$A:$C,3,0),"Maior que CAP!",IF((DOLLAR(DH7+(VLOOKUP("PCS-30793g",[7]ARBOR!$A:$C,3,0)*-TRUNC(DH7/VLOOKUP("PCS-30793g",[7]ARBOR!$A:$C,3,0)-1,4)),6))&lt;&gt;(DOLLAR(VLOOKUP("PCS-30793g",[7]ARBOR!$A:$C,3,0),6)),-TRUNC(DH7/VLOOKUP("PCS-30793g",[7]ARBOR!$A:$C,3,0)-1,4)+0.0001,-TRUNC(DH7/VLOOKUP("PCS-30793g",[7]ARBOR!$A:$C,3,0)-1,4)))))</f>
        <v/>
      </c>
      <c r="DJ7" s="65" t="str">
        <f>IF(ISERROR(IF(DI7="","",VLOOKUP(($BH7&amp;DI7&amp;"Template de desconto FLAT bundle - Velox XDSL - Varejo"),[7]BENEFICIOS!$A:$E,5,0))),"Criar",IF(DI7="","",VLOOKUP(($BH7&amp;DI7&amp;"Template de desconto FLAT bundle - Velox XDSL - Varejo"),[7]BENEFICIOS!$A:$E,5,0)))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IF(DP7=0,"",IF(DP7=VLOOKUP("PCS-30820g",[7]ARBOR!$A:$C,3,0),0.0001,IF(DP7&gt;VLOOKUP("PCS-30820g",[7]ARBOR!$A:$C,3,0),"Maior que CAP!",IF((DOLLAR(DP7+(VLOOKUP("PCS-30820g",[7]ARBOR!$A:$C,3,0)*-TRUNC(DP7/VLOOKUP("PCS-30820g",[7]ARBOR!$A:$C,3,0)-1,4)),6))&lt;&gt;(DOLLAR(VLOOKUP("PCS-30820g",[7]ARBOR!$A:$C,3,0),6)),-TRUNC(DP7/VLOOKUP("PCS-30820g",[7]ARBOR!$A:$C,3,0)-1,4)+0.0001,-TRUNC(DP7/VLOOKUP("PCS-30820g",[7]ARBOR!$A:$C,3,0)-1,4)))))</f>
        <v/>
      </c>
      <c r="DR7" s="65" t="str">
        <f>IF(ISERROR(IF(DQ7="","",VLOOKUP(($BH7&amp;DQ7&amp;"Template de desconto FLAT bundle - Velox XDSL - Varejo"),[7]BENEFICIOS!$A:$E,5,0))),"Criar",IF(DQ7="","",VLOOKUP(($BH7&amp;DQ7&amp;"Template de desconto FLAT bundle - Velox XDSL - Varejo"),[7]BENEFICIOS!$A:$E,5,0)))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IF(DW7=0,"",IF(DW7=VLOOKUP("PCS-21448p2",[7]ARBOR!$A:$C,3,0),0.0001,IF(DW7&gt;VLOOKUP("PCS-21448p2",[7]ARBOR!$A:$C,3,0),"Maior que CAP!",IF((DOLLAR(DW7+(VLOOKUP("PCS-21448p2",[7]ARBOR!$A:$C,3,0)*-TRUNC(DW7/VLOOKUP("PCS-21448p2",[7]ARBOR!$A:$C,3,0)-1,4)),6))&lt;&gt;(DOLLAR(VLOOKUP("PCS-21448p2",[7]ARBOR!$A:$C,3,0),6)),-TRUNC(DW7/VLOOKUP("PCS-21448p2",[7]ARBOR!$A:$C,3,0)-1,4)+0.0001,-TRUNC(DW7/VLOOKUP("PCS-21448p2",[7]ARBOR!$A:$C,3,0)-1,4)))))</f>
        <v>0.64900000000000002</v>
      </c>
      <c r="DY7" s="65" t="str">
        <f>IF(ISERROR(IF(DX7="","",VLOOKUP(("Oi Conta Total Plug 10GB Downgrade"&amp;DX7&amp;"Template de desconto percentual BL Móvel - Internet Total - Varejo"),[7]BENEFICIOS!$A:$E,5,0))),"Criar",IF(DX7="","",VLOOKUP(("Oi Conta Total Plug 10GB Downgrade"&amp;DX7&amp;"Template de desconto percentual BL Móvel - Internet Total - Varejo"),[7]BENEFICIOS!$A:$E,5,0)))</f>
        <v>MKT-1-9825544790</v>
      </c>
      <c r="DZ7" s="71">
        <v>16.5</v>
      </c>
      <c r="EA7" s="72">
        <f>IF(DZ7=0,"",IF(DZ7=VLOOKUP("SVA",[7]ARBOR!$A:$C,3,0),0.0001,IF(DZ7&gt;VLOOKUP("SVA",[7]ARBOR!$A:$C,3,0),"Maior que CAP!",IF((DOLLAR(DZ7+(VLOOKUP("SVA",[7]ARBOR!$A:$C,3,0)*-TRUNC(DZ7/VLOOKUP("SVA",[7]ARBOR!$A:$C,3,0)-1,4)),6))&lt;&gt;(DOLLAR(VLOOKUP("SVA",[7]ARBOR!$A:$C,3,0),6)),-TRUNC(DZ7/VLOOKUP("SVA",[7]ARBOR!$A:$C,3,0)-1,4)+0.0001,-TRUNC(DZ7/VLOOKUP("SVA",[7]ARBOR!$A:$C,3,0)-1,4)))))</f>
        <v>0.2301</v>
      </c>
      <c r="EB7" s="65" t="s">
        <v>223</v>
      </c>
      <c r="EC7" s="69"/>
      <c r="ED7" s="73"/>
      <c r="EE7" s="74"/>
      <c r="EF7" s="65"/>
      <c r="EG7" s="75">
        <f>IF(BI7="","",VLOOKUP(BI7,[7]ARBOR!A:C,3,0))</f>
        <v>479.46</v>
      </c>
      <c r="EH7" s="69">
        <v>15</v>
      </c>
      <c r="EI7" s="76">
        <f>IF(EH7="","",1-(EH7/VLOOKUP(BI7&amp;"ASS",[7]ARBOR!A:C,3,0)))</f>
        <v>0.34725848563968664</v>
      </c>
      <c r="EJ7" s="77" t="s">
        <v>224</v>
      </c>
      <c r="EK7" s="78" t="s">
        <v>225</v>
      </c>
      <c r="EL7" s="69">
        <v>147.12999999999997</v>
      </c>
      <c r="EM7" s="64">
        <f>ROUND(IF(EL7=0,"",IF(EL7=EG7,0.0001,1-((EL7+(VLOOKUP(BI7&amp;"ASS",[7]ARBOR!A:C,3,0)-EH7))/EG7))),4)</f>
        <v>0.67649999999999999</v>
      </c>
      <c r="EN7" s="65" t="str">
        <f>IF(ISERROR(IF(EM7="","",VLOOKUP(($BH7&amp;EM7&amp;"Template de desconto percentual FLAT Móvel - Conta Total - Varejo - Ganho Tributário Cross"),[7]BENEFICIOS!$A:$E,5,0))),"Criar",IF(EM7="","",VLOOKUP(($BH7&amp;EM7&amp;"Template de desconto percentual FLAT Móvel - Conta Total - Varejo - Ganho Tributário Cross"),[7]BENEFICIOS!$A:$E,5,0)))</f>
        <v>Criar</v>
      </c>
      <c r="EO7" s="79"/>
      <c r="EP7" s="64"/>
      <c r="EQ7" s="72"/>
      <c r="ER7" s="72"/>
      <c r="ES7" s="64"/>
      <c r="ET7" s="80"/>
      <c r="EU7" s="81" t="s">
        <v>244</v>
      </c>
      <c r="EV7" s="81" t="s">
        <v>251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IF(FC7=0,"",IF(FC7=VLOOKUP("PCS-10357",[7]ARBOR!$A:$C,3,0),0.0001,IF(FC7&gt;VLOOKUP("PCS-10357",[7]ARBOR!$A:$C,3,0),"Maior que CAP!",ROUND(-1*(FC7/VLOOKUP("PCS-10357",[7]ARBOR!$A:$C,3,0)-1),4))))</f>
        <v/>
      </c>
      <c r="FE7" s="84" t="str">
        <f>IF(ISERROR(IF(FD7="","",VLOOKUP(("Oi Internet Pra Celular 1GB"&amp;FD7&amp;"Template Flat Instância Dados"),[7]BENEFICIOS!$A:$E,5,0))),"Criar",IF(FD7="","",VLOOKUP(("Oi Internet Pra Celular 1GB"&amp;FD7&amp;"Template Flat Instância Dados"),[7]BENEFICIOS!$A:$E,5,0)))</f>
        <v/>
      </c>
      <c r="FF7" s="82">
        <v>9.77</v>
      </c>
      <c r="FG7" s="83">
        <f>IF(FF7=0,"",IF(FF7=VLOOKUP("PCS-813565",[7]ARBOR!$A:$C,3,0),0.0001,IF(FF7&gt;VLOOKUP("PCS-813565",[7]ARBOR!$A:$C,3,0),"Maior que CAP!",ROUND(-1*(FF7/VLOOKUP("PCS-813565",[7]ARBOR!$A:$C,3,0)-1),4))))</f>
        <v>0.74260000000000004</v>
      </c>
      <c r="FH7" s="84" t="str">
        <f>IF(ISERROR(IF(FG7="","",VLOOKUP(("Oi Internet Pra Celular 2GB"&amp;FG7&amp;"Template Flat Instância Dados"),[7]BENEFICIOS!$A:$E,5,0))),"Criar",IF(FG7="","",VLOOKUP(("Oi Internet Pra Celular 2GB"&amp;FG7&amp;"Template Flat Instância Dados"),[7]BENEFICIOS!$A:$E,5,0)))</f>
        <v>MKT-1-9870023571</v>
      </c>
      <c r="FI7" s="82"/>
      <c r="FJ7" s="83" t="str">
        <f>IF(FI7=0,"",IF(FI7=VLOOKUP("PCS-7171B",[7]ARBOR!$A:$C,3,0),0.0001,IF(FI7&gt;VLOOKUP("PCS-7171B",[7]ARBOR!$A:$C,3,0),"Maior que CAP!",ROUND(-1*(FI7/VLOOKUP("PCS-7171B",[7]ARBOR!$A:$C,3,0)-1),4))))</f>
        <v/>
      </c>
      <c r="FK7" s="84" t="str">
        <f>IF(ISERROR(IF(FJ7="","",VLOOKUP(("Oi Internet Pra Celular 3GB"&amp;FJ7&amp;"Template Flat Instância Dados"),[7]BENEFICIOS!$A:$E,5,0))),"Criar",IF(FJ7="","",VLOOKUP(("Oi Internet Pra Celular 3GB"&amp;FJ7&amp;"Template Flat Instância Dados"),[7]BENEFICIOS!$A:$E,5,0)))</f>
        <v/>
      </c>
      <c r="FL7" s="82"/>
      <c r="FM7" s="83" t="str">
        <f>IF(FL7=0,"",IF(FL7=VLOOKUP("PCS-51793o08",[7]ARBOR!$A:$C,3,0),0.0001,IF(FL7&gt;VLOOKUP("PCS-51793o08",[7]ARBOR!$A:$C,3,0),"Maior que CAP!",ROUND(-1*(FL7/VLOOKUP("PCS-51793o08",[7]ARBOR!$A:$C,3,0)-1),4))))</f>
        <v/>
      </c>
      <c r="FN7" s="84" t="str">
        <f>IF(ISERROR(IF(FM7="","",VLOOKUP(("Oi Internet Pra Celular 5GB"&amp;FM7&amp;"Template Flat Instância Dados"),[7]BENEFICIOS!$A:$E,5,0))),"Criar",IF(FM7="","",VLOOKUP(("Oi Internet Pra Celular 5GB"&amp;FM7&amp;"Template Flat Instância Dados"),[7]BENEFICIOS!$A:$E,5,0)))</f>
        <v/>
      </c>
      <c r="FO7" s="82"/>
      <c r="FP7" s="83" t="str">
        <f>IF(FO7=0,"",IF(FO7=VLOOKUP("PCS-7171A",[7]ARBOR!$A:$C,3,0),0.0001,IF(FO7&gt;VLOOKUP("PCS-7171A",[7]ARBOR!$A:$C,3,0),"Maior que CAP!",ROUND(-1*(FO7/VLOOKUP("PCS-7171A",[7]ARBOR!$A:$C,3,0)-1),4))))</f>
        <v/>
      </c>
      <c r="FQ7" s="84" t="str">
        <f>IF(ISERROR(IF(FP7="","",VLOOKUP(("Oi Internet Pra Celular 10GB"&amp;FP7&amp;"Template Flat Instância Dados"),[7]BENEFICIOS!$A:$E,5,0))),"Criar",IF(FP7="","",VLOOKUP(("Oi Internet Pra Celular 10GB"&amp;FP7&amp;"Template Flat Instância Dados"),[7]BENEFICIOS!$A:$E,5,0)))</f>
        <v/>
      </c>
      <c r="FR7" s="85">
        <v>0.74219999999999997</v>
      </c>
      <c r="FS7" s="86" t="s">
        <v>246</v>
      </c>
      <c r="FT7" s="48"/>
      <c r="FU7" s="87"/>
      <c r="FV7" s="88" t="s">
        <v>221</v>
      </c>
      <c r="FW7" s="49" t="s">
        <v>226</v>
      </c>
      <c r="FX7" s="89">
        <v>999</v>
      </c>
      <c r="FY7" s="49">
        <v>12</v>
      </c>
      <c r="FZ7" s="90" t="s">
        <v>227</v>
      </c>
      <c r="GA7" s="91" t="str">
        <f t="shared" si="1"/>
        <v>PCS-Fk83324</v>
      </c>
      <c r="GB7" s="92" t="str">
        <f t="shared" si="2"/>
        <v>PCS-SBL553142</v>
      </c>
      <c r="GC7" s="93" t="s">
        <v>228</v>
      </c>
      <c r="GD7" s="90" t="s">
        <v>229</v>
      </c>
      <c r="GE7" s="92" t="s">
        <v>230</v>
      </c>
      <c r="GF7" s="93" t="s">
        <v>231</v>
      </c>
      <c r="GG7" s="90" t="s">
        <v>232</v>
      </c>
      <c r="GH7" s="92" t="s">
        <v>233</v>
      </c>
      <c r="GI7" s="94" t="s">
        <v>234</v>
      </c>
      <c r="GJ7" s="95">
        <f>FF7+EL7+CB7+BJ7</f>
        <v>251.89999999999998</v>
      </c>
      <c r="GK7" s="96"/>
      <c r="GL7" s="97" t="s">
        <v>235</v>
      </c>
      <c r="GM7" s="98" t="s">
        <v>236</v>
      </c>
      <c r="GN7" s="97">
        <f>VLOOKUP($A7,'[7]TABELA COM TUDO'!$A:$AB,25,0)</f>
        <v>14</v>
      </c>
      <c r="GO7" s="99">
        <f>VLOOKUP($A7,'[7]TABELA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252</v>
      </c>
      <c r="GX7" s="44" t="s">
        <v>238</v>
      </c>
    </row>
    <row r="8" spans="1:206" s="44" customFormat="1" x14ac:dyDescent="0.35">
      <c r="A8" s="44" t="str">
        <f t="shared" si="0"/>
        <v>Oi Total Fixo + Pós 800 + Banda LargaN12GBMG</v>
      </c>
      <c r="B8" s="45" t="s">
        <v>211</v>
      </c>
      <c r="C8" s="46" t="s">
        <v>127</v>
      </c>
      <c r="D8" s="46" t="s">
        <v>212</v>
      </c>
      <c r="E8" s="47" t="s">
        <v>213</v>
      </c>
      <c r="F8" s="48" t="s">
        <v>214</v>
      </c>
      <c r="G8" s="49"/>
      <c r="H8" s="49"/>
      <c r="I8" s="49"/>
      <c r="J8" s="49" t="s">
        <v>214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214</v>
      </c>
      <c r="AC8" s="49" t="s">
        <v>214</v>
      </c>
      <c r="AD8" s="49" t="s">
        <v>214</v>
      </c>
      <c r="AE8" s="49" t="s">
        <v>214</v>
      </c>
      <c r="AF8" s="49" t="s">
        <v>214</v>
      </c>
      <c r="AG8" s="49" t="s">
        <v>214</v>
      </c>
      <c r="AH8" s="50"/>
      <c r="AI8" s="49" t="s">
        <v>214</v>
      </c>
      <c r="AJ8" s="49" t="s">
        <v>214</v>
      </c>
      <c r="AK8" s="49" t="s">
        <v>214</v>
      </c>
      <c r="AL8" s="49" t="s">
        <v>214</v>
      </c>
      <c r="AM8" s="49" t="s">
        <v>214</v>
      </c>
      <c r="AN8" s="49" t="s">
        <v>214</v>
      </c>
      <c r="AO8" s="49" t="s">
        <v>214</v>
      </c>
      <c r="AP8" s="49"/>
      <c r="AQ8" s="51"/>
      <c r="AR8" s="52" t="s">
        <v>253</v>
      </c>
      <c r="AS8" s="46" t="s">
        <v>216</v>
      </c>
      <c r="AT8" s="53" t="s">
        <v>217</v>
      </c>
      <c r="AU8" s="54">
        <v>42972</v>
      </c>
      <c r="AV8" s="55">
        <v>43038</v>
      </c>
      <c r="AW8" s="56" t="s">
        <v>218</v>
      </c>
      <c r="AX8" s="57" t="s">
        <v>218</v>
      </c>
      <c r="AY8" s="58"/>
      <c r="AZ8" s="58" t="s">
        <v>219</v>
      </c>
      <c r="BA8" s="58">
        <v>20</v>
      </c>
      <c r="BB8" s="58">
        <v>10000</v>
      </c>
      <c r="BC8" s="59" t="s">
        <v>220</v>
      </c>
      <c r="BD8" s="60" t="s">
        <v>221</v>
      </c>
      <c r="BE8" s="58" t="s">
        <v>213</v>
      </c>
      <c r="BF8" s="51" t="s">
        <v>213</v>
      </c>
      <c r="BG8" s="45" t="s">
        <v>253</v>
      </c>
      <c r="BH8" s="61" t="s">
        <v>222</v>
      </c>
      <c r="BI8" s="62" t="str">
        <f>IF(ISERROR(VLOOKUP(BH8,[7]PLANOS!B:C,2,0)),"",VLOOKUP(BH8,[7]PLANOS!B:C,2,0))</f>
        <v>PCS-4P6pi</v>
      </c>
      <c r="BJ8" s="63">
        <v>50.1</v>
      </c>
      <c r="BK8" s="64">
        <f>IF(BJ8=0,"",IF(BJ8=VLOOKUP("FIXO",[7]ARBOR!$A:$C,3,0),0.0001,IF(BJ8&gt;VLOOKUP("FIXO",[7]ARBOR!$A:$C,3,0),"Maior que CAP!",IF((DOLLAR(BJ8+(VLOOKUP("FIXO",[7]ARBOR!$A:$C,3,0)*-TRUNC(BJ8/VLOOKUP("FIXO",[7]ARBOR!$A:$C,3,0)-1,4)),6))&lt;&gt;(DOLLAR(VLOOKUP("FIXO",[7]ARBOR!$A:$C,3,0),6)),-TRUNC(BJ8/VLOOKUP("FIXO",[7]ARBOR!$A:$C,3,0)-1,4)+0.0001,-TRUNC(BJ8/VLOOKUP("FIXO",[7]ARBOR!$A:$C,3,0)-1,4)))))</f>
        <v>0.33939999999999998</v>
      </c>
      <c r="BL8" s="65" t="str">
        <f>IF(ISERROR(IF(BK8="","",VLOOKUP(($BH8&amp;BK8&amp;"Template de desconto FLAT bundle - Fixo - Varejo - Ganho Tributário Cross"),[7]BENEFICIOS!$A:$E,5,0))),"Criar",IF(BK8="","",VLOOKUP(($BH8&amp;BK8&amp;"Template de desconto FLAT bundle - Fixo - Varejo - Ganho Tributário Cross"),[7]BENEFICIOS!$A:$E,5,0)))</f>
        <v>MKT-1-9856472058</v>
      </c>
      <c r="BM8" s="66"/>
      <c r="BN8" s="67"/>
      <c r="BO8" s="104" t="s">
        <v>240</v>
      </c>
      <c r="BP8" s="69">
        <v>44.9</v>
      </c>
      <c r="BQ8" s="64">
        <f>IF(BP8=0,"",IF(BP8=VLOOKUP("PCS-30874g",[7]ARBOR!$A:$C,3,0),0.0001,IF(BP8&gt;VLOOKUP("PCS-30874g",[7]ARBOR!$A:$C,3,0),"Maior que CAP!",IF((DOLLAR(BP8+(VLOOKUP("PCS-30874g",[7]ARBOR!$A:$C,3,0)*-TRUNC(BP8/VLOOKUP("PCS-30874g",[7]ARBOR!$A:$C,3,0)-1,4)),6))&lt;&gt;(DOLLAR(VLOOKUP("PCS-30874g",[7]ARBOR!$A:$C,3,0),6)),-TRUNC(BP8/VLOOKUP("PCS-30874g",[7]ARBOR!$A:$C,3,0)-1,4)+0.0001,-TRUNC(BP8/VLOOKUP("PCS-30874g",[7]ARBOR!$A:$C,3,0)-1,4)))))</f>
        <v>0.53679999999999994</v>
      </c>
      <c r="BR8" s="65" t="str">
        <f>IF(ISERROR(IF(BQ8="","",VLOOKUP(($BH8&amp;BQ8&amp;"Template de desconto FLAT bundle - Velox XDSL - Varejo"),[7]BENEFICIOS!$A:$E,5,0))),"Criar",IF(BQ8="","",VLOOKUP(($BH8&amp;BQ8&amp;"Template de desconto FLAT bundle - Velox XDSL - Varejo"),[7]BENEFICIOS!$A:$E,5,0)))</f>
        <v>MKT-1-9865126733</v>
      </c>
      <c r="BS8" s="104" t="s">
        <v>240</v>
      </c>
      <c r="BT8" s="69">
        <v>44.9</v>
      </c>
      <c r="BU8" s="64">
        <f>IF(BT8=0,"",IF(BT8=VLOOKUP("PCS-30577g",[7]ARBOR!$A:$C,3,0),0.0001,IF(BT8&gt;VLOOKUP("PCS-30577g",[7]ARBOR!$A:$C,3,0),"Maior que CAP!",IF((DOLLAR(BT8+(VLOOKUP("PCS-30577g",[7]ARBOR!$A:$C,3,0)*-TRUNC(BT8/VLOOKUP("PCS-30577g",[7]ARBOR!$A:$C,3,0)-1,4)),6))&lt;&gt;(DOLLAR(VLOOKUP("PCS-30577g",[7]ARBOR!$A:$C,3,0),6)),-TRUNC(BT8/VLOOKUP("PCS-30577g",[7]ARBOR!$A:$C,3,0)-1,4)+0.0001,-TRUNC(BT8/VLOOKUP("PCS-30577g",[7]ARBOR!$A:$C,3,0)-1,4)))))</f>
        <v>0.53679999999999994</v>
      </c>
      <c r="BV8" s="65" t="str">
        <f>IF(ISERROR(IF(BU8="","",VLOOKUP(($BH8&amp;BU8&amp;"Template de desconto FLAT bundle - Velox XDSL - Varejo"),[7]BENEFICIOS!$A:$E,5,0))),"Criar",IF(BU8="","",VLOOKUP(($BH8&amp;BU8&amp;"Template de desconto FLAT bundle - Velox XDSL - Varejo"),[7]BENEFICIOS!$A:$E,5,0)))</f>
        <v>MKT-1-9865126733</v>
      </c>
      <c r="BW8" s="104" t="s">
        <v>240</v>
      </c>
      <c r="BX8" s="69">
        <v>44.9</v>
      </c>
      <c r="BY8" s="64">
        <f>IF(BX8=0,"",IF(BX8=VLOOKUP("PCS-30604g",[7]ARBOR!$A:$C,3,0),0.0001,IF(BX8&gt;VLOOKUP("PCS-30604g",[7]ARBOR!$A:$C,3,0),"Maior que CAP!",IF((DOLLAR(BX8+(VLOOKUP("PCS-30604g",[7]ARBOR!$A:$C,3,0)*-TRUNC(BX8/VLOOKUP("PCS-30604g",[7]ARBOR!$A:$C,3,0)-1,4)),6))&lt;&gt;(DOLLAR(VLOOKUP("PCS-30604g",[7]ARBOR!$A:$C,3,0),6)),-TRUNC(BX8/VLOOKUP("PCS-30604g",[7]ARBOR!$A:$C,3,0)-1,4)+0.0001,-TRUNC(BX8/VLOOKUP("PCS-30604g",[7]ARBOR!$A:$C,3,0)-1,4)))))</f>
        <v>0.53679999999999994</v>
      </c>
      <c r="BZ8" s="65" t="str">
        <f>IF(ISERROR(IF(BY8="","",VLOOKUP(($BH8&amp;BY8&amp;"Template de desconto FLAT bundle - Velox XDSL - Varejo"),[7]BENEFICIOS!$A:$E,5,0))),"Criar",IF(BY8="","",VLOOKUP(($BH8&amp;BY8&amp;"Template de desconto FLAT bundle - Velox XDSL - Varejo"),[7]BENEFICIOS!$A:$E,5,0)))</f>
        <v>MKT-1-9865126733</v>
      </c>
      <c r="CA8" s="104" t="s">
        <v>240</v>
      </c>
      <c r="CB8" s="69">
        <v>44.9</v>
      </c>
      <c r="CC8" s="64">
        <f>IF(CB8=0,"",IF(CB8=VLOOKUP("PCS-30631g",[7]ARBOR!$A:$C,3,0),0.0001,IF(CB8&gt;VLOOKUP("PCS-30631g",[7]ARBOR!$A:$C,3,0),"Maior que CAP!",IF((DOLLAR(CB8+(VLOOKUP("PCS-30631g",[7]ARBOR!$A:$C,3,0)*-TRUNC(CB8/VLOOKUP("PCS-30631g",[7]ARBOR!$A:$C,3,0)-1,4)),6))&lt;&gt;(DOLLAR(VLOOKUP("PCS-30631g",[7]ARBOR!$A:$C,3,0),6)),-TRUNC(CB8/VLOOKUP("PCS-30631g",[7]ARBOR!$A:$C,3,0)-1,4)+0.0001,-TRUNC(CB8/VLOOKUP("PCS-30631g",[7]ARBOR!$A:$C,3,0)-1,4)))))</f>
        <v>0.54310000000000003</v>
      </c>
      <c r="CD8" s="65" t="str">
        <f>IF(ISERROR(IF(CC8="","",VLOOKUP(($BH8&amp;CC8&amp;"Template de desconto FLAT bundle - Velox XDSL - Varejo"),[7]BENEFICIOS!$A:$E,5,0))),"Criar",IF(CC8="","",VLOOKUP(($BH8&amp;CC8&amp;"Template de desconto FLAT bundle - Velox XDSL - Varejo"),[7]BENEFICIOS!$A:$E,5,0)))</f>
        <v>MKT-1-9865126826</v>
      </c>
      <c r="CE8" s="68" t="s">
        <v>161</v>
      </c>
      <c r="CF8" s="69">
        <v>49.9</v>
      </c>
      <c r="CG8" s="64">
        <f>IF(CF8=0,"",IF(CF8=VLOOKUP("PCS-30658g",[7]ARBOR!$A:$C,3,0),0.0001,IF(CF8&gt;VLOOKUP("PCS-30658g",[7]ARBOR!$A:$C,3,0),"Maior que CAP!",IF((DOLLAR(CF8+(VLOOKUP("PCS-30658g",[7]ARBOR!$A:$C,3,0)*-TRUNC(CF8/VLOOKUP("PCS-30658g",[7]ARBOR!$A:$C,3,0)-1,4)),6))&lt;&gt;(DOLLAR(VLOOKUP("PCS-30658g",[7]ARBOR!$A:$C,3,0),6)),-TRUNC(CF8/VLOOKUP("PCS-30658g",[7]ARBOR!$A:$C,3,0)-1,4)+0.0001,-TRUNC(CF8/VLOOKUP("PCS-30658g",[7]ARBOR!$A:$C,3,0)-1,4)))))</f>
        <v>0.55569999999999997</v>
      </c>
      <c r="CH8" s="65" t="str">
        <f>IF(ISERROR(IF(CG8="","",VLOOKUP(($BH8&amp;CG8&amp;"Template de desconto FLAT bundle - Velox XDSL - Varejo"),[7]BENEFICIOS!$A:$E,5,0))),"Criar",IF(CG8="","",VLOOKUP(($BH8&amp;CG8&amp;"Template de desconto FLAT bundle - Velox XDSL - Varejo"),[7]BENEFICIOS!$A:$E,5,0)))</f>
        <v>MKT-1-9865126919</v>
      </c>
      <c r="CI8" s="68" t="s">
        <v>161</v>
      </c>
      <c r="CJ8" s="69">
        <v>49.9</v>
      </c>
      <c r="CK8" s="64">
        <f>IF(CJ8=0,"",IF(CJ8=VLOOKUP("PCS-30685g",[7]ARBOR!$A:$C,3,0),0.0001,IF(CJ8&gt;VLOOKUP("PCS-30685g",[7]ARBOR!$A:$C,3,0),"Maior que CAP!",IF((DOLLAR(CJ8+(VLOOKUP("PCS-30685g",[7]ARBOR!$A:$C,3,0)*-TRUNC(CJ8/VLOOKUP("PCS-30685g",[7]ARBOR!$A:$C,3,0)-1,4)),6))&lt;&gt;(DOLLAR(VLOOKUP("PCS-30685g",[7]ARBOR!$A:$C,3,0),6)),-TRUNC(CJ8/VLOOKUP("PCS-30685g",[7]ARBOR!$A:$C,3,0)-1,4)+0.0001,-TRUNC(CJ8/VLOOKUP("PCS-30685g",[7]ARBOR!$A:$C,3,0)-1,4)))))</f>
        <v>0.60509999999999997</v>
      </c>
      <c r="CL8" s="65" t="str">
        <f>IF(ISERROR(IF(CK8="","",VLOOKUP(($BH8&amp;CK8&amp;"Template de desconto FLAT bundle - Velox XDSL - Varejo"),[7]BENEFICIOS!$A:$E,5,0))),"Criar",IF(CK8="","",VLOOKUP(($BH8&amp;CK8&amp;"Template de desconto FLAT bundle - Velox XDSL - Varejo"),[7]BENEFICIOS!$A:$E,5,0)))</f>
        <v>MKT-1-9865694381</v>
      </c>
      <c r="CM8" s="68" t="s">
        <v>161</v>
      </c>
      <c r="CN8" s="69">
        <v>49.9</v>
      </c>
      <c r="CO8" s="64">
        <f>IF(CN8=0,"",IF(CN8=VLOOKUP("PCS-30712g",[7]ARBOR!$A:$C,3,0),0.0001,IF(CN8&gt;VLOOKUP("PCS-30712g",[7]ARBOR!$A:$C,3,0),"Maior que CAP!",IF((DOLLAR(CN8+(VLOOKUP("PCS-30712g",[7]ARBOR!$A:$C,3,0)*-TRUNC(CN8/VLOOKUP("PCS-30712g",[7]ARBOR!$A:$C,3,0)-1,4)),6))&lt;&gt;(DOLLAR(VLOOKUP("PCS-30712g",[7]ARBOR!$A:$C,3,0),6)),-TRUNC(CN8/VLOOKUP("PCS-30712g",[7]ARBOR!$A:$C,3,0)-1,4)+0.0001,-TRUNC(CN8/VLOOKUP("PCS-30712g",[7]ARBOR!$A:$C,3,0)-1,4)))))</f>
        <v>0.64459999999999995</v>
      </c>
      <c r="CP8" s="65" t="str">
        <f>IF(ISERROR(IF(CO8="","",VLOOKUP(($BH8&amp;CO8&amp;"Template de desconto FLAT bundle - Velox XDSL - Varejo"),[7]BENEFICIOS!$A:$E,5,0))),"Criar",IF(CO8="","",VLOOKUP(($BH8&amp;CO8&amp;"Template de desconto FLAT bundle - Velox XDSL - Varejo"),[7]BENEFICIOS!$A:$E,5,0)))</f>
        <v>MKT-1-9865191105</v>
      </c>
      <c r="CQ8" s="68" t="s">
        <v>161</v>
      </c>
      <c r="CR8" s="69">
        <v>59.9</v>
      </c>
      <c r="CS8" s="64">
        <f>IF(CR8=0,"",IF(CR8=VLOOKUP("PCS-30739g",[7]ARBOR!$A:$C,3,0),0.0001,IF(CR8&gt;VLOOKUP("PCS-30739g",[7]ARBOR!$A:$C,3,0),"Maior que CAP!",IF((DOLLAR(CR8+(VLOOKUP("PCS-30739g",[7]ARBOR!$A:$C,3,0)*-TRUNC(CR8/VLOOKUP("PCS-30739g",[7]ARBOR!$A:$C,3,0)-1,4)),6))&lt;&gt;(DOLLAR(VLOOKUP("PCS-30739g",[7]ARBOR!$A:$C,3,0),6)),-TRUNC(CR8/VLOOKUP("PCS-30739g",[7]ARBOR!$A:$C,3,0)-1,4)+0.0001,-TRUNC(CR8/VLOOKUP("PCS-30739g",[7]ARBOR!$A:$C,3,0)-1,4)))))</f>
        <v>0.71560000000000001</v>
      </c>
      <c r="CT8" s="65" t="str">
        <f>IF(ISERROR(IF(CS8="","",VLOOKUP(($BH8&amp;CS8&amp;"Template de desconto FLAT bundle - Velox XDSL - Varejo"),[7]BENEFICIOS!$A:$E,5,0))),"Criar",IF(CS8="","",VLOOKUP(($BH8&amp;CS8&amp;"Template de desconto FLAT bundle - Velox XDSL - Varejo"),[7]BENEFICIOS!$A:$E,5,0)))</f>
        <v>MKT-1-9865191198</v>
      </c>
      <c r="CU8" s="69"/>
      <c r="CV8" s="70"/>
      <c r="CW8" s="64"/>
      <c r="CX8" s="65"/>
      <c r="CY8" s="68" t="s">
        <v>161</v>
      </c>
      <c r="CZ8" s="69">
        <v>59.9</v>
      </c>
      <c r="DA8" s="64">
        <f>IF(CZ8=0,"",IF(CZ8=VLOOKUP("PCS-30766g",[7]ARBOR!$A:$C,3,0),0.0001,IF(CZ8&gt;VLOOKUP("PCS-30766g",[7]ARBOR!$A:$C,3,0),"Maior que CAP!",IF((DOLLAR(CZ8+(VLOOKUP("PCS-30766g",[7]ARBOR!$A:$C,3,0)*-TRUNC(CZ8/VLOOKUP("PCS-30766g",[7]ARBOR!$A:$C,3,0)-1,4)),6))&lt;&gt;(DOLLAR(VLOOKUP("PCS-30766g",[7]ARBOR!$A:$C,3,0),6)),-TRUNC(CZ8/VLOOKUP("PCS-30766g",[7]ARBOR!$A:$C,3,0)-1,4)+0.0001,-TRUNC(CZ8/VLOOKUP("PCS-30766g",[7]ARBOR!$A:$C,3,0)-1,4)))))</f>
        <v>0.78669999999999995</v>
      </c>
      <c r="DB8" s="65" t="str">
        <f>IF(ISERROR(IF(DA8="","",VLOOKUP(($BH8&amp;DA8&amp;"Template de desconto FLAT bundle - Velox XDSL - Varejo"),[7]BENEFICIOS!$A:$E,5,0))),"Criar",IF(DA8="","",VLOOKUP(($BH8&amp;DA8&amp;"Template de desconto FLAT bundle - Velox XDSL - Varejo"),[7]BENEFICIOS!$A:$E,5,0)))</f>
        <v>MKT-1-9865191291</v>
      </c>
      <c r="DC8" s="69"/>
      <c r="DD8" s="70"/>
      <c r="DE8" s="64"/>
      <c r="DF8" s="65"/>
      <c r="DG8" s="68" t="s">
        <v>240</v>
      </c>
      <c r="DH8" s="69">
        <v>69.900000000000006</v>
      </c>
      <c r="DI8" s="64">
        <f>IF(DH8=0,"",IF(DH8=VLOOKUP("PCS-30793g",[7]ARBOR!$A:$C,3,0),0.0001,IF(DH8&gt;VLOOKUP("PCS-30793g",[7]ARBOR!$A:$C,3,0),"Maior que CAP!",IF((DOLLAR(DH8+(VLOOKUP("PCS-30793g",[7]ARBOR!$A:$C,3,0)*-TRUNC(DH8/VLOOKUP("PCS-30793g",[7]ARBOR!$A:$C,3,0)-1,4)),6))&lt;&gt;(DOLLAR(VLOOKUP("PCS-30793g",[7]ARBOR!$A:$C,3,0),6)),-TRUNC(DH8/VLOOKUP("PCS-30793g",[7]ARBOR!$A:$C,3,0)-1,4)+0.0001,-TRUNC(DH8/VLOOKUP("PCS-30793g",[7]ARBOR!$A:$C,3,0)-1,4)))))</f>
        <v>0.75109999999999999</v>
      </c>
      <c r="DJ8" s="65" t="str">
        <f>IF(ISERROR(IF(DI8="","",VLOOKUP(($BH8&amp;DI8&amp;"Template de desconto FLAT bundle - Velox XDSL - Varejo"),[7]BENEFICIOS!$A:$E,5,0))),"Criar",IF(DI8="","",VLOOKUP(($BH8&amp;DI8&amp;"Template de desconto FLAT bundle - Velox XDSL - Varejo"),[7]BENEFICIOS!$A:$E,5,0)))</f>
        <v>MKT-1-9865191384</v>
      </c>
      <c r="DK8" s="69"/>
      <c r="DL8" s="70"/>
      <c r="DM8" s="64"/>
      <c r="DN8" s="65"/>
      <c r="DO8" s="68" t="s">
        <v>161</v>
      </c>
      <c r="DP8" s="69">
        <v>69.900000000000006</v>
      </c>
      <c r="DQ8" s="64">
        <f>IF(DP8=0,"",IF(DP8=VLOOKUP("PCS-30820g",[7]ARBOR!$A:$C,3,0),0.0001,IF(DP8&gt;VLOOKUP("PCS-30820g",[7]ARBOR!$A:$C,3,0),"Maior que CAP!",IF((DOLLAR(DP8+(VLOOKUP("PCS-30820g",[7]ARBOR!$A:$C,3,0)*-TRUNC(DP8/VLOOKUP("PCS-30820g",[7]ARBOR!$A:$C,3,0)-1,4)),6))&lt;&gt;(DOLLAR(VLOOKUP("PCS-30820g",[7]ARBOR!$A:$C,3,0),6)),-TRUNC(DP8/VLOOKUP("PCS-30820g",[7]ARBOR!$A:$C,3,0)-1,4)+0.0001,-TRUNC(DP8/VLOOKUP("PCS-30820g",[7]ARBOR!$A:$C,3,0)-1,4)))))</f>
        <v>0.75109999999999999</v>
      </c>
      <c r="DR8" s="65" t="str">
        <f>IF(ISERROR(IF(DQ8="","",VLOOKUP(($BH8&amp;DQ8&amp;"Template de desconto FLAT bundle - Velox XDSL - Varejo"),[7]BENEFICIOS!$A:$E,5,0))),"Criar",IF(DQ8="","",VLOOKUP(($BH8&amp;DQ8&amp;"Template de desconto FLAT bundle - Velox XDSL - Varejo"),[7]BENEFICIOS!$A:$E,5,0)))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IF(DW8=0,"",IF(DW8=VLOOKUP("PCS-21448p2",[7]ARBOR!$A:$C,3,0),0.0001,IF(DW8&gt;VLOOKUP("PCS-21448p2",[7]ARBOR!$A:$C,3,0),"Maior que CAP!",IF((DOLLAR(DW8+(VLOOKUP("PCS-21448p2",[7]ARBOR!$A:$C,3,0)*-TRUNC(DW8/VLOOKUP("PCS-21448p2",[7]ARBOR!$A:$C,3,0)-1,4)),6))&lt;&gt;(DOLLAR(VLOOKUP("PCS-21448p2",[7]ARBOR!$A:$C,3,0),6)),-TRUNC(DW8/VLOOKUP("PCS-21448p2",[7]ARBOR!$A:$C,3,0)-1,4)+0.0001,-TRUNC(DW8/VLOOKUP("PCS-21448p2",[7]ARBOR!$A:$C,3,0)-1,4)))))</f>
        <v/>
      </c>
      <c r="DY8" s="65" t="str">
        <f>IF(ISERROR(IF(DX8="","",VLOOKUP(("Oi Conta Total Plug 10GB Downgrade"&amp;DX8&amp;"Template de desconto percentual BL Móvel - Internet Total - Varejo"),[7]BENEFICIOS!$A:$E,5,0))),"Criar",IF(DX8="","",VLOOKUP(("Oi Conta Total Plug 10GB Downgrade"&amp;DX8&amp;"Template de desconto percentual BL Móvel - Internet Total - Varejo"),[7]BENEFICIOS!$A:$E,5,0)))</f>
        <v/>
      </c>
      <c r="DZ8" s="71">
        <v>19.899999999999999</v>
      </c>
      <c r="EA8" s="72">
        <f>IF(DZ8=0,"",IF(DZ8=VLOOKUP("SVA",[7]ARBOR!$A:$C,3,0),0.0001,IF(DZ8&gt;VLOOKUP("SVA",[7]ARBOR!$A:$C,3,0),"Maior que CAP!",IF((DOLLAR(DZ8+(VLOOKUP("SVA",[7]ARBOR!$A:$C,3,0)*-TRUNC(DZ8/VLOOKUP("SVA",[7]ARBOR!$A:$C,3,0)-1,4)),6))&lt;&gt;(DOLLAR(VLOOKUP("SVA",[7]ARBOR!$A:$C,3,0),6)),-TRUNC(DZ8/VLOOKUP("SVA",[7]ARBOR!$A:$C,3,0)-1,4)+0.0001,-TRUNC(DZ8/VLOOKUP("SVA",[7]ARBOR!$A:$C,3,0)-1,4)))))</f>
        <v>7.1400000000000005E-2</v>
      </c>
      <c r="EB8" s="65" t="s">
        <v>241</v>
      </c>
      <c r="EC8" s="69"/>
      <c r="ED8" s="73"/>
      <c r="EE8" s="74"/>
      <c r="EF8" s="65"/>
      <c r="EG8" s="75">
        <f>IF(BI8="","",VLOOKUP(BI8,[7]ARBOR!A:C,3,0))</f>
        <v>479.46</v>
      </c>
      <c r="EH8" s="69">
        <v>15</v>
      </c>
      <c r="EI8" s="76">
        <f>IF(EH8="","",1-(EH8/VLOOKUP(BI8&amp;"ASS",[7]ARBOR!A:C,3,0)))</f>
        <v>0.34725848563968664</v>
      </c>
      <c r="EJ8" s="77" t="s">
        <v>224</v>
      </c>
      <c r="EK8" s="78" t="s">
        <v>225</v>
      </c>
      <c r="EL8" s="69">
        <v>147.12999999999997</v>
      </c>
      <c r="EM8" s="64">
        <f>ROUND(IF(EL8=0,"",IF(EL8=EG8,0.0001,1-((EL8+(VLOOKUP(BI8&amp;"ASS",[7]ARBOR!A:C,3,0)-EH8))/EG8))),4)</f>
        <v>0.67649999999999999</v>
      </c>
      <c r="EN8" s="65" t="str">
        <f>IF(ISERROR(IF(EM8="","",VLOOKUP(($BH8&amp;EM8&amp;"Template de desconto percentual FLAT Móvel - Conta Total - Varejo - Ganho Tributário Cross"),[7]BENEFICIOS!$A:$E,5,0))),"Criar",IF(EM8="","",VLOOKUP(($BH8&amp;EM8&amp;"Template de desconto percentual FLAT Móvel - Conta Total - Varejo - Ganho Tributário Cross"),[7]BENEFICIOS!$A:$E,5,0)))</f>
        <v>Criar</v>
      </c>
      <c r="EO8" s="79"/>
      <c r="EP8" s="64"/>
      <c r="EQ8" s="72"/>
      <c r="ER8" s="72"/>
      <c r="ES8" s="64"/>
      <c r="ET8" s="80"/>
      <c r="EU8" s="81" t="s">
        <v>244</v>
      </c>
      <c r="EV8" s="81" t="s">
        <v>251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IF(FC8=0,"",IF(FC8=VLOOKUP("PCS-10357",[7]ARBOR!$A:$C,3,0),0.0001,IF(FC8&gt;VLOOKUP("PCS-10357",[7]ARBOR!$A:$C,3,0),"Maior que CAP!",ROUND(-1*(FC8/VLOOKUP("PCS-10357",[7]ARBOR!$A:$C,3,0)-1),4))))</f>
        <v/>
      </c>
      <c r="FE8" s="84" t="str">
        <f>IF(ISERROR(IF(FD8="","",VLOOKUP(("Oi Internet Pra Celular 1GB"&amp;FD8&amp;"Template Flat Instância Dados"),[7]BENEFICIOS!$A:$E,5,0))),"Criar",IF(FD8="","",VLOOKUP(("Oi Internet Pra Celular 1GB"&amp;FD8&amp;"Template Flat Instância Dados"),[7]BENEFICIOS!$A:$E,5,0)))</f>
        <v/>
      </c>
      <c r="FF8" s="82">
        <v>9.77</v>
      </c>
      <c r="FG8" s="83">
        <f>IF(FF8=0,"",IF(FF8=VLOOKUP("PCS-813565",[7]ARBOR!$A:$C,3,0),0.0001,IF(FF8&gt;VLOOKUP("PCS-813565",[7]ARBOR!$A:$C,3,0),"Maior que CAP!",ROUND(-1*(FF8/VLOOKUP("PCS-813565",[7]ARBOR!$A:$C,3,0)-1),4))))</f>
        <v>0.74260000000000004</v>
      </c>
      <c r="FH8" s="84" t="str">
        <f>IF(ISERROR(IF(FG8="","",VLOOKUP(("Oi Internet Pra Celular 2GB"&amp;FG8&amp;"Template Flat Instância Dados"),[7]BENEFICIOS!$A:$E,5,0))),"Criar",IF(FG8="","",VLOOKUP(("Oi Internet Pra Celular 2GB"&amp;FG8&amp;"Template Flat Instância Dados"),[7]BENEFICIOS!$A:$E,5,0)))</f>
        <v>MKT-1-9870023571</v>
      </c>
      <c r="FI8" s="82"/>
      <c r="FJ8" s="83" t="str">
        <f>IF(FI8=0,"",IF(FI8=VLOOKUP("PCS-7171B",[7]ARBOR!$A:$C,3,0),0.0001,IF(FI8&gt;VLOOKUP("PCS-7171B",[7]ARBOR!$A:$C,3,0),"Maior que CAP!",ROUND(-1*(FI8/VLOOKUP("PCS-7171B",[7]ARBOR!$A:$C,3,0)-1),4))))</f>
        <v/>
      </c>
      <c r="FK8" s="84" t="str">
        <f>IF(ISERROR(IF(FJ8="","",VLOOKUP(("Oi Internet Pra Celular 3GB"&amp;FJ8&amp;"Template Flat Instância Dados"),[7]BENEFICIOS!$A:$E,5,0))),"Criar",IF(FJ8="","",VLOOKUP(("Oi Internet Pra Celular 3GB"&amp;FJ8&amp;"Template Flat Instância Dados"),[7]BENEFICIOS!$A:$E,5,0)))</f>
        <v/>
      </c>
      <c r="FL8" s="82"/>
      <c r="FM8" s="83" t="str">
        <f>IF(FL8=0,"",IF(FL8=VLOOKUP("PCS-51793o08",[7]ARBOR!$A:$C,3,0),0.0001,IF(FL8&gt;VLOOKUP("PCS-51793o08",[7]ARBOR!$A:$C,3,0),"Maior que CAP!",ROUND(-1*(FL8/VLOOKUP("PCS-51793o08",[7]ARBOR!$A:$C,3,0)-1),4))))</f>
        <v/>
      </c>
      <c r="FN8" s="84" t="str">
        <f>IF(ISERROR(IF(FM8="","",VLOOKUP(("Oi Internet Pra Celular 5GB"&amp;FM8&amp;"Template Flat Instância Dados"),[7]BENEFICIOS!$A:$E,5,0))),"Criar",IF(FM8="","",VLOOKUP(("Oi Internet Pra Celular 5GB"&amp;FM8&amp;"Template Flat Instância Dados"),[7]BENEFICIOS!$A:$E,5,0)))</f>
        <v/>
      </c>
      <c r="FO8" s="82"/>
      <c r="FP8" s="83" t="str">
        <f>IF(FO8=0,"",IF(FO8=VLOOKUP("PCS-7171A",[7]ARBOR!$A:$C,3,0),0.0001,IF(FO8&gt;VLOOKUP("PCS-7171A",[7]ARBOR!$A:$C,3,0),"Maior que CAP!",ROUND(-1*(FO8/VLOOKUP("PCS-7171A",[7]ARBOR!$A:$C,3,0)-1),4))))</f>
        <v/>
      </c>
      <c r="FQ8" s="84" t="str">
        <f>IF(ISERROR(IF(FP8="","",VLOOKUP(("Oi Internet Pra Celular 10GB"&amp;FP8&amp;"Template Flat Instância Dados"),[7]BENEFICIOS!$A:$E,5,0))),"Criar",IF(FP8="","",VLOOKUP(("Oi Internet Pra Celular 10GB"&amp;FP8&amp;"Template Flat Instância Dados"),[7]BENEFICIOS!$A:$E,5,0)))</f>
        <v/>
      </c>
      <c r="FR8" s="85">
        <v>0.74219999999999997</v>
      </c>
      <c r="FS8" s="86" t="s">
        <v>246</v>
      </c>
      <c r="FT8" s="48"/>
      <c r="FU8" s="87"/>
      <c r="FV8" s="88" t="s">
        <v>221</v>
      </c>
      <c r="FW8" s="49" t="s">
        <v>226</v>
      </c>
      <c r="FX8" s="89">
        <v>999</v>
      </c>
      <c r="FY8" s="49">
        <v>12</v>
      </c>
      <c r="FZ8" s="90" t="s">
        <v>227</v>
      </c>
      <c r="GA8" s="91" t="str">
        <f t="shared" si="1"/>
        <v>PCS-Fk83324</v>
      </c>
      <c r="GB8" s="92" t="str">
        <f t="shared" si="2"/>
        <v>PCS-SBL553142</v>
      </c>
      <c r="GC8" s="93" t="s">
        <v>228</v>
      </c>
      <c r="GD8" s="90" t="s">
        <v>229</v>
      </c>
      <c r="GE8" s="92" t="s">
        <v>230</v>
      </c>
      <c r="GF8" s="93" t="s">
        <v>231</v>
      </c>
      <c r="GG8" s="90" t="s">
        <v>232</v>
      </c>
      <c r="GH8" s="92" t="s">
        <v>233</v>
      </c>
      <c r="GI8" s="94" t="s">
        <v>234</v>
      </c>
      <c r="GJ8" s="95">
        <f>FF8+EL8+CN8+BJ8</f>
        <v>256.89999999999998</v>
      </c>
      <c r="GK8" s="96"/>
      <c r="GL8" s="97" t="s">
        <v>235</v>
      </c>
      <c r="GM8" s="98" t="s">
        <v>236</v>
      </c>
      <c r="GN8" s="97">
        <f>VLOOKUP($A8,'[7]TABELA COM TUDO'!$A:$AB,25,0)</f>
        <v>14</v>
      </c>
      <c r="GO8" s="99">
        <f>VLOOKUP($A8,'[7]TABELA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254</v>
      </c>
      <c r="GX8" s="44" t="s">
        <v>238</v>
      </c>
    </row>
    <row r="9" spans="1:206" s="44" customFormat="1" x14ac:dyDescent="0.35">
      <c r="A9" s="44" t="str">
        <f t="shared" si="0"/>
        <v>Oi Total Fixo + Pós 800 + Banda LargaN13GBMG</v>
      </c>
      <c r="B9" s="45" t="s">
        <v>211</v>
      </c>
      <c r="C9" s="46" t="s">
        <v>127</v>
      </c>
      <c r="D9" s="46" t="s">
        <v>212</v>
      </c>
      <c r="E9" s="47" t="s">
        <v>213</v>
      </c>
      <c r="F9" s="48" t="s">
        <v>214</v>
      </c>
      <c r="G9" s="49"/>
      <c r="H9" s="49"/>
      <c r="I9" s="49"/>
      <c r="J9" s="49" t="s">
        <v>214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214</v>
      </c>
      <c r="AC9" s="49" t="s">
        <v>214</v>
      </c>
      <c r="AD9" s="49" t="s">
        <v>214</v>
      </c>
      <c r="AE9" s="49" t="s">
        <v>214</v>
      </c>
      <c r="AF9" s="49" t="s">
        <v>214</v>
      </c>
      <c r="AG9" s="49" t="s">
        <v>214</v>
      </c>
      <c r="AH9" s="50"/>
      <c r="AI9" s="49" t="s">
        <v>214</v>
      </c>
      <c r="AJ9" s="49" t="s">
        <v>214</v>
      </c>
      <c r="AK9" s="49" t="s">
        <v>214</v>
      </c>
      <c r="AL9" s="49" t="s">
        <v>214</v>
      </c>
      <c r="AM9" s="49" t="s">
        <v>214</v>
      </c>
      <c r="AN9" s="49" t="s">
        <v>214</v>
      </c>
      <c r="AO9" s="49" t="s">
        <v>214</v>
      </c>
      <c r="AP9" s="49"/>
      <c r="AQ9" s="51"/>
      <c r="AR9" s="52" t="s">
        <v>255</v>
      </c>
      <c r="AS9" s="46" t="s">
        <v>216</v>
      </c>
      <c r="AT9" s="53" t="s">
        <v>217</v>
      </c>
      <c r="AU9" s="54">
        <v>42972</v>
      </c>
      <c r="AV9" s="55">
        <v>43038</v>
      </c>
      <c r="AW9" s="56" t="s">
        <v>218</v>
      </c>
      <c r="AX9" s="57" t="s">
        <v>218</v>
      </c>
      <c r="AY9" s="58"/>
      <c r="AZ9" s="58" t="s">
        <v>219</v>
      </c>
      <c r="BA9" s="58">
        <v>20</v>
      </c>
      <c r="BB9" s="58">
        <v>10000</v>
      </c>
      <c r="BC9" s="59" t="s">
        <v>220</v>
      </c>
      <c r="BD9" s="60" t="s">
        <v>221</v>
      </c>
      <c r="BE9" s="58" t="s">
        <v>213</v>
      </c>
      <c r="BF9" s="51" t="s">
        <v>213</v>
      </c>
      <c r="BG9" s="45" t="s">
        <v>255</v>
      </c>
      <c r="BH9" s="61" t="s">
        <v>222</v>
      </c>
      <c r="BI9" s="62" t="str">
        <f>IF(ISERROR(VLOOKUP(BH9,[7]PLANOS!B:C,2,0)),"",VLOOKUP(BH9,[7]PLANOS!B:C,2,0))</f>
        <v>PCS-4P6pi</v>
      </c>
      <c r="BJ9" s="63">
        <v>50.1</v>
      </c>
      <c r="BK9" s="64">
        <f>IF(BJ9=0,"",IF(BJ9=VLOOKUP("FIXO",[7]ARBOR!$A:$C,3,0),0.0001,IF(BJ9&gt;VLOOKUP("FIXO",[7]ARBOR!$A:$C,3,0),"Maior que CAP!",IF((DOLLAR(BJ9+(VLOOKUP("FIXO",[7]ARBOR!$A:$C,3,0)*-TRUNC(BJ9/VLOOKUP("FIXO",[7]ARBOR!$A:$C,3,0)-1,4)),6))&lt;&gt;(DOLLAR(VLOOKUP("FIXO",[7]ARBOR!$A:$C,3,0),6)),-TRUNC(BJ9/VLOOKUP("FIXO",[7]ARBOR!$A:$C,3,0)-1,4)+0.0001,-TRUNC(BJ9/VLOOKUP("FIXO",[7]ARBOR!$A:$C,3,0)-1,4)))))</f>
        <v>0.33939999999999998</v>
      </c>
      <c r="BL9" s="65" t="str">
        <f>IF(ISERROR(IF(BK9="","",VLOOKUP(($BH9&amp;BK9&amp;"Template de desconto FLAT bundle - Fixo - Varejo - Ganho Tributário Cross"),[7]BENEFICIOS!$A:$E,5,0))),"Criar",IF(BK9="","",VLOOKUP(($BH9&amp;BK9&amp;"Template de desconto FLAT bundle - Fixo - Varejo - Ganho Tributário Cross"),[7]BENEFICIOS!$A:$E,5,0)))</f>
        <v>MKT-1-9856472058</v>
      </c>
      <c r="BM9" s="66"/>
      <c r="BN9" s="67"/>
      <c r="BO9" s="68" t="s">
        <v>161</v>
      </c>
      <c r="BP9" s="69">
        <v>44.9</v>
      </c>
      <c r="BQ9" s="64">
        <f>IF(BP9=0,"",IF(BP9=VLOOKUP("PCS-30874g",[7]ARBOR!$A:$C,3,0),0.0001,IF(BP9&gt;VLOOKUP("PCS-30874g",[7]ARBOR!$A:$C,3,0),"Maior que CAP!",IF((DOLLAR(BP9+(VLOOKUP("PCS-30874g",[7]ARBOR!$A:$C,3,0)*-TRUNC(BP9/VLOOKUP("PCS-30874g",[7]ARBOR!$A:$C,3,0)-1,4)),6))&lt;&gt;(DOLLAR(VLOOKUP("PCS-30874g",[7]ARBOR!$A:$C,3,0),6)),-TRUNC(BP9/VLOOKUP("PCS-30874g",[7]ARBOR!$A:$C,3,0)-1,4)+0.0001,-TRUNC(BP9/VLOOKUP("PCS-30874g",[7]ARBOR!$A:$C,3,0)-1,4)))))</f>
        <v>0.53679999999999994</v>
      </c>
      <c r="BR9" s="65" t="str">
        <f>IF(ISERROR(IF(BQ9="","",VLOOKUP(($BH9&amp;BQ9&amp;"Template de desconto FLAT bundle - Velox XDSL - Varejo"),[7]BENEFICIOS!$A:$E,5,0))),"Criar",IF(BQ9="","",VLOOKUP(($BH9&amp;BQ9&amp;"Template de desconto FLAT bundle - Velox XDSL - Varejo"),[7]BENEFICIOS!$A:$E,5,0)))</f>
        <v>MKT-1-9865126733</v>
      </c>
      <c r="BS9" s="68" t="s">
        <v>161</v>
      </c>
      <c r="BT9" s="69">
        <v>44.9</v>
      </c>
      <c r="BU9" s="64">
        <f>IF(BT9=0,"",IF(BT9=VLOOKUP("PCS-30577g",[7]ARBOR!$A:$C,3,0),0.0001,IF(BT9&gt;VLOOKUP("PCS-30577g",[7]ARBOR!$A:$C,3,0),"Maior que CAP!",IF((DOLLAR(BT9+(VLOOKUP("PCS-30577g",[7]ARBOR!$A:$C,3,0)*-TRUNC(BT9/VLOOKUP("PCS-30577g",[7]ARBOR!$A:$C,3,0)-1,4)),6))&lt;&gt;(DOLLAR(VLOOKUP("PCS-30577g",[7]ARBOR!$A:$C,3,0),6)),-TRUNC(BT9/VLOOKUP("PCS-30577g",[7]ARBOR!$A:$C,3,0)-1,4)+0.0001,-TRUNC(BT9/VLOOKUP("PCS-30577g",[7]ARBOR!$A:$C,3,0)-1,4)))))</f>
        <v>0.53679999999999994</v>
      </c>
      <c r="BV9" s="65" t="str">
        <f>IF(ISERROR(IF(BU9="","",VLOOKUP(($BH9&amp;BU9&amp;"Template de desconto FLAT bundle - Velox XDSL - Varejo"),[7]BENEFICIOS!$A:$E,5,0))),"Criar",IF(BU9="","",VLOOKUP(($BH9&amp;BU9&amp;"Template de desconto FLAT bundle - Velox XDSL - Varejo"),[7]BENEFICIOS!$A:$E,5,0)))</f>
        <v>MKT-1-9865126733</v>
      </c>
      <c r="BW9" s="68" t="s">
        <v>161</v>
      </c>
      <c r="BX9" s="69">
        <v>44.9</v>
      </c>
      <c r="BY9" s="64">
        <f>IF(BX9=0,"",IF(BX9=VLOOKUP("PCS-30604g",[7]ARBOR!$A:$C,3,0),0.0001,IF(BX9&gt;VLOOKUP("PCS-30604g",[7]ARBOR!$A:$C,3,0),"Maior que CAP!",IF((DOLLAR(BX9+(VLOOKUP("PCS-30604g",[7]ARBOR!$A:$C,3,0)*-TRUNC(BX9/VLOOKUP("PCS-30604g",[7]ARBOR!$A:$C,3,0)-1,4)),6))&lt;&gt;(DOLLAR(VLOOKUP("PCS-30604g",[7]ARBOR!$A:$C,3,0),6)),-TRUNC(BX9/VLOOKUP("PCS-30604g",[7]ARBOR!$A:$C,3,0)-1,4)+0.0001,-TRUNC(BX9/VLOOKUP("PCS-30604g",[7]ARBOR!$A:$C,3,0)-1,4)))))</f>
        <v>0.53679999999999994</v>
      </c>
      <c r="BZ9" s="65" t="str">
        <f>IF(ISERROR(IF(BY9="","",VLOOKUP(($BH9&amp;BY9&amp;"Template de desconto FLAT bundle - Velox XDSL - Varejo"),[7]BENEFICIOS!$A:$E,5,0))),"Criar",IF(BY9="","",VLOOKUP(($BH9&amp;BY9&amp;"Template de desconto FLAT bundle - Velox XDSL - Varejo"),[7]BENEFICIOS!$A:$E,5,0)))</f>
        <v>MKT-1-9865126733</v>
      </c>
      <c r="CA9" s="68" t="s">
        <v>161</v>
      </c>
      <c r="CB9" s="69">
        <v>44.9</v>
      </c>
      <c r="CC9" s="64">
        <f>IF(CB9=0,"",IF(CB9=VLOOKUP("PCS-30631g",[7]ARBOR!$A:$C,3,0),0.0001,IF(CB9&gt;VLOOKUP("PCS-30631g",[7]ARBOR!$A:$C,3,0),"Maior que CAP!",IF((DOLLAR(CB9+(VLOOKUP("PCS-30631g",[7]ARBOR!$A:$C,3,0)*-TRUNC(CB9/VLOOKUP("PCS-30631g",[7]ARBOR!$A:$C,3,0)-1,4)),6))&lt;&gt;(DOLLAR(VLOOKUP("PCS-30631g",[7]ARBOR!$A:$C,3,0),6)),-TRUNC(CB9/VLOOKUP("PCS-30631g",[7]ARBOR!$A:$C,3,0)-1,4)+0.0001,-TRUNC(CB9/VLOOKUP("PCS-30631g",[7]ARBOR!$A:$C,3,0)-1,4)))))</f>
        <v>0.54310000000000003</v>
      </c>
      <c r="CD9" s="65" t="str">
        <f>IF(ISERROR(IF(CC9="","",VLOOKUP(($BH9&amp;CC9&amp;"Template de desconto FLAT bundle - Velox XDSL - Varejo"),[7]BENEFICIOS!$A:$E,5,0))),"Criar",IF(CC9="","",VLOOKUP(($BH9&amp;CC9&amp;"Template de desconto FLAT bundle - Velox XDSL - Varejo"),[7]BENEFICIOS!$A:$E,5,0)))</f>
        <v>MKT-1-9865126826</v>
      </c>
      <c r="CE9" s="68"/>
      <c r="CF9" s="69"/>
      <c r="CG9" s="64" t="str">
        <f>IF(CF9=0,"",IF(CF9=VLOOKUP("PCS-30658g",[7]ARBOR!$A:$C,3,0),0.0001,IF(CF9&gt;VLOOKUP("PCS-30658g",[7]ARBOR!$A:$C,3,0),"Maior que CAP!",IF((DOLLAR(CF9+(VLOOKUP("PCS-30658g",[7]ARBOR!$A:$C,3,0)*-TRUNC(CF9/VLOOKUP("PCS-30658g",[7]ARBOR!$A:$C,3,0)-1,4)),6))&lt;&gt;(DOLLAR(VLOOKUP("PCS-30658g",[7]ARBOR!$A:$C,3,0),6)),-TRUNC(CF9/VLOOKUP("PCS-30658g",[7]ARBOR!$A:$C,3,0)-1,4)+0.0001,-TRUNC(CF9/VLOOKUP("PCS-30658g",[7]ARBOR!$A:$C,3,0)-1,4)))))</f>
        <v/>
      </c>
      <c r="CH9" s="65" t="str">
        <f>IF(ISERROR(IF(CG9="","",VLOOKUP(($BH9&amp;CG9&amp;"Template de desconto FLAT bundle - Velox XDSL - Varejo"),[7]BENEFICIOS!$A:$E,5,0))),"Criar",IF(CG9="","",VLOOKUP(($BH9&amp;CG9&amp;"Template de desconto FLAT bundle - Velox XDSL - Varejo"),[7]BENEFICIOS!$A:$E,5,0)))</f>
        <v/>
      </c>
      <c r="CI9" s="68"/>
      <c r="CJ9" s="69"/>
      <c r="CK9" s="64" t="str">
        <f>IF(CJ9=0,"",IF(CJ9=VLOOKUP("PCS-30685g",[7]ARBOR!$A:$C,3,0),0.0001,IF(CJ9&gt;VLOOKUP("PCS-30685g",[7]ARBOR!$A:$C,3,0),"Maior que CAP!",IF((DOLLAR(CJ9+(VLOOKUP("PCS-30685g",[7]ARBOR!$A:$C,3,0)*-TRUNC(CJ9/VLOOKUP("PCS-30685g",[7]ARBOR!$A:$C,3,0)-1,4)),6))&lt;&gt;(DOLLAR(VLOOKUP("PCS-30685g",[7]ARBOR!$A:$C,3,0),6)),-TRUNC(CJ9/VLOOKUP("PCS-30685g",[7]ARBOR!$A:$C,3,0)-1,4)+0.0001,-TRUNC(CJ9/VLOOKUP("PCS-30685g",[7]ARBOR!$A:$C,3,0)-1,4)))))</f>
        <v/>
      </c>
      <c r="CL9" s="65" t="str">
        <f>IF(ISERROR(IF(CK9="","",VLOOKUP(($BH9&amp;CK9&amp;"Template de desconto FLAT bundle - Velox XDSL - Varejo"),[7]BENEFICIOS!$A:$E,5,0))),"Criar",IF(CK9="","",VLOOKUP(($BH9&amp;CK9&amp;"Template de desconto FLAT bundle - Velox XDSL - Varejo"),[7]BENEFICIOS!$A:$E,5,0)))</f>
        <v/>
      </c>
      <c r="CM9" s="68"/>
      <c r="CN9" s="69"/>
      <c r="CO9" s="64" t="str">
        <f>IF(CN9=0,"",IF(CN9=VLOOKUP("PCS-30712g",[7]ARBOR!$A:$C,3,0),0.0001,IF(CN9&gt;VLOOKUP("PCS-30712g",[7]ARBOR!$A:$C,3,0),"Maior que CAP!",IF((DOLLAR(CN9+(VLOOKUP("PCS-30712g",[7]ARBOR!$A:$C,3,0)*-TRUNC(CN9/VLOOKUP("PCS-30712g",[7]ARBOR!$A:$C,3,0)-1,4)),6))&lt;&gt;(DOLLAR(VLOOKUP("PCS-30712g",[7]ARBOR!$A:$C,3,0),6)),-TRUNC(CN9/VLOOKUP("PCS-30712g",[7]ARBOR!$A:$C,3,0)-1,4)+0.0001,-TRUNC(CN9/VLOOKUP("PCS-30712g",[7]ARBOR!$A:$C,3,0)-1,4)))))</f>
        <v/>
      </c>
      <c r="CP9" s="65" t="str">
        <f>IF(ISERROR(IF(CO9="","",VLOOKUP(($BH9&amp;CO9&amp;"Template de desconto FLAT bundle - Velox XDSL - Varejo"),[7]BENEFICIOS!$A:$E,5,0))),"Criar",IF(CO9="","",VLOOKUP(($BH9&amp;CO9&amp;"Template de desconto FLAT bundle - Velox XDSL - Varejo"),[7]BENEFICIOS!$A:$E,5,0)))</f>
        <v/>
      </c>
      <c r="CQ9" s="68"/>
      <c r="CR9" s="69"/>
      <c r="CS9" s="64" t="str">
        <f>IF(CR9=0,"",IF(CR9=VLOOKUP("PCS-30739g",[7]ARBOR!$A:$C,3,0),0.0001,IF(CR9&gt;VLOOKUP("PCS-30739g",[7]ARBOR!$A:$C,3,0),"Maior que CAP!",IF((DOLLAR(CR9+(VLOOKUP("PCS-30739g",[7]ARBOR!$A:$C,3,0)*-TRUNC(CR9/VLOOKUP("PCS-30739g",[7]ARBOR!$A:$C,3,0)-1,4)),6))&lt;&gt;(DOLLAR(VLOOKUP("PCS-30739g",[7]ARBOR!$A:$C,3,0),6)),-TRUNC(CR9/VLOOKUP("PCS-30739g",[7]ARBOR!$A:$C,3,0)-1,4)+0.0001,-TRUNC(CR9/VLOOKUP("PCS-30739g",[7]ARBOR!$A:$C,3,0)-1,4)))))</f>
        <v/>
      </c>
      <c r="CT9" s="65" t="str">
        <f>IF(ISERROR(IF(CS9="","",VLOOKUP(($BH9&amp;CS9&amp;"Template de desconto FLAT bundle - Velox XDSL - Varejo"),[7]BENEFICIOS!$A:$E,5,0))),"Criar",IF(CS9="","",VLOOKUP(($BH9&amp;CS9&amp;"Template de desconto FLAT bundle - Velox XDSL - Varejo"),[7]BENEFICIOS!$A:$E,5,0)))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IF(CZ9=0,"",IF(CZ9=VLOOKUP("PCS-30766g",[7]ARBOR!$A:$C,3,0),0.0001,IF(CZ9&gt;VLOOKUP("PCS-30766g",[7]ARBOR!$A:$C,3,0),"Maior que CAP!",IF((DOLLAR(CZ9+(VLOOKUP("PCS-30766g",[7]ARBOR!$A:$C,3,0)*-TRUNC(CZ9/VLOOKUP("PCS-30766g",[7]ARBOR!$A:$C,3,0)-1,4)),6))&lt;&gt;(DOLLAR(VLOOKUP("PCS-30766g",[7]ARBOR!$A:$C,3,0),6)),-TRUNC(CZ9/VLOOKUP("PCS-30766g",[7]ARBOR!$A:$C,3,0)-1,4)+0.0001,-TRUNC(CZ9/VLOOKUP("PCS-30766g",[7]ARBOR!$A:$C,3,0)-1,4)))))</f>
        <v/>
      </c>
      <c r="DB9" s="65" t="str">
        <f>IF(ISERROR(IF(DA9="","",VLOOKUP(($BH9&amp;DA9&amp;"Template de desconto FLAT bundle - Velox XDSL - Varejo"),[7]BENEFICIOS!$A:$E,5,0))),"Criar",IF(DA9="","",VLOOKUP(($BH9&amp;DA9&amp;"Template de desconto FLAT bundle - Velox XDSL - Varejo"),[7]BENEFICIOS!$A:$E,5,0)))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IF(DH9=0,"",IF(DH9=VLOOKUP("PCS-30793g",[7]ARBOR!$A:$C,3,0),0.0001,IF(DH9&gt;VLOOKUP("PCS-30793g",[7]ARBOR!$A:$C,3,0),"Maior que CAP!",IF((DOLLAR(DH9+(VLOOKUP("PCS-30793g",[7]ARBOR!$A:$C,3,0)*-TRUNC(DH9/VLOOKUP("PCS-30793g",[7]ARBOR!$A:$C,3,0)-1,4)),6))&lt;&gt;(DOLLAR(VLOOKUP("PCS-30793g",[7]ARBOR!$A:$C,3,0),6)),-TRUNC(DH9/VLOOKUP("PCS-30793g",[7]ARBOR!$A:$C,3,0)-1,4)+0.0001,-TRUNC(DH9/VLOOKUP("PCS-30793g",[7]ARBOR!$A:$C,3,0)-1,4)))))</f>
        <v/>
      </c>
      <c r="DJ9" s="65" t="str">
        <f>IF(ISERROR(IF(DI9="","",VLOOKUP(($BH9&amp;DI9&amp;"Template de desconto FLAT bundle - Velox XDSL - Varejo"),[7]BENEFICIOS!$A:$E,5,0))),"Criar",IF(DI9="","",VLOOKUP(($BH9&amp;DI9&amp;"Template de desconto FLAT bundle - Velox XDSL - Varejo"),[7]BENEFICIOS!$A:$E,5,0)))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IF(DP9=0,"",IF(DP9=VLOOKUP("PCS-30820g",[7]ARBOR!$A:$C,3,0),0.0001,IF(DP9&gt;VLOOKUP("PCS-30820g",[7]ARBOR!$A:$C,3,0),"Maior que CAP!",IF((DOLLAR(DP9+(VLOOKUP("PCS-30820g",[7]ARBOR!$A:$C,3,0)*-TRUNC(DP9/VLOOKUP("PCS-30820g",[7]ARBOR!$A:$C,3,0)-1,4)),6))&lt;&gt;(DOLLAR(VLOOKUP("PCS-30820g",[7]ARBOR!$A:$C,3,0),6)),-TRUNC(DP9/VLOOKUP("PCS-30820g",[7]ARBOR!$A:$C,3,0)-1,4)+0.0001,-TRUNC(DP9/VLOOKUP("PCS-30820g",[7]ARBOR!$A:$C,3,0)-1,4)))))</f>
        <v/>
      </c>
      <c r="DR9" s="65" t="str">
        <f>IF(ISERROR(IF(DQ9="","",VLOOKUP(($BH9&amp;DQ9&amp;"Template de desconto FLAT bundle - Velox XDSL - Varejo"),[7]BENEFICIOS!$A:$E,5,0))),"Criar",IF(DQ9="","",VLOOKUP(($BH9&amp;DQ9&amp;"Template de desconto FLAT bundle - Velox XDSL - Varejo"),[7]BENEFICIOS!$A:$E,5,0)))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IF(DW9=0,"",IF(DW9=VLOOKUP("PCS-21448p2",[7]ARBOR!$A:$C,3,0),0.0001,IF(DW9&gt;VLOOKUP("PCS-21448p2",[7]ARBOR!$A:$C,3,0),"Maior que CAP!",IF((DOLLAR(DW9+(VLOOKUP("PCS-21448p2",[7]ARBOR!$A:$C,3,0)*-TRUNC(DW9/VLOOKUP("PCS-21448p2",[7]ARBOR!$A:$C,3,0)-1,4)),6))&lt;&gt;(DOLLAR(VLOOKUP("PCS-21448p2",[7]ARBOR!$A:$C,3,0),6)),-TRUNC(DW9/VLOOKUP("PCS-21448p2",[7]ARBOR!$A:$C,3,0)-1,4)+0.0001,-TRUNC(DW9/VLOOKUP("PCS-21448p2",[7]ARBOR!$A:$C,3,0)-1,4)))))</f>
        <v>0.64900000000000002</v>
      </c>
      <c r="DY9" s="65" t="str">
        <f>IF(ISERROR(IF(DX9="","",VLOOKUP(("Oi Conta Total Plug 10GB Downgrade"&amp;DX9&amp;"Template de desconto percentual BL Móvel - Internet Total - Varejo"),[7]BENEFICIOS!$A:$E,5,0))),"Criar",IF(DX9="","",VLOOKUP(("Oi Conta Total Plug 10GB Downgrade"&amp;DX9&amp;"Template de desconto percentual BL Móvel - Internet Total - Varejo"),[7]BENEFICIOS!$A:$E,5,0)))</f>
        <v>MKT-1-9825544790</v>
      </c>
      <c r="DZ9" s="71">
        <v>16.5</v>
      </c>
      <c r="EA9" s="72">
        <f>IF(DZ9=0,"",IF(DZ9=VLOOKUP("SVA",[7]ARBOR!$A:$C,3,0),0.0001,IF(DZ9&gt;VLOOKUP("SVA",[7]ARBOR!$A:$C,3,0),"Maior que CAP!",IF((DOLLAR(DZ9+(VLOOKUP("SVA",[7]ARBOR!$A:$C,3,0)*-TRUNC(DZ9/VLOOKUP("SVA",[7]ARBOR!$A:$C,3,0)-1,4)),6))&lt;&gt;(DOLLAR(VLOOKUP("SVA",[7]ARBOR!$A:$C,3,0),6)),-TRUNC(DZ9/VLOOKUP("SVA",[7]ARBOR!$A:$C,3,0)-1,4)+0.0001,-TRUNC(DZ9/VLOOKUP("SVA",[7]ARBOR!$A:$C,3,0)-1,4)))))</f>
        <v>0.2301</v>
      </c>
      <c r="EB9" s="65" t="s">
        <v>223</v>
      </c>
      <c r="EC9" s="69"/>
      <c r="ED9" s="73"/>
      <c r="EE9" s="74"/>
      <c r="EF9" s="65"/>
      <c r="EG9" s="75">
        <f>IF(BI9="","",VLOOKUP(BI9,[7]ARBOR!A:C,3,0))</f>
        <v>479.46</v>
      </c>
      <c r="EH9" s="69">
        <v>15</v>
      </c>
      <c r="EI9" s="76">
        <f>IF(EH9="","",1-(EH9/VLOOKUP(BI9&amp;"ASS",[7]ARBOR!A:C,3,0)))</f>
        <v>0.34725848563968664</v>
      </c>
      <c r="EJ9" s="77" t="s">
        <v>224</v>
      </c>
      <c r="EK9" s="78" t="s">
        <v>225</v>
      </c>
      <c r="EL9" s="69">
        <v>154.54999999999998</v>
      </c>
      <c r="EM9" s="64">
        <f>ROUND(IF(EL9=0,"",IF(EL9=EG9,0.0001,1-((EL9+(VLOOKUP(BI9&amp;"ASS",[7]ARBOR!A:C,3,0)-EH9))/EG9))),4)</f>
        <v>0.66100000000000003</v>
      </c>
      <c r="EN9" s="65" t="str">
        <f>IF(ISERROR(IF(EM9="","",VLOOKUP(($BH9&amp;EM9&amp;"Template de desconto percentual FLAT Móvel - Conta Total - Varejo - Ganho Tributário Cross"),[7]BENEFICIOS!$A:$E,5,0))),"Criar",IF(EM9="","",VLOOKUP(($BH9&amp;EM9&amp;"Template de desconto percentual FLAT Móvel - Conta Total - Varejo - Ganho Tributário Cross"),[7]BENEFICIOS!$A:$E,5,0)))</f>
        <v>Criar</v>
      </c>
      <c r="EO9" s="79"/>
      <c r="EP9" s="64"/>
      <c r="EQ9" s="72"/>
      <c r="ER9" s="72"/>
      <c r="ES9" s="64"/>
      <c r="ET9" s="80"/>
      <c r="EU9" s="81" t="s">
        <v>244</v>
      </c>
      <c r="EV9" s="81" t="s">
        <v>256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IF(FC9=0,"",IF(FC9=VLOOKUP("PCS-10357",[7]ARBOR!$A:$C,3,0),0.0001,IF(FC9&gt;VLOOKUP("PCS-10357",[7]ARBOR!$A:$C,3,0),"Maior que CAP!",ROUND(-1*(FC9/VLOOKUP("PCS-10357",[7]ARBOR!$A:$C,3,0)-1),4))))</f>
        <v/>
      </c>
      <c r="FE9" s="84" t="str">
        <f>IF(ISERROR(IF(FD9="","",VLOOKUP(("Oi Internet Pra Celular 1GB"&amp;FD9&amp;"Template Flat Instância Dados"),[7]BENEFICIOS!$A:$E,5,0))),"Criar",IF(FD9="","",VLOOKUP(("Oi Internet Pra Celular 1GB"&amp;FD9&amp;"Template Flat Instância Dados"),[7]BENEFICIOS!$A:$E,5,0)))</f>
        <v/>
      </c>
      <c r="FF9" s="82"/>
      <c r="FG9" s="83" t="str">
        <f>IF(FF9=0,"",IF(FF9=VLOOKUP("PCS-813565",[7]ARBOR!$A:$C,3,0),0.0001,IF(FF9&gt;VLOOKUP("PCS-813565",[7]ARBOR!$A:$C,3,0),"Maior que CAP!",ROUND(-1*(FF9/VLOOKUP("PCS-813565",[7]ARBOR!$A:$C,3,0)-1),4))))</f>
        <v/>
      </c>
      <c r="FH9" s="84" t="str">
        <f>IF(ISERROR(IF(FG9="","",VLOOKUP(("Oi Internet Pra Celular 2GB"&amp;FG9&amp;"Template Flat Instância Dados"),[7]BENEFICIOS!$A:$E,5,0))),"Criar",IF(FG9="","",VLOOKUP(("Oi Internet Pra Celular 2GB"&amp;FG9&amp;"Template Flat Instância Dados"),[7]BENEFICIOS!$A:$E,5,0)))</f>
        <v/>
      </c>
      <c r="FI9" s="82">
        <v>12.35</v>
      </c>
      <c r="FJ9" s="83">
        <f>IF(FI9=0,"",IF(FI9=VLOOKUP("PCS-7171B",[7]ARBOR!$A:$C,3,0),0.0001,IF(FI9&gt;VLOOKUP("PCS-7171B",[7]ARBOR!$A:$C,3,0),"Maior que CAP!",ROUND(-1*(FI9/VLOOKUP("PCS-7171B",[7]ARBOR!$A:$C,3,0)-1),4))))</f>
        <v>0.87419999999999998</v>
      </c>
      <c r="FK9" s="84" t="str">
        <f>IF(ISERROR(IF(FJ9="","",VLOOKUP(("Oi Internet Pra Celular 3GB"&amp;FJ9&amp;"Template Flat Instância Dados"),[7]BENEFICIOS!$A:$E,5,0))),"Criar",IF(FJ9="","",VLOOKUP(("Oi Internet Pra Celular 3GB"&amp;FJ9&amp;"Template Flat Instância Dados"),[7]BENEFICIOS!$A:$E,5,0)))</f>
        <v>MKT-1-9870092975</v>
      </c>
      <c r="FL9" s="82"/>
      <c r="FM9" s="83" t="str">
        <f>IF(FL9=0,"",IF(FL9=VLOOKUP("PCS-51793o08",[7]ARBOR!$A:$C,3,0),0.0001,IF(FL9&gt;VLOOKUP("PCS-51793o08",[7]ARBOR!$A:$C,3,0),"Maior que CAP!",ROUND(-1*(FL9/VLOOKUP("PCS-51793o08",[7]ARBOR!$A:$C,3,0)-1),4))))</f>
        <v/>
      </c>
      <c r="FN9" s="84" t="str">
        <f>IF(ISERROR(IF(FM9="","",VLOOKUP(("Oi Internet Pra Celular 5GB"&amp;FM9&amp;"Template Flat Instância Dados"),[7]BENEFICIOS!$A:$E,5,0))),"Criar",IF(FM9="","",VLOOKUP(("Oi Internet Pra Celular 5GB"&amp;FM9&amp;"Template Flat Instância Dados"),[7]BENEFICIOS!$A:$E,5,0)))</f>
        <v/>
      </c>
      <c r="FO9" s="82"/>
      <c r="FP9" s="83" t="str">
        <f>IF(FO9=0,"",IF(FO9=VLOOKUP("PCS-7171A",[7]ARBOR!$A:$C,3,0),0.0001,IF(FO9&gt;VLOOKUP("PCS-7171A",[7]ARBOR!$A:$C,3,0),"Maior que CAP!",ROUND(-1*(FO9/VLOOKUP("PCS-7171A",[7]ARBOR!$A:$C,3,0)-1),4))))</f>
        <v/>
      </c>
      <c r="FQ9" s="84" t="str">
        <f>IF(ISERROR(IF(FP9="","",VLOOKUP(("Oi Internet Pra Celular 10GB"&amp;FP9&amp;"Template Flat Instância Dados"),[7]BENEFICIOS!$A:$E,5,0))),"Criar",IF(FP9="","",VLOOKUP(("Oi Internet Pra Celular 10GB"&amp;FP9&amp;"Template Flat Instância Dados"),[7]BENEFICIOS!$A:$E,5,0)))</f>
        <v/>
      </c>
      <c r="FR9" s="85">
        <v>0.74219999999999997</v>
      </c>
      <c r="FS9" s="86" t="s">
        <v>246</v>
      </c>
      <c r="FT9" s="48"/>
      <c r="FU9" s="87"/>
      <c r="FV9" s="88" t="s">
        <v>221</v>
      </c>
      <c r="FW9" s="49" t="s">
        <v>226</v>
      </c>
      <c r="FX9" s="89">
        <v>999</v>
      </c>
      <c r="FY9" s="49">
        <v>12</v>
      </c>
      <c r="FZ9" s="90" t="s">
        <v>227</v>
      </c>
      <c r="GA9" s="91" t="str">
        <f t="shared" si="1"/>
        <v>PCS-Fk83324</v>
      </c>
      <c r="GB9" s="92" t="str">
        <f t="shared" si="2"/>
        <v>PCS-SBL553142</v>
      </c>
      <c r="GC9" s="93" t="s">
        <v>228</v>
      </c>
      <c r="GD9" s="90" t="s">
        <v>229</v>
      </c>
      <c r="GE9" s="92" t="s">
        <v>230</v>
      </c>
      <c r="GF9" s="93" t="s">
        <v>231</v>
      </c>
      <c r="GG9" s="90" t="s">
        <v>232</v>
      </c>
      <c r="GH9" s="92" t="s">
        <v>233</v>
      </c>
      <c r="GI9" s="94" t="s">
        <v>234</v>
      </c>
      <c r="GJ9" s="95">
        <f>FI9+EL9+DW9+BJ9</f>
        <v>261.89999999999998</v>
      </c>
      <c r="GK9" s="96"/>
      <c r="GL9" s="97" t="s">
        <v>235</v>
      </c>
      <c r="GM9" s="98" t="s">
        <v>236</v>
      </c>
      <c r="GN9" s="97">
        <f>VLOOKUP($A9,'[7]TABELA COM TUDO'!$A:$AB,25,0)</f>
        <v>14</v>
      </c>
      <c r="GO9" s="99">
        <f>VLOOKUP($A9,'[7]TABELA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257</v>
      </c>
      <c r="GX9" s="44" t="s">
        <v>238</v>
      </c>
    </row>
    <row r="10" spans="1:206" s="44" customFormat="1" x14ac:dyDescent="0.35">
      <c r="A10" s="44" t="str">
        <f t="shared" si="0"/>
        <v>Oi Total Fixo + Pós 800 + Banda LargaN13GBMG</v>
      </c>
      <c r="B10" s="45" t="s">
        <v>211</v>
      </c>
      <c r="C10" s="46" t="s">
        <v>127</v>
      </c>
      <c r="D10" s="46" t="s">
        <v>212</v>
      </c>
      <c r="E10" s="47" t="s">
        <v>213</v>
      </c>
      <c r="F10" s="48" t="s">
        <v>214</v>
      </c>
      <c r="G10" s="49"/>
      <c r="H10" s="49"/>
      <c r="I10" s="49"/>
      <c r="J10" s="49" t="s">
        <v>214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214</v>
      </c>
      <c r="AC10" s="49" t="s">
        <v>214</v>
      </c>
      <c r="AD10" s="49" t="s">
        <v>214</v>
      </c>
      <c r="AE10" s="49" t="s">
        <v>214</v>
      </c>
      <c r="AF10" s="49" t="s">
        <v>214</v>
      </c>
      <c r="AG10" s="49" t="s">
        <v>214</v>
      </c>
      <c r="AH10" s="50"/>
      <c r="AI10" s="49" t="s">
        <v>214</v>
      </c>
      <c r="AJ10" s="49" t="s">
        <v>214</v>
      </c>
      <c r="AK10" s="49" t="s">
        <v>214</v>
      </c>
      <c r="AL10" s="49" t="s">
        <v>214</v>
      </c>
      <c r="AM10" s="49" t="s">
        <v>214</v>
      </c>
      <c r="AN10" s="49" t="s">
        <v>214</v>
      </c>
      <c r="AO10" s="49" t="s">
        <v>214</v>
      </c>
      <c r="AP10" s="49"/>
      <c r="AQ10" s="51"/>
      <c r="AR10" s="52" t="s">
        <v>258</v>
      </c>
      <c r="AS10" s="46" t="s">
        <v>216</v>
      </c>
      <c r="AT10" s="53" t="s">
        <v>217</v>
      </c>
      <c r="AU10" s="54">
        <v>42972</v>
      </c>
      <c r="AV10" s="55">
        <v>43038</v>
      </c>
      <c r="AW10" s="56" t="s">
        <v>218</v>
      </c>
      <c r="AX10" s="57" t="s">
        <v>218</v>
      </c>
      <c r="AY10" s="58"/>
      <c r="AZ10" s="58" t="s">
        <v>219</v>
      </c>
      <c r="BA10" s="58">
        <v>20</v>
      </c>
      <c r="BB10" s="58">
        <v>10000</v>
      </c>
      <c r="BC10" s="59" t="s">
        <v>220</v>
      </c>
      <c r="BD10" s="60" t="s">
        <v>221</v>
      </c>
      <c r="BE10" s="58" t="s">
        <v>213</v>
      </c>
      <c r="BF10" s="51" t="s">
        <v>213</v>
      </c>
      <c r="BG10" s="45" t="s">
        <v>258</v>
      </c>
      <c r="BH10" s="61" t="s">
        <v>222</v>
      </c>
      <c r="BI10" s="62" t="str">
        <f>IF(ISERROR(VLOOKUP(BH10,[7]PLANOS!B:C,2,0)),"",VLOOKUP(BH10,[7]PLANOS!B:C,2,0))</f>
        <v>PCS-4P6pi</v>
      </c>
      <c r="BJ10" s="63">
        <v>50.1</v>
      </c>
      <c r="BK10" s="64">
        <f>IF(BJ10=0,"",IF(BJ10=VLOOKUP("FIXO",[7]ARBOR!$A:$C,3,0),0.0001,IF(BJ10&gt;VLOOKUP("FIXO",[7]ARBOR!$A:$C,3,0),"Maior que CAP!",IF((DOLLAR(BJ10+(VLOOKUP("FIXO",[7]ARBOR!$A:$C,3,0)*-TRUNC(BJ10/VLOOKUP("FIXO",[7]ARBOR!$A:$C,3,0)-1,4)),6))&lt;&gt;(DOLLAR(VLOOKUP("FIXO",[7]ARBOR!$A:$C,3,0),6)),-TRUNC(BJ10/VLOOKUP("FIXO",[7]ARBOR!$A:$C,3,0)-1,4)+0.0001,-TRUNC(BJ10/VLOOKUP("FIXO",[7]ARBOR!$A:$C,3,0)-1,4)))))</f>
        <v>0.33939999999999998</v>
      </c>
      <c r="BL10" s="65" t="str">
        <f>IF(ISERROR(IF(BK10="","",VLOOKUP(($BH10&amp;BK10&amp;"Template de desconto FLAT bundle - Fixo - Varejo - Ganho Tributário Cross"),[7]BENEFICIOS!$A:$E,5,0))),"Criar",IF(BK10="","",VLOOKUP(($BH10&amp;BK10&amp;"Template de desconto FLAT bundle - Fixo - Varejo - Ganho Tributário Cross"),[7]BENEFICIOS!$A:$E,5,0)))</f>
        <v>MKT-1-9856472058</v>
      </c>
      <c r="BM10" s="66"/>
      <c r="BN10" s="67"/>
      <c r="BO10" s="104" t="s">
        <v>240</v>
      </c>
      <c r="BP10" s="69">
        <v>44.9</v>
      </c>
      <c r="BQ10" s="64">
        <f>IF(BP10=0,"",IF(BP10=VLOOKUP("PCS-30874g",[7]ARBOR!$A:$C,3,0),0.0001,IF(BP10&gt;VLOOKUP("PCS-30874g",[7]ARBOR!$A:$C,3,0),"Maior que CAP!",IF((DOLLAR(BP10+(VLOOKUP("PCS-30874g",[7]ARBOR!$A:$C,3,0)*-TRUNC(BP10/VLOOKUP("PCS-30874g",[7]ARBOR!$A:$C,3,0)-1,4)),6))&lt;&gt;(DOLLAR(VLOOKUP("PCS-30874g",[7]ARBOR!$A:$C,3,0),6)),-TRUNC(BP10/VLOOKUP("PCS-30874g",[7]ARBOR!$A:$C,3,0)-1,4)+0.0001,-TRUNC(BP10/VLOOKUP("PCS-30874g",[7]ARBOR!$A:$C,3,0)-1,4)))))</f>
        <v>0.53679999999999994</v>
      </c>
      <c r="BR10" s="65" t="str">
        <f>IF(ISERROR(IF(BQ10="","",VLOOKUP(($BH10&amp;BQ10&amp;"Template de desconto FLAT bundle - Velox XDSL - Varejo"),[7]BENEFICIOS!$A:$E,5,0))),"Criar",IF(BQ10="","",VLOOKUP(($BH10&amp;BQ10&amp;"Template de desconto FLAT bundle - Velox XDSL - Varejo"),[7]BENEFICIOS!$A:$E,5,0)))</f>
        <v>MKT-1-9865126733</v>
      </c>
      <c r="BS10" s="104" t="s">
        <v>240</v>
      </c>
      <c r="BT10" s="69">
        <v>44.9</v>
      </c>
      <c r="BU10" s="64">
        <f>IF(BT10=0,"",IF(BT10=VLOOKUP("PCS-30577g",[7]ARBOR!$A:$C,3,0),0.0001,IF(BT10&gt;VLOOKUP("PCS-30577g",[7]ARBOR!$A:$C,3,0),"Maior que CAP!",IF((DOLLAR(BT10+(VLOOKUP("PCS-30577g",[7]ARBOR!$A:$C,3,0)*-TRUNC(BT10/VLOOKUP("PCS-30577g",[7]ARBOR!$A:$C,3,0)-1,4)),6))&lt;&gt;(DOLLAR(VLOOKUP("PCS-30577g",[7]ARBOR!$A:$C,3,0),6)),-TRUNC(BT10/VLOOKUP("PCS-30577g",[7]ARBOR!$A:$C,3,0)-1,4)+0.0001,-TRUNC(BT10/VLOOKUP("PCS-30577g",[7]ARBOR!$A:$C,3,0)-1,4)))))</f>
        <v>0.53679999999999994</v>
      </c>
      <c r="BV10" s="65" t="str">
        <f>IF(ISERROR(IF(BU10="","",VLOOKUP(($BH10&amp;BU10&amp;"Template de desconto FLAT bundle - Velox XDSL - Varejo"),[7]BENEFICIOS!$A:$E,5,0))),"Criar",IF(BU10="","",VLOOKUP(($BH10&amp;BU10&amp;"Template de desconto FLAT bundle - Velox XDSL - Varejo"),[7]BENEFICIOS!$A:$E,5,0)))</f>
        <v>MKT-1-9865126733</v>
      </c>
      <c r="BW10" s="104" t="s">
        <v>240</v>
      </c>
      <c r="BX10" s="69">
        <v>44.9</v>
      </c>
      <c r="BY10" s="64">
        <f>IF(BX10=0,"",IF(BX10=VLOOKUP("PCS-30604g",[7]ARBOR!$A:$C,3,0),0.0001,IF(BX10&gt;VLOOKUP("PCS-30604g",[7]ARBOR!$A:$C,3,0),"Maior que CAP!",IF((DOLLAR(BX10+(VLOOKUP("PCS-30604g",[7]ARBOR!$A:$C,3,0)*-TRUNC(BX10/VLOOKUP("PCS-30604g",[7]ARBOR!$A:$C,3,0)-1,4)),6))&lt;&gt;(DOLLAR(VLOOKUP("PCS-30604g",[7]ARBOR!$A:$C,3,0),6)),-TRUNC(BX10/VLOOKUP("PCS-30604g",[7]ARBOR!$A:$C,3,0)-1,4)+0.0001,-TRUNC(BX10/VLOOKUP("PCS-30604g",[7]ARBOR!$A:$C,3,0)-1,4)))))</f>
        <v>0.53679999999999994</v>
      </c>
      <c r="BZ10" s="65" t="str">
        <f>IF(ISERROR(IF(BY10="","",VLOOKUP(($BH10&amp;BY10&amp;"Template de desconto FLAT bundle - Velox XDSL - Varejo"),[7]BENEFICIOS!$A:$E,5,0))),"Criar",IF(BY10="","",VLOOKUP(($BH10&amp;BY10&amp;"Template de desconto FLAT bundle - Velox XDSL - Varejo"),[7]BENEFICIOS!$A:$E,5,0)))</f>
        <v>MKT-1-9865126733</v>
      </c>
      <c r="CA10" s="104" t="s">
        <v>240</v>
      </c>
      <c r="CB10" s="69">
        <v>44.9</v>
      </c>
      <c r="CC10" s="64">
        <f>IF(CB10=0,"",IF(CB10=VLOOKUP("PCS-30631g",[7]ARBOR!$A:$C,3,0),0.0001,IF(CB10&gt;VLOOKUP("PCS-30631g",[7]ARBOR!$A:$C,3,0),"Maior que CAP!",IF((DOLLAR(CB10+(VLOOKUP("PCS-30631g",[7]ARBOR!$A:$C,3,0)*-TRUNC(CB10/VLOOKUP("PCS-30631g",[7]ARBOR!$A:$C,3,0)-1,4)),6))&lt;&gt;(DOLLAR(VLOOKUP("PCS-30631g",[7]ARBOR!$A:$C,3,0),6)),-TRUNC(CB10/VLOOKUP("PCS-30631g",[7]ARBOR!$A:$C,3,0)-1,4)+0.0001,-TRUNC(CB10/VLOOKUP("PCS-30631g",[7]ARBOR!$A:$C,3,0)-1,4)))))</f>
        <v>0.54310000000000003</v>
      </c>
      <c r="CD10" s="65" t="str">
        <f>IF(ISERROR(IF(CC10="","",VLOOKUP(($BH10&amp;CC10&amp;"Template de desconto FLAT bundle - Velox XDSL - Varejo"),[7]BENEFICIOS!$A:$E,5,0))),"Criar",IF(CC10="","",VLOOKUP(($BH10&amp;CC10&amp;"Template de desconto FLAT bundle - Velox XDSL - Varejo"),[7]BENEFICIOS!$A:$E,5,0)))</f>
        <v>MKT-1-9865126826</v>
      </c>
      <c r="CE10" s="68" t="s">
        <v>161</v>
      </c>
      <c r="CF10" s="69">
        <v>49.9</v>
      </c>
      <c r="CG10" s="64">
        <f>IF(CF10=0,"",IF(CF10=VLOOKUP("PCS-30658g",[7]ARBOR!$A:$C,3,0),0.0001,IF(CF10&gt;VLOOKUP("PCS-30658g",[7]ARBOR!$A:$C,3,0),"Maior que CAP!",IF((DOLLAR(CF10+(VLOOKUP("PCS-30658g",[7]ARBOR!$A:$C,3,0)*-TRUNC(CF10/VLOOKUP("PCS-30658g",[7]ARBOR!$A:$C,3,0)-1,4)),6))&lt;&gt;(DOLLAR(VLOOKUP("PCS-30658g",[7]ARBOR!$A:$C,3,0),6)),-TRUNC(CF10/VLOOKUP("PCS-30658g",[7]ARBOR!$A:$C,3,0)-1,4)+0.0001,-TRUNC(CF10/VLOOKUP("PCS-30658g",[7]ARBOR!$A:$C,3,0)-1,4)))))</f>
        <v>0.55569999999999997</v>
      </c>
      <c r="CH10" s="65" t="str">
        <f>IF(ISERROR(IF(CG10="","",VLOOKUP(($BH10&amp;CG10&amp;"Template de desconto FLAT bundle - Velox XDSL - Varejo"),[7]BENEFICIOS!$A:$E,5,0))),"Criar",IF(CG10="","",VLOOKUP(($BH10&amp;CG10&amp;"Template de desconto FLAT bundle - Velox XDSL - Varejo"),[7]BENEFICIOS!$A:$E,5,0)))</f>
        <v>MKT-1-9865126919</v>
      </c>
      <c r="CI10" s="68" t="s">
        <v>161</v>
      </c>
      <c r="CJ10" s="69">
        <v>49.9</v>
      </c>
      <c r="CK10" s="64">
        <f>IF(CJ10=0,"",IF(CJ10=VLOOKUP("PCS-30685g",[7]ARBOR!$A:$C,3,0),0.0001,IF(CJ10&gt;VLOOKUP("PCS-30685g",[7]ARBOR!$A:$C,3,0),"Maior que CAP!",IF((DOLLAR(CJ10+(VLOOKUP("PCS-30685g",[7]ARBOR!$A:$C,3,0)*-TRUNC(CJ10/VLOOKUP("PCS-30685g",[7]ARBOR!$A:$C,3,0)-1,4)),6))&lt;&gt;(DOLLAR(VLOOKUP("PCS-30685g",[7]ARBOR!$A:$C,3,0),6)),-TRUNC(CJ10/VLOOKUP("PCS-30685g",[7]ARBOR!$A:$C,3,0)-1,4)+0.0001,-TRUNC(CJ10/VLOOKUP("PCS-30685g",[7]ARBOR!$A:$C,3,0)-1,4)))))</f>
        <v>0.60509999999999997</v>
      </c>
      <c r="CL10" s="65" t="str">
        <f>IF(ISERROR(IF(CK10="","",VLOOKUP(($BH10&amp;CK10&amp;"Template de desconto FLAT bundle - Velox XDSL - Varejo"),[7]BENEFICIOS!$A:$E,5,0))),"Criar",IF(CK10="","",VLOOKUP(($BH10&amp;CK10&amp;"Template de desconto FLAT bundle - Velox XDSL - Varejo"),[7]BENEFICIOS!$A:$E,5,0)))</f>
        <v>MKT-1-9865694381</v>
      </c>
      <c r="CM10" s="68" t="s">
        <v>161</v>
      </c>
      <c r="CN10" s="69">
        <v>49.9</v>
      </c>
      <c r="CO10" s="64">
        <f>IF(CN10=0,"",IF(CN10=VLOOKUP("PCS-30712g",[7]ARBOR!$A:$C,3,0),0.0001,IF(CN10&gt;VLOOKUP("PCS-30712g",[7]ARBOR!$A:$C,3,0),"Maior que CAP!",IF((DOLLAR(CN10+(VLOOKUP("PCS-30712g",[7]ARBOR!$A:$C,3,0)*-TRUNC(CN10/VLOOKUP("PCS-30712g",[7]ARBOR!$A:$C,3,0)-1,4)),6))&lt;&gt;(DOLLAR(VLOOKUP("PCS-30712g",[7]ARBOR!$A:$C,3,0),6)),-TRUNC(CN10/VLOOKUP("PCS-30712g",[7]ARBOR!$A:$C,3,0)-1,4)+0.0001,-TRUNC(CN10/VLOOKUP("PCS-30712g",[7]ARBOR!$A:$C,3,0)-1,4)))))</f>
        <v>0.64459999999999995</v>
      </c>
      <c r="CP10" s="65" t="str">
        <f>IF(ISERROR(IF(CO10="","",VLOOKUP(($BH10&amp;CO10&amp;"Template de desconto FLAT bundle - Velox XDSL - Varejo"),[7]BENEFICIOS!$A:$E,5,0))),"Criar",IF(CO10="","",VLOOKUP(($BH10&amp;CO10&amp;"Template de desconto FLAT bundle - Velox XDSL - Varejo"),[7]BENEFICIOS!$A:$E,5,0)))</f>
        <v>MKT-1-9865191105</v>
      </c>
      <c r="CQ10" s="68" t="s">
        <v>161</v>
      </c>
      <c r="CR10" s="69">
        <v>59.9</v>
      </c>
      <c r="CS10" s="64">
        <f>IF(CR10=0,"",IF(CR10=VLOOKUP("PCS-30739g",[7]ARBOR!$A:$C,3,0),0.0001,IF(CR10&gt;VLOOKUP("PCS-30739g",[7]ARBOR!$A:$C,3,0),"Maior que CAP!",IF((DOLLAR(CR10+(VLOOKUP("PCS-30739g",[7]ARBOR!$A:$C,3,0)*-TRUNC(CR10/VLOOKUP("PCS-30739g",[7]ARBOR!$A:$C,3,0)-1,4)),6))&lt;&gt;(DOLLAR(VLOOKUP("PCS-30739g",[7]ARBOR!$A:$C,3,0),6)),-TRUNC(CR10/VLOOKUP("PCS-30739g",[7]ARBOR!$A:$C,3,0)-1,4)+0.0001,-TRUNC(CR10/VLOOKUP("PCS-30739g",[7]ARBOR!$A:$C,3,0)-1,4)))))</f>
        <v>0.71560000000000001</v>
      </c>
      <c r="CT10" s="65" t="str">
        <f>IF(ISERROR(IF(CS10="","",VLOOKUP(($BH10&amp;CS10&amp;"Template de desconto FLAT bundle - Velox XDSL - Varejo"),[7]BENEFICIOS!$A:$E,5,0))),"Criar",IF(CS10="","",VLOOKUP(($BH10&amp;CS10&amp;"Template de desconto FLAT bundle - Velox XDSL - Varejo"),[7]BENEFICIOS!$A:$E,5,0)))</f>
        <v>MKT-1-9865191198</v>
      </c>
      <c r="CU10" s="69"/>
      <c r="CV10" s="70"/>
      <c r="CW10" s="64"/>
      <c r="CX10" s="65"/>
      <c r="CY10" s="68" t="s">
        <v>161</v>
      </c>
      <c r="CZ10" s="69">
        <v>59.9</v>
      </c>
      <c r="DA10" s="64">
        <f>IF(CZ10=0,"",IF(CZ10=VLOOKUP("PCS-30766g",[7]ARBOR!$A:$C,3,0),0.0001,IF(CZ10&gt;VLOOKUP("PCS-30766g",[7]ARBOR!$A:$C,3,0),"Maior que CAP!",IF((DOLLAR(CZ10+(VLOOKUP("PCS-30766g",[7]ARBOR!$A:$C,3,0)*-TRUNC(CZ10/VLOOKUP("PCS-30766g",[7]ARBOR!$A:$C,3,0)-1,4)),6))&lt;&gt;(DOLLAR(VLOOKUP("PCS-30766g",[7]ARBOR!$A:$C,3,0),6)),-TRUNC(CZ10/VLOOKUP("PCS-30766g",[7]ARBOR!$A:$C,3,0)-1,4)+0.0001,-TRUNC(CZ10/VLOOKUP("PCS-30766g",[7]ARBOR!$A:$C,3,0)-1,4)))))</f>
        <v>0.78669999999999995</v>
      </c>
      <c r="DB10" s="65" t="str">
        <f>IF(ISERROR(IF(DA10="","",VLOOKUP(($BH10&amp;DA10&amp;"Template de desconto FLAT bundle - Velox XDSL - Varejo"),[7]BENEFICIOS!$A:$E,5,0))),"Criar",IF(DA10="","",VLOOKUP(($BH10&amp;DA10&amp;"Template de desconto FLAT bundle - Velox XDSL - Varejo"),[7]BENEFICIOS!$A:$E,5,0)))</f>
        <v>MKT-1-9865191291</v>
      </c>
      <c r="DC10" s="69"/>
      <c r="DD10" s="70"/>
      <c r="DE10" s="64"/>
      <c r="DF10" s="65"/>
      <c r="DG10" s="68" t="s">
        <v>240</v>
      </c>
      <c r="DH10" s="69">
        <v>69.900000000000006</v>
      </c>
      <c r="DI10" s="64">
        <f>IF(DH10=0,"",IF(DH10=VLOOKUP("PCS-30793g",[7]ARBOR!$A:$C,3,0),0.0001,IF(DH10&gt;VLOOKUP("PCS-30793g",[7]ARBOR!$A:$C,3,0),"Maior que CAP!",IF((DOLLAR(DH10+(VLOOKUP("PCS-30793g",[7]ARBOR!$A:$C,3,0)*-TRUNC(DH10/VLOOKUP("PCS-30793g",[7]ARBOR!$A:$C,3,0)-1,4)),6))&lt;&gt;(DOLLAR(VLOOKUP("PCS-30793g",[7]ARBOR!$A:$C,3,0),6)),-TRUNC(DH10/VLOOKUP("PCS-30793g",[7]ARBOR!$A:$C,3,0)-1,4)+0.0001,-TRUNC(DH10/VLOOKUP("PCS-30793g",[7]ARBOR!$A:$C,3,0)-1,4)))))</f>
        <v>0.75109999999999999</v>
      </c>
      <c r="DJ10" s="65" t="str">
        <f>IF(ISERROR(IF(DI10="","",VLOOKUP(($BH10&amp;DI10&amp;"Template de desconto FLAT bundle - Velox XDSL - Varejo"),[7]BENEFICIOS!$A:$E,5,0))),"Criar",IF(DI10="","",VLOOKUP(($BH10&amp;DI10&amp;"Template de desconto FLAT bundle - Velox XDSL - Varejo"),[7]BENEFICIOS!$A:$E,5,0)))</f>
        <v>MKT-1-9865191384</v>
      </c>
      <c r="DK10" s="69"/>
      <c r="DL10" s="70"/>
      <c r="DM10" s="64"/>
      <c r="DN10" s="65"/>
      <c r="DO10" s="68" t="s">
        <v>161</v>
      </c>
      <c r="DP10" s="69">
        <v>69.900000000000006</v>
      </c>
      <c r="DQ10" s="64">
        <f>IF(DP10=0,"",IF(DP10=VLOOKUP("PCS-30820g",[7]ARBOR!$A:$C,3,0),0.0001,IF(DP10&gt;VLOOKUP("PCS-30820g",[7]ARBOR!$A:$C,3,0),"Maior que CAP!",IF((DOLLAR(DP10+(VLOOKUP("PCS-30820g",[7]ARBOR!$A:$C,3,0)*-TRUNC(DP10/VLOOKUP("PCS-30820g",[7]ARBOR!$A:$C,3,0)-1,4)),6))&lt;&gt;(DOLLAR(VLOOKUP("PCS-30820g",[7]ARBOR!$A:$C,3,0),6)),-TRUNC(DP10/VLOOKUP("PCS-30820g",[7]ARBOR!$A:$C,3,0)-1,4)+0.0001,-TRUNC(DP10/VLOOKUP("PCS-30820g",[7]ARBOR!$A:$C,3,0)-1,4)))))</f>
        <v>0.75109999999999999</v>
      </c>
      <c r="DR10" s="65" t="str">
        <f>IF(ISERROR(IF(DQ10="","",VLOOKUP(($BH10&amp;DQ10&amp;"Template de desconto FLAT bundle - Velox XDSL - Varejo"),[7]BENEFICIOS!$A:$E,5,0))),"Criar",IF(DQ10="","",VLOOKUP(($BH10&amp;DQ10&amp;"Template de desconto FLAT bundle - Velox XDSL - Varejo"),[7]BENEFICIOS!$A:$E,5,0)))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IF(DW10=0,"",IF(DW10=VLOOKUP("PCS-21448p2",[7]ARBOR!$A:$C,3,0),0.0001,IF(DW10&gt;VLOOKUP("PCS-21448p2",[7]ARBOR!$A:$C,3,0),"Maior que CAP!",IF((DOLLAR(DW10+(VLOOKUP("PCS-21448p2",[7]ARBOR!$A:$C,3,0)*-TRUNC(DW10/VLOOKUP("PCS-21448p2",[7]ARBOR!$A:$C,3,0)-1,4)),6))&lt;&gt;(DOLLAR(VLOOKUP("PCS-21448p2",[7]ARBOR!$A:$C,3,0),6)),-TRUNC(DW10/VLOOKUP("PCS-21448p2",[7]ARBOR!$A:$C,3,0)-1,4)+0.0001,-TRUNC(DW10/VLOOKUP("PCS-21448p2",[7]ARBOR!$A:$C,3,0)-1,4)))))</f>
        <v/>
      </c>
      <c r="DY10" s="65" t="str">
        <f>IF(ISERROR(IF(DX10="","",VLOOKUP(("Oi Conta Total Plug 10GB Downgrade"&amp;DX10&amp;"Template de desconto percentual BL Móvel - Internet Total - Varejo"),[7]BENEFICIOS!$A:$E,5,0))),"Criar",IF(DX10="","",VLOOKUP(("Oi Conta Total Plug 10GB Downgrade"&amp;DX10&amp;"Template de desconto percentual BL Móvel - Internet Total - Varejo"),[7]BENEFICIOS!$A:$E,5,0)))</f>
        <v/>
      </c>
      <c r="DZ10" s="71">
        <v>19.899999999999999</v>
      </c>
      <c r="EA10" s="72">
        <f>IF(DZ10=0,"",IF(DZ10=VLOOKUP("SVA",[7]ARBOR!$A:$C,3,0),0.0001,IF(DZ10&gt;VLOOKUP("SVA",[7]ARBOR!$A:$C,3,0),"Maior que CAP!",IF((DOLLAR(DZ10+(VLOOKUP("SVA",[7]ARBOR!$A:$C,3,0)*-TRUNC(DZ10/VLOOKUP("SVA",[7]ARBOR!$A:$C,3,0)-1,4)),6))&lt;&gt;(DOLLAR(VLOOKUP("SVA",[7]ARBOR!$A:$C,3,0),6)),-TRUNC(DZ10/VLOOKUP("SVA",[7]ARBOR!$A:$C,3,0)-1,4)+0.0001,-TRUNC(DZ10/VLOOKUP("SVA",[7]ARBOR!$A:$C,3,0)-1,4)))))</f>
        <v>7.1400000000000005E-2</v>
      </c>
      <c r="EB10" s="65" t="s">
        <v>241</v>
      </c>
      <c r="EC10" s="69"/>
      <c r="ED10" s="73"/>
      <c r="EE10" s="74"/>
      <c r="EF10" s="65"/>
      <c r="EG10" s="75">
        <f>IF(BI10="","",VLOOKUP(BI10,[7]ARBOR!A:C,3,0))</f>
        <v>479.46</v>
      </c>
      <c r="EH10" s="69">
        <v>15</v>
      </c>
      <c r="EI10" s="76">
        <f>IF(EH10="","",1-(EH10/VLOOKUP(BI10&amp;"ASS",[7]ARBOR!A:C,3,0)))</f>
        <v>0.34725848563968664</v>
      </c>
      <c r="EJ10" s="77" t="s">
        <v>224</v>
      </c>
      <c r="EK10" s="78" t="s">
        <v>225</v>
      </c>
      <c r="EL10" s="69">
        <v>154.54999999999998</v>
      </c>
      <c r="EM10" s="64">
        <f>ROUND(IF(EL10=0,"",IF(EL10=EG10,0.0001,1-((EL10+(VLOOKUP(BI10&amp;"ASS",[7]ARBOR!A:C,3,0)-EH10))/EG10))),4)</f>
        <v>0.66100000000000003</v>
      </c>
      <c r="EN10" s="65" t="str">
        <f>IF(ISERROR(IF(EM10="","",VLOOKUP(($BH10&amp;EM10&amp;"Template de desconto percentual FLAT Móvel - Conta Total - Varejo - Ganho Tributário Cross"),[7]BENEFICIOS!$A:$E,5,0))),"Criar",IF(EM10="","",VLOOKUP(($BH10&amp;EM10&amp;"Template de desconto percentual FLAT Móvel - Conta Total - Varejo - Ganho Tributário Cross"),[7]BENEFICIOS!$A:$E,5,0)))</f>
        <v>Criar</v>
      </c>
      <c r="EO10" s="79"/>
      <c r="EP10" s="64"/>
      <c r="EQ10" s="72"/>
      <c r="ER10" s="72"/>
      <c r="ES10" s="64"/>
      <c r="ET10" s="80"/>
      <c r="EU10" s="81" t="s">
        <v>244</v>
      </c>
      <c r="EV10" s="81" t="s">
        <v>256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IF(FC10=0,"",IF(FC10=VLOOKUP("PCS-10357",[7]ARBOR!$A:$C,3,0),0.0001,IF(FC10&gt;VLOOKUP("PCS-10357",[7]ARBOR!$A:$C,3,0),"Maior que CAP!",ROUND(-1*(FC10/VLOOKUP("PCS-10357",[7]ARBOR!$A:$C,3,0)-1),4))))</f>
        <v/>
      </c>
      <c r="FE10" s="84" t="str">
        <f>IF(ISERROR(IF(FD10="","",VLOOKUP(("Oi Internet Pra Celular 1GB"&amp;FD10&amp;"Template Flat Instância Dados"),[7]BENEFICIOS!$A:$E,5,0))),"Criar",IF(FD10="","",VLOOKUP(("Oi Internet Pra Celular 1GB"&amp;FD10&amp;"Template Flat Instância Dados"),[7]BENEFICIOS!$A:$E,5,0)))</f>
        <v/>
      </c>
      <c r="FF10" s="82"/>
      <c r="FG10" s="83" t="str">
        <f>IF(FF10=0,"",IF(FF10=VLOOKUP("PCS-813565",[7]ARBOR!$A:$C,3,0),0.0001,IF(FF10&gt;VLOOKUP("PCS-813565",[7]ARBOR!$A:$C,3,0),"Maior que CAP!",ROUND(-1*(FF10/VLOOKUP("PCS-813565",[7]ARBOR!$A:$C,3,0)-1),4))))</f>
        <v/>
      </c>
      <c r="FH10" s="84" t="str">
        <f>IF(ISERROR(IF(FG10="","",VLOOKUP(("Oi Internet Pra Celular 2GB"&amp;FG10&amp;"Template Flat Instância Dados"),[7]BENEFICIOS!$A:$E,5,0))),"Criar",IF(FG10="","",VLOOKUP(("Oi Internet Pra Celular 2GB"&amp;FG10&amp;"Template Flat Instância Dados"),[7]BENEFICIOS!$A:$E,5,0)))</f>
        <v/>
      </c>
      <c r="FI10" s="82">
        <v>12.35</v>
      </c>
      <c r="FJ10" s="83">
        <f>IF(FI10=0,"",IF(FI10=VLOOKUP("PCS-7171B",[7]ARBOR!$A:$C,3,0),0.0001,IF(FI10&gt;VLOOKUP("PCS-7171B",[7]ARBOR!$A:$C,3,0),"Maior que CAP!",ROUND(-1*(FI10/VLOOKUP("PCS-7171B",[7]ARBOR!$A:$C,3,0)-1),4))))</f>
        <v>0.87419999999999998</v>
      </c>
      <c r="FK10" s="84" t="str">
        <f>IF(ISERROR(IF(FJ10="","",VLOOKUP(("Oi Internet Pra Celular 3GB"&amp;FJ10&amp;"Template Flat Instância Dados"),[7]BENEFICIOS!$A:$E,5,0))),"Criar",IF(FJ10="","",VLOOKUP(("Oi Internet Pra Celular 3GB"&amp;FJ10&amp;"Template Flat Instância Dados"),[7]BENEFICIOS!$A:$E,5,0)))</f>
        <v>MKT-1-9870092975</v>
      </c>
      <c r="FL10" s="82"/>
      <c r="FM10" s="83" t="str">
        <f>IF(FL10=0,"",IF(FL10=VLOOKUP("PCS-51793o08",[7]ARBOR!$A:$C,3,0),0.0001,IF(FL10&gt;VLOOKUP("PCS-51793o08",[7]ARBOR!$A:$C,3,0),"Maior que CAP!",ROUND(-1*(FL10/VLOOKUP("PCS-51793o08",[7]ARBOR!$A:$C,3,0)-1),4))))</f>
        <v/>
      </c>
      <c r="FN10" s="84" t="str">
        <f>IF(ISERROR(IF(FM10="","",VLOOKUP(("Oi Internet Pra Celular 5GB"&amp;FM10&amp;"Template Flat Instância Dados"),[7]BENEFICIOS!$A:$E,5,0))),"Criar",IF(FM10="","",VLOOKUP(("Oi Internet Pra Celular 5GB"&amp;FM10&amp;"Template Flat Instância Dados"),[7]BENEFICIOS!$A:$E,5,0)))</f>
        <v/>
      </c>
      <c r="FO10" s="82"/>
      <c r="FP10" s="83" t="str">
        <f>IF(FO10=0,"",IF(FO10=VLOOKUP("PCS-7171A",[7]ARBOR!$A:$C,3,0),0.0001,IF(FO10&gt;VLOOKUP("PCS-7171A",[7]ARBOR!$A:$C,3,0),"Maior que CAP!",ROUND(-1*(FO10/VLOOKUP("PCS-7171A",[7]ARBOR!$A:$C,3,0)-1),4))))</f>
        <v/>
      </c>
      <c r="FQ10" s="84" t="str">
        <f>IF(ISERROR(IF(FP10="","",VLOOKUP(("Oi Internet Pra Celular 10GB"&amp;FP10&amp;"Template Flat Instância Dados"),[7]BENEFICIOS!$A:$E,5,0))),"Criar",IF(FP10="","",VLOOKUP(("Oi Internet Pra Celular 10GB"&amp;FP10&amp;"Template Flat Instância Dados"),[7]BENEFICIOS!$A:$E,5,0)))</f>
        <v/>
      </c>
      <c r="FR10" s="85">
        <v>0.74219999999999997</v>
      </c>
      <c r="FS10" s="86" t="s">
        <v>246</v>
      </c>
      <c r="FT10" s="48"/>
      <c r="FU10" s="87"/>
      <c r="FV10" s="88" t="s">
        <v>221</v>
      </c>
      <c r="FW10" s="49" t="s">
        <v>226</v>
      </c>
      <c r="FX10" s="89">
        <v>999</v>
      </c>
      <c r="FY10" s="49">
        <v>12</v>
      </c>
      <c r="FZ10" s="90" t="s">
        <v>227</v>
      </c>
      <c r="GA10" s="91" t="str">
        <f t="shared" si="1"/>
        <v>PCS-Fk83324</v>
      </c>
      <c r="GB10" s="92" t="str">
        <f t="shared" si="2"/>
        <v>PCS-SBL553142</v>
      </c>
      <c r="GC10" s="93" t="s">
        <v>228</v>
      </c>
      <c r="GD10" s="90" t="s">
        <v>229</v>
      </c>
      <c r="GE10" s="92" t="s">
        <v>230</v>
      </c>
      <c r="GF10" s="93" t="s">
        <v>231</v>
      </c>
      <c r="GG10" s="90" t="s">
        <v>232</v>
      </c>
      <c r="GH10" s="92" t="s">
        <v>233</v>
      </c>
      <c r="GI10" s="94" t="s">
        <v>234</v>
      </c>
      <c r="GJ10" s="95">
        <f>FI10+EL10+CN10+BJ10</f>
        <v>266.89999999999998</v>
      </c>
      <c r="GK10" s="96"/>
      <c r="GL10" s="97" t="s">
        <v>235</v>
      </c>
      <c r="GM10" s="98" t="s">
        <v>236</v>
      </c>
      <c r="GN10" s="97">
        <f>VLOOKUP($A10,'[7]TABELA COM TUDO'!$A:$AB,25,0)</f>
        <v>14</v>
      </c>
      <c r="GO10" s="99">
        <f>VLOOKUP($A10,'[7]TABELA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259</v>
      </c>
      <c r="GX10" s="44" t="s">
        <v>238</v>
      </c>
    </row>
    <row r="11" spans="1:206" s="44" customFormat="1" x14ac:dyDescent="0.35">
      <c r="A11" s="44" t="str">
        <f t="shared" si="0"/>
        <v>Oi Total Fixo + Pós 800 + Banda LargaN15GBMG</v>
      </c>
      <c r="B11" s="45" t="s">
        <v>211</v>
      </c>
      <c r="C11" s="46" t="s">
        <v>127</v>
      </c>
      <c r="D11" s="46" t="s">
        <v>212</v>
      </c>
      <c r="E11" s="47" t="s">
        <v>213</v>
      </c>
      <c r="F11" s="48" t="s">
        <v>214</v>
      </c>
      <c r="G11" s="49"/>
      <c r="H11" s="49"/>
      <c r="I11" s="49"/>
      <c r="J11" s="49" t="s">
        <v>214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214</v>
      </c>
      <c r="AC11" s="49" t="s">
        <v>214</v>
      </c>
      <c r="AD11" s="49" t="s">
        <v>214</v>
      </c>
      <c r="AE11" s="49" t="s">
        <v>214</v>
      </c>
      <c r="AF11" s="49" t="s">
        <v>214</v>
      </c>
      <c r="AG11" s="49" t="s">
        <v>214</v>
      </c>
      <c r="AH11" s="50"/>
      <c r="AI11" s="49" t="s">
        <v>214</v>
      </c>
      <c r="AJ11" s="49" t="s">
        <v>214</v>
      </c>
      <c r="AK11" s="49" t="s">
        <v>214</v>
      </c>
      <c r="AL11" s="49" t="s">
        <v>214</v>
      </c>
      <c r="AM11" s="49" t="s">
        <v>214</v>
      </c>
      <c r="AN11" s="49" t="s">
        <v>214</v>
      </c>
      <c r="AO11" s="49" t="s">
        <v>214</v>
      </c>
      <c r="AP11" s="49"/>
      <c r="AQ11" s="51"/>
      <c r="AR11" s="52" t="s">
        <v>260</v>
      </c>
      <c r="AS11" s="46" t="s">
        <v>216</v>
      </c>
      <c r="AT11" s="53" t="s">
        <v>217</v>
      </c>
      <c r="AU11" s="54">
        <v>42972</v>
      </c>
      <c r="AV11" s="55">
        <v>43038</v>
      </c>
      <c r="AW11" s="56" t="s">
        <v>218</v>
      </c>
      <c r="AX11" s="57" t="s">
        <v>218</v>
      </c>
      <c r="AY11" s="58"/>
      <c r="AZ11" s="58" t="s">
        <v>219</v>
      </c>
      <c r="BA11" s="58">
        <v>20</v>
      </c>
      <c r="BB11" s="58">
        <v>10000</v>
      </c>
      <c r="BC11" s="59" t="s">
        <v>220</v>
      </c>
      <c r="BD11" s="60" t="s">
        <v>221</v>
      </c>
      <c r="BE11" s="58" t="s">
        <v>213</v>
      </c>
      <c r="BF11" s="51" t="s">
        <v>213</v>
      </c>
      <c r="BG11" s="45" t="s">
        <v>260</v>
      </c>
      <c r="BH11" s="61" t="s">
        <v>222</v>
      </c>
      <c r="BI11" s="62" t="str">
        <f>IF(ISERROR(VLOOKUP(BH11,[7]PLANOS!B:C,2,0)),"",VLOOKUP(BH11,[7]PLANOS!B:C,2,0))</f>
        <v>PCS-4P6pi</v>
      </c>
      <c r="BJ11" s="63">
        <v>50.1</v>
      </c>
      <c r="BK11" s="64">
        <f>IF(BJ11=0,"",IF(BJ11=VLOOKUP("FIXO",[7]ARBOR!$A:$C,3,0),0.0001,IF(BJ11&gt;VLOOKUP("FIXO",[7]ARBOR!$A:$C,3,0),"Maior que CAP!",IF((DOLLAR(BJ11+(VLOOKUP("FIXO",[7]ARBOR!$A:$C,3,0)*-TRUNC(BJ11/VLOOKUP("FIXO",[7]ARBOR!$A:$C,3,0)-1,4)),6))&lt;&gt;(DOLLAR(VLOOKUP("FIXO",[7]ARBOR!$A:$C,3,0),6)),-TRUNC(BJ11/VLOOKUP("FIXO",[7]ARBOR!$A:$C,3,0)-1,4)+0.0001,-TRUNC(BJ11/VLOOKUP("FIXO",[7]ARBOR!$A:$C,3,0)-1,4)))))</f>
        <v>0.33939999999999998</v>
      </c>
      <c r="BL11" s="65" t="str">
        <f>IF(ISERROR(IF(BK11="","",VLOOKUP(($BH11&amp;BK11&amp;"Template de desconto FLAT bundle - Fixo - Varejo - Ganho Tributário Cross"),[7]BENEFICIOS!$A:$E,5,0))),"Criar",IF(BK11="","",VLOOKUP(($BH11&amp;BK11&amp;"Template de desconto FLAT bundle - Fixo - Varejo - Ganho Tributário Cross"),[7]BENEFICIOS!$A:$E,5,0)))</f>
        <v>MKT-1-9856472058</v>
      </c>
      <c r="BM11" s="66"/>
      <c r="BN11" s="67"/>
      <c r="BO11" s="68" t="s">
        <v>161</v>
      </c>
      <c r="BP11" s="69">
        <v>44.9</v>
      </c>
      <c r="BQ11" s="64">
        <f>IF(BP11=0,"",IF(BP11=VLOOKUP("PCS-30874g",[7]ARBOR!$A:$C,3,0),0.0001,IF(BP11&gt;VLOOKUP("PCS-30874g",[7]ARBOR!$A:$C,3,0),"Maior que CAP!",IF((DOLLAR(BP11+(VLOOKUP("PCS-30874g",[7]ARBOR!$A:$C,3,0)*-TRUNC(BP11/VLOOKUP("PCS-30874g",[7]ARBOR!$A:$C,3,0)-1,4)),6))&lt;&gt;(DOLLAR(VLOOKUP("PCS-30874g",[7]ARBOR!$A:$C,3,0),6)),-TRUNC(BP11/VLOOKUP("PCS-30874g",[7]ARBOR!$A:$C,3,0)-1,4)+0.0001,-TRUNC(BP11/VLOOKUP("PCS-30874g",[7]ARBOR!$A:$C,3,0)-1,4)))))</f>
        <v>0.53679999999999994</v>
      </c>
      <c r="BR11" s="65" t="str">
        <f>IF(ISERROR(IF(BQ11="","",VLOOKUP(($BH11&amp;BQ11&amp;"Template de desconto FLAT bundle - Velox XDSL - Varejo"),[7]BENEFICIOS!$A:$E,5,0))),"Criar",IF(BQ11="","",VLOOKUP(($BH11&amp;BQ11&amp;"Template de desconto FLAT bundle - Velox XDSL - Varejo"),[7]BENEFICIOS!$A:$E,5,0)))</f>
        <v>MKT-1-9865126733</v>
      </c>
      <c r="BS11" s="68" t="s">
        <v>161</v>
      </c>
      <c r="BT11" s="69">
        <v>44.9</v>
      </c>
      <c r="BU11" s="64">
        <f>IF(BT11=0,"",IF(BT11=VLOOKUP("PCS-30577g",[7]ARBOR!$A:$C,3,0),0.0001,IF(BT11&gt;VLOOKUP("PCS-30577g",[7]ARBOR!$A:$C,3,0),"Maior que CAP!",IF((DOLLAR(BT11+(VLOOKUP("PCS-30577g",[7]ARBOR!$A:$C,3,0)*-TRUNC(BT11/VLOOKUP("PCS-30577g",[7]ARBOR!$A:$C,3,0)-1,4)),6))&lt;&gt;(DOLLAR(VLOOKUP("PCS-30577g",[7]ARBOR!$A:$C,3,0),6)),-TRUNC(BT11/VLOOKUP("PCS-30577g",[7]ARBOR!$A:$C,3,0)-1,4)+0.0001,-TRUNC(BT11/VLOOKUP("PCS-30577g",[7]ARBOR!$A:$C,3,0)-1,4)))))</f>
        <v>0.53679999999999994</v>
      </c>
      <c r="BV11" s="65" t="str">
        <f>IF(ISERROR(IF(BU11="","",VLOOKUP(($BH11&amp;BU11&amp;"Template de desconto FLAT bundle - Velox XDSL - Varejo"),[7]BENEFICIOS!$A:$E,5,0))),"Criar",IF(BU11="","",VLOOKUP(($BH11&amp;BU11&amp;"Template de desconto FLAT bundle - Velox XDSL - Varejo"),[7]BENEFICIOS!$A:$E,5,0)))</f>
        <v>MKT-1-9865126733</v>
      </c>
      <c r="BW11" s="68" t="s">
        <v>161</v>
      </c>
      <c r="BX11" s="69">
        <v>44.9</v>
      </c>
      <c r="BY11" s="64">
        <f>IF(BX11=0,"",IF(BX11=VLOOKUP("PCS-30604g",[7]ARBOR!$A:$C,3,0),0.0001,IF(BX11&gt;VLOOKUP("PCS-30604g",[7]ARBOR!$A:$C,3,0),"Maior que CAP!",IF((DOLLAR(BX11+(VLOOKUP("PCS-30604g",[7]ARBOR!$A:$C,3,0)*-TRUNC(BX11/VLOOKUP("PCS-30604g",[7]ARBOR!$A:$C,3,0)-1,4)),6))&lt;&gt;(DOLLAR(VLOOKUP("PCS-30604g",[7]ARBOR!$A:$C,3,0),6)),-TRUNC(BX11/VLOOKUP("PCS-30604g",[7]ARBOR!$A:$C,3,0)-1,4)+0.0001,-TRUNC(BX11/VLOOKUP("PCS-30604g",[7]ARBOR!$A:$C,3,0)-1,4)))))</f>
        <v>0.53679999999999994</v>
      </c>
      <c r="BZ11" s="65" t="str">
        <f>IF(ISERROR(IF(BY11="","",VLOOKUP(($BH11&amp;BY11&amp;"Template de desconto FLAT bundle - Velox XDSL - Varejo"),[7]BENEFICIOS!$A:$E,5,0))),"Criar",IF(BY11="","",VLOOKUP(($BH11&amp;BY11&amp;"Template de desconto FLAT bundle - Velox XDSL - Varejo"),[7]BENEFICIOS!$A:$E,5,0)))</f>
        <v>MKT-1-9865126733</v>
      </c>
      <c r="CA11" s="68" t="s">
        <v>161</v>
      </c>
      <c r="CB11" s="69">
        <v>44.9</v>
      </c>
      <c r="CC11" s="64">
        <f>IF(CB11=0,"",IF(CB11=VLOOKUP("PCS-30631g",[7]ARBOR!$A:$C,3,0),0.0001,IF(CB11&gt;VLOOKUP("PCS-30631g",[7]ARBOR!$A:$C,3,0),"Maior que CAP!",IF((DOLLAR(CB11+(VLOOKUP("PCS-30631g",[7]ARBOR!$A:$C,3,0)*-TRUNC(CB11/VLOOKUP("PCS-30631g",[7]ARBOR!$A:$C,3,0)-1,4)),6))&lt;&gt;(DOLLAR(VLOOKUP("PCS-30631g",[7]ARBOR!$A:$C,3,0),6)),-TRUNC(CB11/VLOOKUP("PCS-30631g",[7]ARBOR!$A:$C,3,0)-1,4)+0.0001,-TRUNC(CB11/VLOOKUP("PCS-30631g",[7]ARBOR!$A:$C,3,0)-1,4)))))</f>
        <v>0.54310000000000003</v>
      </c>
      <c r="CD11" s="65" t="str">
        <f>IF(ISERROR(IF(CC11="","",VLOOKUP(($BH11&amp;CC11&amp;"Template de desconto FLAT bundle - Velox XDSL - Varejo"),[7]BENEFICIOS!$A:$E,5,0))),"Criar",IF(CC11="","",VLOOKUP(($BH11&amp;CC11&amp;"Template de desconto FLAT bundle - Velox XDSL - Varejo"),[7]BENEFICIOS!$A:$E,5,0)))</f>
        <v>MKT-1-9865126826</v>
      </c>
      <c r="CE11" s="68"/>
      <c r="CF11" s="69"/>
      <c r="CG11" s="64" t="str">
        <f>IF(CF11=0,"",IF(CF11=VLOOKUP("PCS-30658g",[7]ARBOR!$A:$C,3,0),0.0001,IF(CF11&gt;VLOOKUP("PCS-30658g",[7]ARBOR!$A:$C,3,0),"Maior que CAP!",IF((DOLLAR(CF11+(VLOOKUP("PCS-30658g",[7]ARBOR!$A:$C,3,0)*-TRUNC(CF11/VLOOKUP("PCS-30658g",[7]ARBOR!$A:$C,3,0)-1,4)),6))&lt;&gt;(DOLLAR(VLOOKUP("PCS-30658g",[7]ARBOR!$A:$C,3,0),6)),-TRUNC(CF11/VLOOKUP("PCS-30658g",[7]ARBOR!$A:$C,3,0)-1,4)+0.0001,-TRUNC(CF11/VLOOKUP("PCS-30658g",[7]ARBOR!$A:$C,3,0)-1,4)))))</f>
        <v/>
      </c>
      <c r="CH11" s="65" t="str">
        <f>IF(ISERROR(IF(CG11="","",VLOOKUP(($BH11&amp;CG11&amp;"Template de desconto FLAT bundle - Velox XDSL - Varejo"),[7]BENEFICIOS!$A:$E,5,0))),"Criar",IF(CG11="","",VLOOKUP(($BH11&amp;CG11&amp;"Template de desconto FLAT bundle - Velox XDSL - Varejo"),[7]BENEFICIOS!$A:$E,5,0)))</f>
        <v/>
      </c>
      <c r="CI11" s="68"/>
      <c r="CJ11" s="69"/>
      <c r="CK11" s="64" t="str">
        <f>IF(CJ11=0,"",IF(CJ11=VLOOKUP("PCS-30685g",[7]ARBOR!$A:$C,3,0),0.0001,IF(CJ11&gt;VLOOKUP("PCS-30685g",[7]ARBOR!$A:$C,3,0),"Maior que CAP!",IF((DOLLAR(CJ11+(VLOOKUP("PCS-30685g",[7]ARBOR!$A:$C,3,0)*-TRUNC(CJ11/VLOOKUP("PCS-30685g",[7]ARBOR!$A:$C,3,0)-1,4)),6))&lt;&gt;(DOLLAR(VLOOKUP("PCS-30685g",[7]ARBOR!$A:$C,3,0),6)),-TRUNC(CJ11/VLOOKUP("PCS-30685g",[7]ARBOR!$A:$C,3,0)-1,4)+0.0001,-TRUNC(CJ11/VLOOKUP("PCS-30685g",[7]ARBOR!$A:$C,3,0)-1,4)))))</f>
        <v/>
      </c>
      <c r="CL11" s="65" t="str">
        <f>IF(ISERROR(IF(CK11="","",VLOOKUP(($BH11&amp;CK11&amp;"Template de desconto FLAT bundle - Velox XDSL - Varejo"),[7]BENEFICIOS!$A:$E,5,0))),"Criar",IF(CK11="","",VLOOKUP(($BH11&amp;CK11&amp;"Template de desconto FLAT bundle - Velox XDSL - Varejo"),[7]BENEFICIOS!$A:$E,5,0)))</f>
        <v/>
      </c>
      <c r="CM11" s="68"/>
      <c r="CN11" s="69"/>
      <c r="CO11" s="64" t="str">
        <f>IF(CN11=0,"",IF(CN11=VLOOKUP("PCS-30712g",[7]ARBOR!$A:$C,3,0),0.0001,IF(CN11&gt;VLOOKUP("PCS-30712g",[7]ARBOR!$A:$C,3,0),"Maior que CAP!",IF((DOLLAR(CN11+(VLOOKUP("PCS-30712g",[7]ARBOR!$A:$C,3,0)*-TRUNC(CN11/VLOOKUP("PCS-30712g",[7]ARBOR!$A:$C,3,0)-1,4)),6))&lt;&gt;(DOLLAR(VLOOKUP("PCS-30712g",[7]ARBOR!$A:$C,3,0),6)),-TRUNC(CN11/VLOOKUP("PCS-30712g",[7]ARBOR!$A:$C,3,0)-1,4)+0.0001,-TRUNC(CN11/VLOOKUP("PCS-30712g",[7]ARBOR!$A:$C,3,0)-1,4)))))</f>
        <v/>
      </c>
      <c r="CP11" s="65" t="str">
        <f>IF(ISERROR(IF(CO11="","",VLOOKUP(($BH11&amp;CO11&amp;"Template de desconto FLAT bundle - Velox XDSL - Varejo"),[7]BENEFICIOS!$A:$E,5,0))),"Criar",IF(CO11="","",VLOOKUP(($BH11&amp;CO11&amp;"Template de desconto FLAT bundle - Velox XDSL - Varejo"),[7]BENEFICIOS!$A:$E,5,0)))</f>
        <v/>
      </c>
      <c r="CQ11" s="68"/>
      <c r="CR11" s="69"/>
      <c r="CS11" s="64" t="str">
        <f>IF(CR11=0,"",IF(CR11=VLOOKUP("PCS-30739g",[7]ARBOR!$A:$C,3,0),0.0001,IF(CR11&gt;VLOOKUP("PCS-30739g",[7]ARBOR!$A:$C,3,0),"Maior que CAP!",IF((DOLLAR(CR11+(VLOOKUP("PCS-30739g",[7]ARBOR!$A:$C,3,0)*-TRUNC(CR11/VLOOKUP("PCS-30739g",[7]ARBOR!$A:$C,3,0)-1,4)),6))&lt;&gt;(DOLLAR(VLOOKUP("PCS-30739g",[7]ARBOR!$A:$C,3,0),6)),-TRUNC(CR11/VLOOKUP("PCS-30739g",[7]ARBOR!$A:$C,3,0)-1,4)+0.0001,-TRUNC(CR11/VLOOKUP("PCS-30739g",[7]ARBOR!$A:$C,3,0)-1,4)))))</f>
        <v/>
      </c>
      <c r="CT11" s="65" t="str">
        <f>IF(ISERROR(IF(CS11="","",VLOOKUP(($BH11&amp;CS11&amp;"Template de desconto FLAT bundle - Velox XDSL - Varejo"),[7]BENEFICIOS!$A:$E,5,0))),"Criar",IF(CS11="","",VLOOKUP(($BH11&amp;CS11&amp;"Template de desconto FLAT bundle - Velox XDSL - Varejo"),[7]BENEFICIOS!$A:$E,5,0)))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IF(CZ11=0,"",IF(CZ11=VLOOKUP("PCS-30766g",[7]ARBOR!$A:$C,3,0),0.0001,IF(CZ11&gt;VLOOKUP("PCS-30766g",[7]ARBOR!$A:$C,3,0),"Maior que CAP!",IF((DOLLAR(CZ11+(VLOOKUP("PCS-30766g",[7]ARBOR!$A:$C,3,0)*-TRUNC(CZ11/VLOOKUP("PCS-30766g",[7]ARBOR!$A:$C,3,0)-1,4)),6))&lt;&gt;(DOLLAR(VLOOKUP("PCS-30766g",[7]ARBOR!$A:$C,3,0),6)),-TRUNC(CZ11/VLOOKUP("PCS-30766g",[7]ARBOR!$A:$C,3,0)-1,4)+0.0001,-TRUNC(CZ11/VLOOKUP("PCS-30766g",[7]ARBOR!$A:$C,3,0)-1,4)))))</f>
        <v/>
      </c>
      <c r="DB11" s="65" t="str">
        <f>IF(ISERROR(IF(DA11="","",VLOOKUP(($BH11&amp;DA11&amp;"Template de desconto FLAT bundle - Velox XDSL - Varejo"),[7]BENEFICIOS!$A:$E,5,0))),"Criar",IF(DA11="","",VLOOKUP(($BH11&amp;DA11&amp;"Template de desconto FLAT bundle - Velox XDSL - Varejo"),[7]BENEFICIOS!$A:$E,5,0)))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IF(DH11=0,"",IF(DH11=VLOOKUP("PCS-30793g",[7]ARBOR!$A:$C,3,0),0.0001,IF(DH11&gt;VLOOKUP("PCS-30793g",[7]ARBOR!$A:$C,3,0),"Maior que CAP!",IF((DOLLAR(DH11+(VLOOKUP("PCS-30793g",[7]ARBOR!$A:$C,3,0)*-TRUNC(DH11/VLOOKUP("PCS-30793g",[7]ARBOR!$A:$C,3,0)-1,4)),6))&lt;&gt;(DOLLAR(VLOOKUP("PCS-30793g",[7]ARBOR!$A:$C,3,0),6)),-TRUNC(DH11/VLOOKUP("PCS-30793g",[7]ARBOR!$A:$C,3,0)-1,4)+0.0001,-TRUNC(DH11/VLOOKUP("PCS-30793g",[7]ARBOR!$A:$C,3,0)-1,4)))))</f>
        <v/>
      </c>
      <c r="DJ11" s="65" t="str">
        <f>IF(ISERROR(IF(DI11="","",VLOOKUP(($BH11&amp;DI11&amp;"Template de desconto FLAT bundle - Velox XDSL - Varejo"),[7]BENEFICIOS!$A:$E,5,0))),"Criar",IF(DI11="","",VLOOKUP(($BH11&amp;DI11&amp;"Template de desconto FLAT bundle - Velox XDSL - Varejo"),[7]BENEFICIOS!$A:$E,5,0)))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IF(DP11=0,"",IF(DP11=VLOOKUP("PCS-30820g",[7]ARBOR!$A:$C,3,0),0.0001,IF(DP11&gt;VLOOKUP("PCS-30820g",[7]ARBOR!$A:$C,3,0),"Maior que CAP!",IF((DOLLAR(DP11+(VLOOKUP("PCS-30820g",[7]ARBOR!$A:$C,3,0)*-TRUNC(DP11/VLOOKUP("PCS-30820g",[7]ARBOR!$A:$C,3,0)-1,4)),6))&lt;&gt;(DOLLAR(VLOOKUP("PCS-30820g",[7]ARBOR!$A:$C,3,0),6)),-TRUNC(DP11/VLOOKUP("PCS-30820g",[7]ARBOR!$A:$C,3,0)-1,4)+0.0001,-TRUNC(DP11/VLOOKUP("PCS-30820g",[7]ARBOR!$A:$C,3,0)-1,4)))))</f>
        <v/>
      </c>
      <c r="DR11" s="65" t="str">
        <f>IF(ISERROR(IF(DQ11="","",VLOOKUP(($BH11&amp;DQ11&amp;"Template de desconto FLAT bundle - Velox XDSL - Varejo"),[7]BENEFICIOS!$A:$E,5,0))),"Criar",IF(DQ11="","",VLOOKUP(($BH11&amp;DQ11&amp;"Template de desconto FLAT bundle - Velox XDSL - Varejo"),[7]BENEFICIOS!$A:$E,5,0)))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IF(DW11=0,"",IF(DW11=VLOOKUP("PCS-21448p2",[7]ARBOR!$A:$C,3,0),0.0001,IF(DW11&gt;VLOOKUP("PCS-21448p2",[7]ARBOR!$A:$C,3,0),"Maior que CAP!",IF((DOLLAR(DW11+(VLOOKUP("PCS-21448p2",[7]ARBOR!$A:$C,3,0)*-TRUNC(DW11/VLOOKUP("PCS-21448p2",[7]ARBOR!$A:$C,3,0)-1,4)),6))&lt;&gt;(DOLLAR(VLOOKUP("PCS-21448p2",[7]ARBOR!$A:$C,3,0),6)),-TRUNC(DW11/VLOOKUP("PCS-21448p2",[7]ARBOR!$A:$C,3,0)-1,4)+0.0001,-TRUNC(DW11/VLOOKUP("PCS-21448p2",[7]ARBOR!$A:$C,3,0)-1,4)))))</f>
        <v>0.64900000000000002</v>
      </c>
      <c r="DY11" s="65" t="str">
        <f>IF(ISERROR(IF(DX11="","",VLOOKUP(("Oi Conta Total Plug 10GB Downgrade"&amp;DX11&amp;"Template de desconto percentual BL Móvel - Internet Total - Varejo"),[7]BENEFICIOS!$A:$E,5,0))),"Criar",IF(DX11="","",VLOOKUP(("Oi Conta Total Plug 10GB Downgrade"&amp;DX11&amp;"Template de desconto percentual BL Móvel - Internet Total - Varejo"),[7]BENEFICIOS!$A:$E,5,0)))</f>
        <v>MKT-1-9825544790</v>
      </c>
      <c r="DZ11" s="71">
        <v>16.5</v>
      </c>
      <c r="EA11" s="72">
        <f>IF(DZ11=0,"",IF(DZ11=VLOOKUP("SVA",[7]ARBOR!$A:$C,3,0),0.0001,IF(DZ11&gt;VLOOKUP("SVA",[7]ARBOR!$A:$C,3,0),"Maior que CAP!",IF((DOLLAR(DZ11+(VLOOKUP("SVA",[7]ARBOR!$A:$C,3,0)*-TRUNC(DZ11/VLOOKUP("SVA",[7]ARBOR!$A:$C,3,0)-1,4)),6))&lt;&gt;(DOLLAR(VLOOKUP("SVA",[7]ARBOR!$A:$C,3,0),6)),-TRUNC(DZ11/VLOOKUP("SVA",[7]ARBOR!$A:$C,3,0)-1,4)+0.0001,-TRUNC(DZ11/VLOOKUP("SVA",[7]ARBOR!$A:$C,3,0)-1,4)))))</f>
        <v>0.2301</v>
      </c>
      <c r="EB11" s="65" t="s">
        <v>223</v>
      </c>
      <c r="EC11" s="69"/>
      <c r="ED11" s="73"/>
      <c r="EE11" s="74"/>
      <c r="EF11" s="65"/>
      <c r="EG11" s="75">
        <f>IF(BI11="","",VLOOKUP(BI11,[7]ARBOR!A:C,3,0))</f>
        <v>479.46</v>
      </c>
      <c r="EH11" s="69">
        <v>15</v>
      </c>
      <c r="EI11" s="76">
        <f>IF(EH11="","",1-(EH11/VLOOKUP(BI11&amp;"ASS",[7]ARBOR!A:C,3,0)))</f>
        <v>0.34725848563968664</v>
      </c>
      <c r="EJ11" s="77" t="s">
        <v>224</v>
      </c>
      <c r="EK11" s="78" t="s">
        <v>225</v>
      </c>
      <c r="EL11" s="69">
        <v>168.98</v>
      </c>
      <c r="EM11" s="64">
        <f>ROUND(IF(EL11=0,"",IF(EL11=EG11,0.0001,1-((EL11+(VLOOKUP(BI11&amp;"ASS",[7]ARBOR!A:C,3,0)-EH11))/EG11))),4)</f>
        <v>0.63090000000000002</v>
      </c>
      <c r="EN11" s="65" t="str">
        <f>IF(ISERROR(IF(EM11="","",VLOOKUP(($BH11&amp;EM11&amp;"Template de desconto percentual FLAT Móvel - Conta Total - Varejo - Ganho Tributário Cross"),[7]BENEFICIOS!$A:$E,5,0))),"Criar",IF(EM11="","",VLOOKUP(($BH11&amp;EM11&amp;"Template de desconto percentual FLAT Móvel - Conta Total - Varejo - Ganho Tributário Cross"),[7]BENEFICIOS!$A:$E,5,0)))</f>
        <v>Criar</v>
      </c>
      <c r="EO11" s="79"/>
      <c r="EP11" s="64"/>
      <c r="EQ11" s="72"/>
      <c r="ER11" s="72"/>
      <c r="ES11" s="64"/>
      <c r="ET11" s="80"/>
      <c r="EU11" s="81" t="s">
        <v>244</v>
      </c>
      <c r="EV11" s="81" t="s">
        <v>261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IF(FC11=0,"",IF(FC11=VLOOKUP("PCS-10357",[7]ARBOR!$A:$C,3,0),0.0001,IF(FC11&gt;VLOOKUP("PCS-10357",[7]ARBOR!$A:$C,3,0),"Maior que CAP!",ROUND(-1*(FC11/VLOOKUP("PCS-10357",[7]ARBOR!$A:$C,3,0)-1),4))))</f>
        <v/>
      </c>
      <c r="FE11" s="84" t="str">
        <f>IF(ISERROR(IF(FD11="","",VLOOKUP(("Oi Internet Pra Celular 1GB"&amp;FD11&amp;"Template Flat Instância Dados"),[7]BENEFICIOS!$A:$E,5,0))),"Criar",IF(FD11="","",VLOOKUP(("Oi Internet Pra Celular 1GB"&amp;FD11&amp;"Template Flat Instância Dados"),[7]BENEFICIOS!$A:$E,5,0)))</f>
        <v/>
      </c>
      <c r="FF11" s="82"/>
      <c r="FG11" s="83" t="str">
        <f>IF(FF11=0,"",IF(FF11=VLOOKUP("PCS-813565",[7]ARBOR!$A:$C,3,0),0.0001,IF(FF11&gt;VLOOKUP("PCS-813565",[7]ARBOR!$A:$C,3,0),"Maior que CAP!",ROUND(-1*(FF11/VLOOKUP("PCS-813565",[7]ARBOR!$A:$C,3,0)-1),4))))</f>
        <v/>
      </c>
      <c r="FH11" s="84" t="str">
        <f>IF(ISERROR(IF(FG11="","",VLOOKUP(("Oi Internet Pra Celular 2GB"&amp;FG11&amp;"Template Flat Instância Dados"),[7]BENEFICIOS!$A:$E,5,0))),"Criar",IF(FG11="","",VLOOKUP(("Oi Internet Pra Celular 2GB"&amp;FG11&amp;"Template Flat Instância Dados"),[7]BENEFICIOS!$A:$E,5,0)))</f>
        <v/>
      </c>
      <c r="FI11" s="82"/>
      <c r="FJ11" s="83" t="str">
        <f>IF(FI11=0,"",IF(FI11=VLOOKUP("PCS-7171B",[7]ARBOR!$A:$C,3,0),0.0001,IF(FI11&gt;VLOOKUP("PCS-7171B",[7]ARBOR!$A:$C,3,0),"Maior que CAP!",ROUND(-1*(FI11/VLOOKUP("PCS-7171B",[7]ARBOR!$A:$C,3,0)-1),4))))</f>
        <v/>
      </c>
      <c r="FK11" s="84" t="str">
        <f>IF(ISERROR(IF(FJ11="","",VLOOKUP(("Oi Internet Pra Celular 3GB"&amp;FJ11&amp;"Template Flat Instância Dados"),[7]BENEFICIOS!$A:$E,5,0))),"Criar",IF(FJ11="","",VLOOKUP(("Oi Internet Pra Celular 3GB"&amp;FJ11&amp;"Template Flat Instância Dados"),[7]BENEFICIOS!$A:$E,5,0)))</f>
        <v/>
      </c>
      <c r="FL11" s="82">
        <v>14.92</v>
      </c>
      <c r="FM11" s="83">
        <f>IF(FL11=0,"",IF(FL11=VLOOKUP("PCS-51793o08",[7]ARBOR!$A:$C,3,0),0.0001,IF(FL11&gt;VLOOKUP("PCS-51793o08",[7]ARBOR!$A:$C,3,0),"Maior que CAP!",ROUND(-1*(FL11/VLOOKUP("PCS-51793o08",[7]ARBOR!$A:$C,3,0)-1),4))))</f>
        <v>0.89500000000000002</v>
      </c>
      <c r="FN11" s="84" t="str">
        <f>IF(ISERROR(IF(FM11="","",VLOOKUP(("Oi Internet Pra Celular 5GB"&amp;FM11&amp;"Template Flat Instância Dados"),[7]BENEFICIOS!$A:$E,5,0))),"Criar",IF(FM11="","",VLOOKUP(("Oi Internet Pra Celular 5GB"&amp;FM11&amp;"Template Flat Instância Dados"),[7]BENEFICIOS!$A:$E,5,0)))</f>
        <v>MKT-1-9870312709</v>
      </c>
      <c r="FO11" s="82"/>
      <c r="FP11" s="83" t="str">
        <f>IF(FO11=0,"",IF(FO11=VLOOKUP("PCS-7171A",[7]ARBOR!$A:$C,3,0),0.0001,IF(FO11&gt;VLOOKUP("PCS-7171A",[7]ARBOR!$A:$C,3,0),"Maior que CAP!",ROUND(-1*(FO11/VLOOKUP("PCS-7171A",[7]ARBOR!$A:$C,3,0)-1),4))))</f>
        <v/>
      </c>
      <c r="FQ11" s="84" t="str">
        <f>IF(ISERROR(IF(FP11="","",VLOOKUP(("Oi Internet Pra Celular 10GB"&amp;FP11&amp;"Template Flat Instância Dados"),[7]BENEFICIOS!$A:$E,5,0))),"Criar",IF(FP11="","",VLOOKUP(("Oi Internet Pra Celular 10GB"&amp;FP11&amp;"Template Flat Instância Dados"),[7]BENEFICIOS!$A:$E,5,0)))</f>
        <v/>
      </c>
      <c r="FR11" s="85">
        <v>0.74260000000000004</v>
      </c>
      <c r="FS11" s="86" t="s">
        <v>262</v>
      </c>
      <c r="FT11" s="48"/>
      <c r="FU11" s="87"/>
      <c r="FV11" s="88" t="s">
        <v>221</v>
      </c>
      <c r="FW11" s="49" t="s">
        <v>226</v>
      </c>
      <c r="FX11" s="89">
        <v>999</v>
      </c>
      <c r="FY11" s="49">
        <v>12</v>
      </c>
      <c r="FZ11" s="90" t="s">
        <v>227</v>
      </c>
      <c r="GA11" s="91" t="str">
        <f t="shared" si="1"/>
        <v>PCS-Fk83324</v>
      </c>
      <c r="GB11" s="92" t="str">
        <f t="shared" si="2"/>
        <v>PCS-SBL553142</v>
      </c>
      <c r="GC11" s="93" t="s">
        <v>228</v>
      </c>
      <c r="GD11" s="90" t="s">
        <v>229</v>
      </c>
      <c r="GE11" s="92" t="s">
        <v>230</v>
      </c>
      <c r="GF11" s="93" t="s">
        <v>231</v>
      </c>
      <c r="GG11" s="90" t="s">
        <v>232</v>
      </c>
      <c r="GH11" s="92" t="s">
        <v>233</v>
      </c>
      <c r="GI11" s="94" t="s">
        <v>234</v>
      </c>
      <c r="GJ11" s="95">
        <f>FL11+EL11+DW11+BJ11</f>
        <v>278.89999999999998</v>
      </c>
      <c r="GK11" s="96"/>
      <c r="GL11" s="97" t="s">
        <v>235</v>
      </c>
      <c r="GM11" s="98" t="s">
        <v>236</v>
      </c>
      <c r="GN11" s="97">
        <f>VLOOKUP($A11,'[7]TABELA COM TUDO'!$A:$AB,25,0)</f>
        <v>20.350000000000001</v>
      </c>
      <c r="GO11" s="99">
        <f>VLOOKUP($A11,'[7]TABELA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263</v>
      </c>
      <c r="GX11" s="44" t="s">
        <v>238</v>
      </c>
    </row>
    <row r="12" spans="1:206" s="44" customFormat="1" x14ac:dyDescent="0.35">
      <c r="A12" s="44" t="str">
        <f t="shared" si="0"/>
        <v>Oi Total Fixo + Pós 800 + Banda LargaN15GBMG</v>
      </c>
      <c r="B12" s="45" t="s">
        <v>211</v>
      </c>
      <c r="C12" s="46" t="s">
        <v>127</v>
      </c>
      <c r="D12" s="46" t="s">
        <v>212</v>
      </c>
      <c r="E12" s="47" t="s">
        <v>213</v>
      </c>
      <c r="F12" s="48" t="s">
        <v>214</v>
      </c>
      <c r="G12" s="49"/>
      <c r="H12" s="49"/>
      <c r="I12" s="49"/>
      <c r="J12" s="49" t="s">
        <v>214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214</v>
      </c>
      <c r="AC12" s="49" t="s">
        <v>214</v>
      </c>
      <c r="AD12" s="49" t="s">
        <v>214</v>
      </c>
      <c r="AE12" s="49" t="s">
        <v>214</v>
      </c>
      <c r="AF12" s="49" t="s">
        <v>214</v>
      </c>
      <c r="AG12" s="49" t="s">
        <v>214</v>
      </c>
      <c r="AH12" s="50"/>
      <c r="AI12" s="49" t="s">
        <v>214</v>
      </c>
      <c r="AJ12" s="49" t="s">
        <v>214</v>
      </c>
      <c r="AK12" s="49" t="s">
        <v>214</v>
      </c>
      <c r="AL12" s="49" t="s">
        <v>214</v>
      </c>
      <c r="AM12" s="49" t="s">
        <v>214</v>
      </c>
      <c r="AN12" s="49" t="s">
        <v>214</v>
      </c>
      <c r="AO12" s="49" t="s">
        <v>214</v>
      </c>
      <c r="AP12" s="49"/>
      <c r="AQ12" s="51"/>
      <c r="AR12" s="52" t="s">
        <v>264</v>
      </c>
      <c r="AS12" s="46" t="s">
        <v>216</v>
      </c>
      <c r="AT12" s="53" t="s">
        <v>217</v>
      </c>
      <c r="AU12" s="54">
        <v>42972</v>
      </c>
      <c r="AV12" s="55">
        <v>43038</v>
      </c>
      <c r="AW12" s="56" t="s">
        <v>218</v>
      </c>
      <c r="AX12" s="57" t="s">
        <v>218</v>
      </c>
      <c r="AY12" s="58"/>
      <c r="AZ12" s="58" t="s">
        <v>219</v>
      </c>
      <c r="BA12" s="58">
        <v>20</v>
      </c>
      <c r="BB12" s="58">
        <v>10000</v>
      </c>
      <c r="BC12" s="59" t="s">
        <v>220</v>
      </c>
      <c r="BD12" s="60" t="s">
        <v>221</v>
      </c>
      <c r="BE12" s="58" t="s">
        <v>213</v>
      </c>
      <c r="BF12" s="51" t="s">
        <v>213</v>
      </c>
      <c r="BG12" s="45" t="s">
        <v>264</v>
      </c>
      <c r="BH12" s="61" t="s">
        <v>222</v>
      </c>
      <c r="BI12" s="62" t="str">
        <f>IF(ISERROR(VLOOKUP(BH12,[7]PLANOS!B:C,2,0)),"",VLOOKUP(BH12,[7]PLANOS!B:C,2,0))</f>
        <v>PCS-4P6pi</v>
      </c>
      <c r="BJ12" s="63">
        <v>50.1</v>
      </c>
      <c r="BK12" s="64">
        <f>IF(BJ12=0,"",IF(BJ12=VLOOKUP("FIXO",[7]ARBOR!$A:$C,3,0),0.0001,IF(BJ12&gt;VLOOKUP("FIXO",[7]ARBOR!$A:$C,3,0),"Maior que CAP!",IF((DOLLAR(BJ12+(VLOOKUP("FIXO",[7]ARBOR!$A:$C,3,0)*-TRUNC(BJ12/VLOOKUP("FIXO",[7]ARBOR!$A:$C,3,0)-1,4)),6))&lt;&gt;(DOLLAR(VLOOKUP("FIXO",[7]ARBOR!$A:$C,3,0),6)),-TRUNC(BJ12/VLOOKUP("FIXO",[7]ARBOR!$A:$C,3,0)-1,4)+0.0001,-TRUNC(BJ12/VLOOKUP("FIXO",[7]ARBOR!$A:$C,3,0)-1,4)))))</f>
        <v>0.33939999999999998</v>
      </c>
      <c r="BL12" s="65" t="str">
        <f>IF(ISERROR(IF(BK12="","",VLOOKUP(($BH12&amp;BK12&amp;"Template de desconto FLAT bundle - Fixo - Varejo - Ganho Tributário Cross"),[7]BENEFICIOS!$A:$E,5,0))),"Criar",IF(BK12="","",VLOOKUP(($BH12&amp;BK12&amp;"Template de desconto FLAT bundle - Fixo - Varejo - Ganho Tributário Cross"),[7]BENEFICIOS!$A:$E,5,0)))</f>
        <v>MKT-1-9856472058</v>
      </c>
      <c r="BM12" s="66"/>
      <c r="BN12" s="67"/>
      <c r="BO12" s="104" t="s">
        <v>240</v>
      </c>
      <c r="BP12" s="69">
        <v>44.9</v>
      </c>
      <c r="BQ12" s="64">
        <f>IF(BP12=0,"",IF(BP12=VLOOKUP("PCS-30874g",[7]ARBOR!$A:$C,3,0),0.0001,IF(BP12&gt;VLOOKUP("PCS-30874g",[7]ARBOR!$A:$C,3,0),"Maior que CAP!",IF((DOLLAR(BP12+(VLOOKUP("PCS-30874g",[7]ARBOR!$A:$C,3,0)*-TRUNC(BP12/VLOOKUP("PCS-30874g",[7]ARBOR!$A:$C,3,0)-1,4)),6))&lt;&gt;(DOLLAR(VLOOKUP("PCS-30874g",[7]ARBOR!$A:$C,3,0),6)),-TRUNC(BP12/VLOOKUP("PCS-30874g",[7]ARBOR!$A:$C,3,0)-1,4)+0.0001,-TRUNC(BP12/VLOOKUP("PCS-30874g",[7]ARBOR!$A:$C,3,0)-1,4)))))</f>
        <v>0.53679999999999994</v>
      </c>
      <c r="BR12" s="65" t="str">
        <f>IF(ISERROR(IF(BQ12="","",VLOOKUP(($BH12&amp;BQ12&amp;"Template de desconto FLAT bundle - Velox XDSL - Varejo"),[7]BENEFICIOS!$A:$E,5,0))),"Criar",IF(BQ12="","",VLOOKUP(($BH12&amp;BQ12&amp;"Template de desconto FLAT bundle - Velox XDSL - Varejo"),[7]BENEFICIOS!$A:$E,5,0)))</f>
        <v>MKT-1-9865126733</v>
      </c>
      <c r="BS12" s="104" t="s">
        <v>240</v>
      </c>
      <c r="BT12" s="69">
        <v>44.9</v>
      </c>
      <c r="BU12" s="64">
        <f>IF(BT12=0,"",IF(BT12=VLOOKUP("PCS-30577g",[7]ARBOR!$A:$C,3,0),0.0001,IF(BT12&gt;VLOOKUP("PCS-30577g",[7]ARBOR!$A:$C,3,0),"Maior que CAP!",IF((DOLLAR(BT12+(VLOOKUP("PCS-30577g",[7]ARBOR!$A:$C,3,0)*-TRUNC(BT12/VLOOKUP("PCS-30577g",[7]ARBOR!$A:$C,3,0)-1,4)),6))&lt;&gt;(DOLLAR(VLOOKUP("PCS-30577g",[7]ARBOR!$A:$C,3,0),6)),-TRUNC(BT12/VLOOKUP("PCS-30577g",[7]ARBOR!$A:$C,3,0)-1,4)+0.0001,-TRUNC(BT12/VLOOKUP("PCS-30577g",[7]ARBOR!$A:$C,3,0)-1,4)))))</f>
        <v>0.53679999999999994</v>
      </c>
      <c r="BV12" s="65" t="str">
        <f>IF(ISERROR(IF(BU12="","",VLOOKUP(($BH12&amp;BU12&amp;"Template de desconto FLAT bundle - Velox XDSL - Varejo"),[7]BENEFICIOS!$A:$E,5,0))),"Criar",IF(BU12="","",VLOOKUP(($BH12&amp;BU12&amp;"Template de desconto FLAT bundle - Velox XDSL - Varejo"),[7]BENEFICIOS!$A:$E,5,0)))</f>
        <v>MKT-1-9865126733</v>
      </c>
      <c r="BW12" s="104" t="s">
        <v>240</v>
      </c>
      <c r="BX12" s="69">
        <v>44.9</v>
      </c>
      <c r="BY12" s="64">
        <f>IF(BX12=0,"",IF(BX12=VLOOKUP("PCS-30604g",[7]ARBOR!$A:$C,3,0),0.0001,IF(BX12&gt;VLOOKUP("PCS-30604g",[7]ARBOR!$A:$C,3,0),"Maior que CAP!",IF((DOLLAR(BX12+(VLOOKUP("PCS-30604g",[7]ARBOR!$A:$C,3,0)*-TRUNC(BX12/VLOOKUP("PCS-30604g",[7]ARBOR!$A:$C,3,0)-1,4)),6))&lt;&gt;(DOLLAR(VLOOKUP("PCS-30604g",[7]ARBOR!$A:$C,3,0),6)),-TRUNC(BX12/VLOOKUP("PCS-30604g",[7]ARBOR!$A:$C,3,0)-1,4)+0.0001,-TRUNC(BX12/VLOOKUP("PCS-30604g",[7]ARBOR!$A:$C,3,0)-1,4)))))</f>
        <v>0.53679999999999994</v>
      </c>
      <c r="BZ12" s="65" t="str">
        <f>IF(ISERROR(IF(BY12="","",VLOOKUP(($BH12&amp;BY12&amp;"Template de desconto FLAT bundle - Velox XDSL - Varejo"),[7]BENEFICIOS!$A:$E,5,0))),"Criar",IF(BY12="","",VLOOKUP(($BH12&amp;BY12&amp;"Template de desconto FLAT bundle - Velox XDSL - Varejo"),[7]BENEFICIOS!$A:$E,5,0)))</f>
        <v>MKT-1-9865126733</v>
      </c>
      <c r="CA12" s="104" t="s">
        <v>240</v>
      </c>
      <c r="CB12" s="69">
        <v>44.9</v>
      </c>
      <c r="CC12" s="64">
        <f>IF(CB12=0,"",IF(CB12=VLOOKUP("PCS-30631g",[7]ARBOR!$A:$C,3,0),0.0001,IF(CB12&gt;VLOOKUP("PCS-30631g",[7]ARBOR!$A:$C,3,0),"Maior que CAP!",IF((DOLLAR(CB12+(VLOOKUP("PCS-30631g",[7]ARBOR!$A:$C,3,0)*-TRUNC(CB12/VLOOKUP("PCS-30631g",[7]ARBOR!$A:$C,3,0)-1,4)),6))&lt;&gt;(DOLLAR(VLOOKUP("PCS-30631g",[7]ARBOR!$A:$C,3,0),6)),-TRUNC(CB12/VLOOKUP("PCS-30631g",[7]ARBOR!$A:$C,3,0)-1,4)+0.0001,-TRUNC(CB12/VLOOKUP("PCS-30631g",[7]ARBOR!$A:$C,3,0)-1,4)))))</f>
        <v>0.54310000000000003</v>
      </c>
      <c r="CD12" s="65" t="str">
        <f>IF(ISERROR(IF(CC12="","",VLOOKUP(($BH12&amp;CC12&amp;"Template de desconto FLAT bundle - Velox XDSL - Varejo"),[7]BENEFICIOS!$A:$E,5,0))),"Criar",IF(CC12="","",VLOOKUP(($BH12&amp;CC12&amp;"Template de desconto FLAT bundle - Velox XDSL - Varejo"),[7]BENEFICIOS!$A:$E,5,0)))</f>
        <v>MKT-1-9865126826</v>
      </c>
      <c r="CE12" s="68" t="s">
        <v>161</v>
      </c>
      <c r="CF12" s="69">
        <v>49.9</v>
      </c>
      <c r="CG12" s="64">
        <f>IF(CF12=0,"",IF(CF12=VLOOKUP("PCS-30658g",[7]ARBOR!$A:$C,3,0),0.0001,IF(CF12&gt;VLOOKUP("PCS-30658g",[7]ARBOR!$A:$C,3,0),"Maior que CAP!",IF((DOLLAR(CF12+(VLOOKUP("PCS-30658g",[7]ARBOR!$A:$C,3,0)*-TRUNC(CF12/VLOOKUP("PCS-30658g",[7]ARBOR!$A:$C,3,0)-1,4)),6))&lt;&gt;(DOLLAR(VLOOKUP("PCS-30658g",[7]ARBOR!$A:$C,3,0),6)),-TRUNC(CF12/VLOOKUP("PCS-30658g",[7]ARBOR!$A:$C,3,0)-1,4)+0.0001,-TRUNC(CF12/VLOOKUP("PCS-30658g",[7]ARBOR!$A:$C,3,0)-1,4)))))</f>
        <v>0.55569999999999997</v>
      </c>
      <c r="CH12" s="65" t="str">
        <f>IF(ISERROR(IF(CG12="","",VLOOKUP(($BH12&amp;CG12&amp;"Template de desconto FLAT bundle - Velox XDSL - Varejo"),[7]BENEFICIOS!$A:$E,5,0))),"Criar",IF(CG12="","",VLOOKUP(($BH12&amp;CG12&amp;"Template de desconto FLAT bundle - Velox XDSL - Varejo"),[7]BENEFICIOS!$A:$E,5,0)))</f>
        <v>MKT-1-9865126919</v>
      </c>
      <c r="CI12" s="68" t="s">
        <v>161</v>
      </c>
      <c r="CJ12" s="69">
        <v>49.9</v>
      </c>
      <c r="CK12" s="64">
        <f>IF(CJ12=0,"",IF(CJ12=VLOOKUP("PCS-30685g",[7]ARBOR!$A:$C,3,0),0.0001,IF(CJ12&gt;VLOOKUP("PCS-30685g",[7]ARBOR!$A:$C,3,0),"Maior que CAP!",IF((DOLLAR(CJ12+(VLOOKUP("PCS-30685g",[7]ARBOR!$A:$C,3,0)*-TRUNC(CJ12/VLOOKUP("PCS-30685g",[7]ARBOR!$A:$C,3,0)-1,4)),6))&lt;&gt;(DOLLAR(VLOOKUP("PCS-30685g",[7]ARBOR!$A:$C,3,0),6)),-TRUNC(CJ12/VLOOKUP("PCS-30685g",[7]ARBOR!$A:$C,3,0)-1,4)+0.0001,-TRUNC(CJ12/VLOOKUP("PCS-30685g",[7]ARBOR!$A:$C,3,0)-1,4)))))</f>
        <v>0.60509999999999997</v>
      </c>
      <c r="CL12" s="65" t="str">
        <f>IF(ISERROR(IF(CK12="","",VLOOKUP(($BH12&amp;CK12&amp;"Template de desconto FLAT bundle - Velox XDSL - Varejo"),[7]BENEFICIOS!$A:$E,5,0))),"Criar",IF(CK12="","",VLOOKUP(($BH12&amp;CK12&amp;"Template de desconto FLAT bundle - Velox XDSL - Varejo"),[7]BENEFICIOS!$A:$E,5,0)))</f>
        <v>MKT-1-9865694381</v>
      </c>
      <c r="CM12" s="68" t="s">
        <v>161</v>
      </c>
      <c r="CN12" s="69">
        <v>49.9</v>
      </c>
      <c r="CO12" s="64">
        <f>IF(CN12=0,"",IF(CN12=VLOOKUP("PCS-30712g",[7]ARBOR!$A:$C,3,0),0.0001,IF(CN12&gt;VLOOKUP("PCS-30712g",[7]ARBOR!$A:$C,3,0),"Maior que CAP!",IF((DOLLAR(CN12+(VLOOKUP("PCS-30712g",[7]ARBOR!$A:$C,3,0)*-TRUNC(CN12/VLOOKUP("PCS-30712g",[7]ARBOR!$A:$C,3,0)-1,4)),6))&lt;&gt;(DOLLAR(VLOOKUP("PCS-30712g",[7]ARBOR!$A:$C,3,0),6)),-TRUNC(CN12/VLOOKUP("PCS-30712g",[7]ARBOR!$A:$C,3,0)-1,4)+0.0001,-TRUNC(CN12/VLOOKUP("PCS-30712g",[7]ARBOR!$A:$C,3,0)-1,4)))))</f>
        <v>0.64459999999999995</v>
      </c>
      <c r="CP12" s="65" t="str">
        <f>IF(ISERROR(IF(CO12="","",VLOOKUP(($BH12&amp;CO12&amp;"Template de desconto FLAT bundle - Velox XDSL - Varejo"),[7]BENEFICIOS!$A:$E,5,0))),"Criar",IF(CO12="","",VLOOKUP(($BH12&amp;CO12&amp;"Template de desconto FLAT bundle - Velox XDSL - Varejo"),[7]BENEFICIOS!$A:$E,5,0)))</f>
        <v>MKT-1-9865191105</v>
      </c>
      <c r="CQ12" s="68" t="s">
        <v>161</v>
      </c>
      <c r="CR12" s="69">
        <v>59.9</v>
      </c>
      <c r="CS12" s="64">
        <f>IF(CR12=0,"",IF(CR12=VLOOKUP("PCS-30739g",[7]ARBOR!$A:$C,3,0),0.0001,IF(CR12&gt;VLOOKUP("PCS-30739g",[7]ARBOR!$A:$C,3,0),"Maior que CAP!",IF((DOLLAR(CR12+(VLOOKUP("PCS-30739g",[7]ARBOR!$A:$C,3,0)*-TRUNC(CR12/VLOOKUP("PCS-30739g",[7]ARBOR!$A:$C,3,0)-1,4)),6))&lt;&gt;(DOLLAR(VLOOKUP("PCS-30739g",[7]ARBOR!$A:$C,3,0),6)),-TRUNC(CR12/VLOOKUP("PCS-30739g",[7]ARBOR!$A:$C,3,0)-1,4)+0.0001,-TRUNC(CR12/VLOOKUP("PCS-30739g",[7]ARBOR!$A:$C,3,0)-1,4)))))</f>
        <v>0.71560000000000001</v>
      </c>
      <c r="CT12" s="65" t="str">
        <f>IF(ISERROR(IF(CS12="","",VLOOKUP(($BH12&amp;CS12&amp;"Template de desconto FLAT bundle - Velox XDSL - Varejo"),[7]BENEFICIOS!$A:$E,5,0))),"Criar",IF(CS12="","",VLOOKUP(($BH12&amp;CS12&amp;"Template de desconto FLAT bundle - Velox XDSL - Varejo"),[7]BENEFICIOS!$A:$E,5,0)))</f>
        <v>MKT-1-9865191198</v>
      </c>
      <c r="CU12" s="69"/>
      <c r="CV12" s="70"/>
      <c r="CW12" s="64"/>
      <c r="CX12" s="65"/>
      <c r="CY12" s="68" t="s">
        <v>161</v>
      </c>
      <c r="CZ12" s="69">
        <v>59.9</v>
      </c>
      <c r="DA12" s="64">
        <f>IF(CZ12=0,"",IF(CZ12=VLOOKUP("PCS-30766g",[7]ARBOR!$A:$C,3,0),0.0001,IF(CZ12&gt;VLOOKUP("PCS-30766g",[7]ARBOR!$A:$C,3,0),"Maior que CAP!",IF((DOLLAR(CZ12+(VLOOKUP("PCS-30766g",[7]ARBOR!$A:$C,3,0)*-TRUNC(CZ12/VLOOKUP("PCS-30766g",[7]ARBOR!$A:$C,3,0)-1,4)),6))&lt;&gt;(DOLLAR(VLOOKUP("PCS-30766g",[7]ARBOR!$A:$C,3,0),6)),-TRUNC(CZ12/VLOOKUP("PCS-30766g",[7]ARBOR!$A:$C,3,0)-1,4)+0.0001,-TRUNC(CZ12/VLOOKUP("PCS-30766g",[7]ARBOR!$A:$C,3,0)-1,4)))))</f>
        <v>0.78669999999999995</v>
      </c>
      <c r="DB12" s="65" t="str">
        <f>IF(ISERROR(IF(DA12="","",VLOOKUP(($BH12&amp;DA12&amp;"Template de desconto FLAT bundle - Velox XDSL - Varejo"),[7]BENEFICIOS!$A:$E,5,0))),"Criar",IF(DA12="","",VLOOKUP(($BH12&amp;DA12&amp;"Template de desconto FLAT bundle - Velox XDSL - Varejo"),[7]BENEFICIOS!$A:$E,5,0)))</f>
        <v>MKT-1-9865191291</v>
      </c>
      <c r="DC12" s="69"/>
      <c r="DD12" s="70"/>
      <c r="DE12" s="64"/>
      <c r="DF12" s="65"/>
      <c r="DG12" s="68" t="s">
        <v>240</v>
      </c>
      <c r="DH12" s="69">
        <v>69.900000000000006</v>
      </c>
      <c r="DI12" s="64">
        <f>IF(DH12=0,"",IF(DH12=VLOOKUP("PCS-30793g",[7]ARBOR!$A:$C,3,0),0.0001,IF(DH12&gt;VLOOKUP("PCS-30793g",[7]ARBOR!$A:$C,3,0),"Maior que CAP!",IF((DOLLAR(DH12+(VLOOKUP("PCS-30793g",[7]ARBOR!$A:$C,3,0)*-TRUNC(DH12/VLOOKUP("PCS-30793g",[7]ARBOR!$A:$C,3,0)-1,4)),6))&lt;&gt;(DOLLAR(VLOOKUP("PCS-30793g",[7]ARBOR!$A:$C,3,0),6)),-TRUNC(DH12/VLOOKUP("PCS-30793g",[7]ARBOR!$A:$C,3,0)-1,4)+0.0001,-TRUNC(DH12/VLOOKUP("PCS-30793g",[7]ARBOR!$A:$C,3,0)-1,4)))))</f>
        <v>0.75109999999999999</v>
      </c>
      <c r="DJ12" s="65" t="str">
        <f>IF(ISERROR(IF(DI12="","",VLOOKUP(($BH12&amp;DI12&amp;"Template de desconto FLAT bundle - Velox XDSL - Varejo"),[7]BENEFICIOS!$A:$E,5,0))),"Criar",IF(DI12="","",VLOOKUP(($BH12&amp;DI12&amp;"Template de desconto FLAT bundle - Velox XDSL - Varejo"),[7]BENEFICIOS!$A:$E,5,0)))</f>
        <v>MKT-1-9865191384</v>
      </c>
      <c r="DK12" s="69"/>
      <c r="DL12" s="70"/>
      <c r="DM12" s="64"/>
      <c r="DN12" s="65"/>
      <c r="DO12" s="68" t="s">
        <v>161</v>
      </c>
      <c r="DP12" s="69">
        <v>69.900000000000006</v>
      </c>
      <c r="DQ12" s="64">
        <f>IF(DP12=0,"",IF(DP12=VLOOKUP("PCS-30820g",[7]ARBOR!$A:$C,3,0),0.0001,IF(DP12&gt;VLOOKUP("PCS-30820g",[7]ARBOR!$A:$C,3,0),"Maior que CAP!",IF((DOLLAR(DP12+(VLOOKUP("PCS-30820g",[7]ARBOR!$A:$C,3,0)*-TRUNC(DP12/VLOOKUP("PCS-30820g",[7]ARBOR!$A:$C,3,0)-1,4)),6))&lt;&gt;(DOLLAR(VLOOKUP("PCS-30820g",[7]ARBOR!$A:$C,3,0),6)),-TRUNC(DP12/VLOOKUP("PCS-30820g",[7]ARBOR!$A:$C,3,0)-1,4)+0.0001,-TRUNC(DP12/VLOOKUP("PCS-30820g",[7]ARBOR!$A:$C,3,0)-1,4)))))</f>
        <v>0.75109999999999999</v>
      </c>
      <c r="DR12" s="65" t="str">
        <f>IF(ISERROR(IF(DQ12="","",VLOOKUP(($BH12&amp;DQ12&amp;"Template de desconto FLAT bundle - Velox XDSL - Varejo"),[7]BENEFICIOS!$A:$E,5,0))),"Criar",IF(DQ12="","",VLOOKUP(($BH12&amp;DQ12&amp;"Template de desconto FLAT bundle - Velox XDSL - Varejo"),[7]BENEFICIOS!$A:$E,5,0)))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IF(DW12=0,"",IF(DW12=VLOOKUP("PCS-21448p2",[7]ARBOR!$A:$C,3,0),0.0001,IF(DW12&gt;VLOOKUP("PCS-21448p2",[7]ARBOR!$A:$C,3,0),"Maior que CAP!",IF((DOLLAR(DW12+(VLOOKUP("PCS-21448p2",[7]ARBOR!$A:$C,3,0)*-TRUNC(DW12/VLOOKUP("PCS-21448p2",[7]ARBOR!$A:$C,3,0)-1,4)),6))&lt;&gt;(DOLLAR(VLOOKUP("PCS-21448p2",[7]ARBOR!$A:$C,3,0),6)),-TRUNC(DW12/VLOOKUP("PCS-21448p2",[7]ARBOR!$A:$C,3,0)-1,4)+0.0001,-TRUNC(DW12/VLOOKUP("PCS-21448p2",[7]ARBOR!$A:$C,3,0)-1,4)))))</f>
        <v/>
      </c>
      <c r="DY12" s="65" t="str">
        <f>IF(ISERROR(IF(DX12="","",VLOOKUP(("Oi Conta Total Plug 10GB Downgrade"&amp;DX12&amp;"Template de desconto percentual BL Móvel - Internet Total - Varejo"),[7]BENEFICIOS!$A:$E,5,0))),"Criar",IF(DX12="","",VLOOKUP(("Oi Conta Total Plug 10GB Downgrade"&amp;DX12&amp;"Template de desconto percentual BL Móvel - Internet Total - Varejo"),[7]BENEFICIOS!$A:$E,5,0)))</f>
        <v/>
      </c>
      <c r="DZ12" s="71">
        <v>19.899999999999999</v>
      </c>
      <c r="EA12" s="72">
        <f>IF(DZ12=0,"",IF(DZ12=VLOOKUP("SVA",[7]ARBOR!$A:$C,3,0),0.0001,IF(DZ12&gt;VLOOKUP("SVA",[7]ARBOR!$A:$C,3,0),"Maior que CAP!",IF((DOLLAR(DZ12+(VLOOKUP("SVA",[7]ARBOR!$A:$C,3,0)*-TRUNC(DZ12/VLOOKUP("SVA",[7]ARBOR!$A:$C,3,0)-1,4)),6))&lt;&gt;(DOLLAR(VLOOKUP("SVA",[7]ARBOR!$A:$C,3,0),6)),-TRUNC(DZ12/VLOOKUP("SVA",[7]ARBOR!$A:$C,3,0)-1,4)+0.0001,-TRUNC(DZ12/VLOOKUP("SVA",[7]ARBOR!$A:$C,3,0)-1,4)))))</f>
        <v>7.1400000000000005E-2</v>
      </c>
      <c r="EB12" s="65" t="s">
        <v>241</v>
      </c>
      <c r="EC12" s="69"/>
      <c r="ED12" s="73"/>
      <c r="EE12" s="74"/>
      <c r="EF12" s="65"/>
      <c r="EG12" s="75">
        <f>IF(BI12="","",VLOOKUP(BI12,[7]ARBOR!A:C,3,0))</f>
        <v>479.46</v>
      </c>
      <c r="EH12" s="69">
        <v>15</v>
      </c>
      <c r="EI12" s="76">
        <f>IF(EH12="","",1-(EH12/VLOOKUP(BI12&amp;"ASS",[7]ARBOR!A:C,3,0)))</f>
        <v>0.34725848563968664</v>
      </c>
      <c r="EJ12" s="77" t="s">
        <v>224</v>
      </c>
      <c r="EK12" s="78" t="s">
        <v>225</v>
      </c>
      <c r="EL12" s="69">
        <v>168.98</v>
      </c>
      <c r="EM12" s="64">
        <f>ROUND(IF(EL12=0,"",IF(EL12=EG12,0.0001,1-((EL12+(VLOOKUP(BI12&amp;"ASS",[7]ARBOR!A:C,3,0)-EH12))/EG12))),4)</f>
        <v>0.63090000000000002</v>
      </c>
      <c r="EN12" s="65" t="str">
        <f>IF(ISERROR(IF(EM12="","",VLOOKUP(($BH12&amp;EM12&amp;"Template de desconto percentual FLAT Móvel - Conta Total - Varejo - Ganho Tributário Cross"),[7]BENEFICIOS!$A:$E,5,0))),"Criar",IF(EM12="","",VLOOKUP(($BH12&amp;EM12&amp;"Template de desconto percentual FLAT Móvel - Conta Total - Varejo - Ganho Tributário Cross"),[7]BENEFICIOS!$A:$E,5,0)))</f>
        <v>Criar</v>
      </c>
      <c r="EO12" s="79"/>
      <c r="EP12" s="64"/>
      <c r="EQ12" s="72"/>
      <c r="ER12" s="72"/>
      <c r="ES12" s="64"/>
      <c r="ET12" s="80"/>
      <c r="EU12" s="81" t="s">
        <v>244</v>
      </c>
      <c r="EV12" s="81" t="s">
        <v>261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IF(FC12=0,"",IF(FC12=VLOOKUP("PCS-10357",[7]ARBOR!$A:$C,3,0),0.0001,IF(FC12&gt;VLOOKUP("PCS-10357",[7]ARBOR!$A:$C,3,0),"Maior que CAP!",ROUND(-1*(FC12/VLOOKUP("PCS-10357",[7]ARBOR!$A:$C,3,0)-1),4))))</f>
        <v/>
      </c>
      <c r="FE12" s="84" t="str">
        <f>IF(ISERROR(IF(FD12="","",VLOOKUP(("Oi Internet Pra Celular 1GB"&amp;FD12&amp;"Template Flat Instância Dados"),[7]BENEFICIOS!$A:$E,5,0))),"Criar",IF(FD12="","",VLOOKUP(("Oi Internet Pra Celular 1GB"&amp;FD12&amp;"Template Flat Instância Dados"),[7]BENEFICIOS!$A:$E,5,0)))</f>
        <v/>
      </c>
      <c r="FF12" s="82"/>
      <c r="FG12" s="83" t="str">
        <f>IF(FF12=0,"",IF(FF12=VLOOKUP("PCS-813565",[7]ARBOR!$A:$C,3,0),0.0001,IF(FF12&gt;VLOOKUP("PCS-813565",[7]ARBOR!$A:$C,3,0),"Maior que CAP!",ROUND(-1*(FF12/VLOOKUP("PCS-813565",[7]ARBOR!$A:$C,3,0)-1),4))))</f>
        <v/>
      </c>
      <c r="FH12" s="84" t="str">
        <f>IF(ISERROR(IF(FG12="","",VLOOKUP(("Oi Internet Pra Celular 2GB"&amp;FG12&amp;"Template Flat Instância Dados"),[7]BENEFICIOS!$A:$E,5,0))),"Criar",IF(FG12="","",VLOOKUP(("Oi Internet Pra Celular 2GB"&amp;FG12&amp;"Template Flat Instância Dados"),[7]BENEFICIOS!$A:$E,5,0)))</f>
        <v/>
      </c>
      <c r="FI12" s="82"/>
      <c r="FJ12" s="83" t="str">
        <f>IF(FI12=0,"",IF(FI12=VLOOKUP("PCS-7171B",[7]ARBOR!$A:$C,3,0),0.0001,IF(FI12&gt;VLOOKUP("PCS-7171B",[7]ARBOR!$A:$C,3,0),"Maior que CAP!",ROUND(-1*(FI12/VLOOKUP("PCS-7171B",[7]ARBOR!$A:$C,3,0)-1),4))))</f>
        <v/>
      </c>
      <c r="FK12" s="84" t="str">
        <f>IF(ISERROR(IF(FJ12="","",VLOOKUP(("Oi Internet Pra Celular 3GB"&amp;FJ12&amp;"Template Flat Instância Dados"),[7]BENEFICIOS!$A:$E,5,0))),"Criar",IF(FJ12="","",VLOOKUP(("Oi Internet Pra Celular 3GB"&amp;FJ12&amp;"Template Flat Instância Dados"),[7]BENEFICIOS!$A:$E,5,0)))</f>
        <v/>
      </c>
      <c r="FL12" s="82">
        <v>14.92</v>
      </c>
      <c r="FM12" s="83">
        <f>IF(FL12=0,"",IF(FL12=VLOOKUP("PCS-51793o08",[7]ARBOR!$A:$C,3,0),0.0001,IF(FL12&gt;VLOOKUP("PCS-51793o08",[7]ARBOR!$A:$C,3,0),"Maior que CAP!",ROUND(-1*(FL12/VLOOKUP("PCS-51793o08",[7]ARBOR!$A:$C,3,0)-1),4))))</f>
        <v>0.89500000000000002</v>
      </c>
      <c r="FN12" s="84" t="str">
        <f>IF(ISERROR(IF(FM12="","",VLOOKUP(("Oi Internet Pra Celular 5GB"&amp;FM12&amp;"Template Flat Instância Dados"),[7]BENEFICIOS!$A:$E,5,0))),"Criar",IF(FM12="","",VLOOKUP(("Oi Internet Pra Celular 5GB"&amp;FM12&amp;"Template Flat Instância Dados"),[7]BENEFICIOS!$A:$E,5,0)))</f>
        <v>MKT-1-9870312709</v>
      </c>
      <c r="FO12" s="82"/>
      <c r="FP12" s="83" t="str">
        <f>IF(FO12=0,"",IF(FO12=VLOOKUP("PCS-7171A",[7]ARBOR!$A:$C,3,0),0.0001,IF(FO12&gt;VLOOKUP("PCS-7171A",[7]ARBOR!$A:$C,3,0),"Maior que CAP!",ROUND(-1*(FO12/VLOOKUP("PCS-7171A",[7]ARBOR!$A:$C,3,0)-1),4))))</f>
        <v/>
      </c>
      <c r="FQ12" s="84" t="str">
        <f>IF(ISERROR(IF(FP12="","",VLOOKUP(("Oi Internet Pra Celular 10GB"&amp;FP12&amp;"Template Flat Instância Dados"),[7]BENEFICIOS!$A:$E,5,0))),"Criar",IF(FP12="","",VLOOKUP(("Oi Internet Pra Celular 10GB"&amp;FP12&amp;"Template Flat Instância Dados"),[7]BENEFICIOS!$A:$E,5,0)))</f>
        <v/>
      </c>
      <c r="FR12" s="85">
        <v>0.74260000000000004</v>
      </c>
      <c r="FS12" s="86" t="s">
        <v>262</v>
      </c>
      <c r="FT12" s="48"/>
      <c r="FU12" s="87"/>
      <c r="FV12" s="88" t="s">
        <v>221</v>
      </c>
      <c r="FW12" s="49" t="s">
        <v>226</v>
      </c>
      <c r="FX12" s="89">
        <v>999</v>
      </c>
      <c r="FY12" s="49">
        <v>12</v>
      </c>
      <c r="FZ12" s="90" t="s">
        <v>227</v>
      </c>
      <c r="GA12" s="91" t="str">
        <f t="shared" si="1"/>
        <v>PCS-Fk83324</v>
      </c>
      <c r="GB12" s="92" t="str">
        <f t="shared" si="2"/>
        <v>PCS-SBL553142</v>
      </c>
      <c r="GC12" s="93" t="s">
        <v>228</v>
      </c>
      <c r="GD12" s="90" t="s">
        <v>229</v>
      </c>
      <c r="GE12" s="92" t="s">
        <v>230</v>
      </c>
      <c r="GF12" s="93" t="s">
        <v>231</v>
      </c>
      <c r="GG12" s="90" t="s">
        <v>232</v>
      </c>
      <c r="GH12" s="92" t="s">
        <v>233</v>
      </c>
      <c r="GI12" s="94" t="s">
        <v>234</v>
      </c>
      <c r="GJ12" s="95">
        <f>FL12+EL12+CN12+BJ12</f>
        <v>283.89999999999998</v>
      </c>
      <c r="GK12" s="96"/>
      <c r="GL12" s="97" t="s">
        <v>235</v>
      </c>
      <c r="GM12" s="98" t="s">
        <v>236</v>
      </c>
      <c r="GN12" s="97">
        <f>VLOOKUP($A12,'[7]TABELA COM TUDO'!$A:$AB,25,0)</f>
        <v>20.350000000000001</v>
      </c>
      <c r="GO12" s="99">
        <f>VLOOKUP($A12,'[7]TABELA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265</v>
      </c>
      <c r="GX12" s="44" t="s">
        <v>238</v>
      </c>
    </row>
    <row r="13" spans="1:206" s="44" customFormat="1" x14ac:dyDescent="0.35">
      <c r="A13" s="44" t="str">
        <f t="shared" si="0"/>
        <v>Oi Total Fixo + Pós 800 + Banda LargaN110GBMG</v>
      </c>
      <c r="B13" s="45" t="s">
        <v>211</v>
      </c>
      <c r="C13" s="46" t="s">
        <v>127</v>
      </c>
      <c r="D13" s="46" t="s">
        <v>212</v>
      </c>
      <c r="E13" s="47" t="s">
        <v>213</v>
      </c>
      <c r="F13" s="48" t="s">
        <v>214</v>
      </c>
      <c r="G13" s="49"/>
      <c r="H13" s="49"/>
      <c r="I13" s="49"/>
      <c r="J13" s="49" t="s">
        <v>214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214</v>
      </c>
      <c r="AC13" s="49" t="s">
        <v>214</v>
      </c>
      <c r="AD13" s="49" t="s">
        <v>214</v>
      </c>
      <c r="AE13" s="49" t="s">
        <v>214</v>
      </c>
      <c r="AF13" s="49" t="s">
        <v>214</v>
      </c>
      <c r="AG13" s="49" t="s">
        <v>214</v>
      </c>
      <c r="AH13" s="50"/>
      <c r="AI13" s="49" t="s">
        <v>214</v>
      </c>
      <c r="AJ13" s="49" t="s">
        <v>214</v>
      </c>
      <c r="AK13" s="49" t="s">
        <v>214</v>
      </c>
      <c r="AL13" s="49" t="s">
        <v>214</v>
      </c>
      <c r="AM13" s="49" t="s">
        <v>214</v>
      </c>
      <c r="AN13" s="49" t="s">
        <v>214</v>
      </c>
      <c r="AO13" s="49" t="s">
        <v>214</v>
      </c>
      <c r="AP13" s="49"/>
      <c r="AQ13" s="51"/>
      <c r="AR13" s="52" t="s">
        <v>266</v>
      </c>
      <c r="AS13" s="46" t="s">
        <v>216</v>
      </c>
      <c r="AT13" s="53" t="s">
        <v>217</v>
      </c>
      <c r="AU13" s="54">
        <v>42972</v>
      </c>
      <c r="AV13" s="55">
        <v>43038</v>
      </c>
      <c r="AW13" s="56" t="s">
        <v>218</v>
      </c>
      <c r="AX13" s="57" t="s">
        <v>218</v>
      </c>
      <c r="AY13" s="58"/>
      <c r="AZ13" s="58" t="s">
        <v>219</v>
      </c>
      <c r="BA13" s="58">
        <v>20</v>
      </c>
      <c r="BB13" s="58">
        <v>10000</v>
      </c>
      <c r="BC13" s="59" t="s">
        <v>220</v>
      </c>
      <c r="BD13" s="60" t="s">
        <v>221</v>
      </c>
      <c r="BE13" s="58" t="s">
        <v>213</v>
      </c>
      <c r="BF13" s="51" t="s">
        <v>213</v>
      </c>
      <c r="BG13" s="45" t="s">
        <v>266</v>
      </c>
      <c r="BH13" s="61" t="s">
        <v>222</v>
      </c>
      <c r="BI13" s="62" t="str">
        <f>IF(ISERROR(VLOOKUP(BH13,[7]PLANOS!B:C,2,0)),"",VLOOKUP(BH13,[7]PLANOS!B:C,2,0))</f>
        <v>PCS-4P6pi</v>
      </c>
      <c r="BJ13" s="63">
        <v>50.1</v>
      </c>
      <c r="BK13" s="64">
        <f>IF(BJ13=0,"",IF(BJ13=VLOOKUP("FIXO",[7]ARBOR!$A:$C,3,0),0.0001,IF(BJ13&gt;VLOOKUP("FIXO",[7]ARBOR!$A:$C,3,0),"Maior que CAP!",IF((DOLLAR(BJ13+(VLOOKUP("FIXO",[7]ARBOR!$A:$C,3,0)*-TRUNC(BJ13/VLOOKUP("FIXO",[7]ARBOR!$A:$C,3,0)-1,4)),6))&lt;&gt;(DOLLAR(VLOOKUP("FIXO",[7]ARBOR!$A:$C,3,0),6)),-TRUNC(BJ13/VLOOKUP("FIXO",[7]ARBOR!$A:$C,3,0)-1,4)+0.0001,-TRUNC(BJ13/VLOOKUP("FIXO",[7]ARBOR!$A:$C,3,0)-1,4)))))</f>
        <v>0.33939999999999998</v>
      </c>
      <c r="BL13" s="65" t="str">
        <f>IF(ISERROR(IF(BK13="","",VLOOKUP(($BH13&amp;BK13&amp;"Template de desconto FLAT bundle - Fixo - Varejo - Ganho Tributário Cross"),[7]BENEFICIOS!$A:$E,5,0))),"Criar",IF(BK13="","",VLOOKUP(($BH13&amp;BK13&amp;"Template de desconto FLAT bundle - Fixo - Varejo - Ganho Tributário Cross"),[7]BENEFICIOS!$A:$E,5,0)))</f>
        <v>MKT-1-9856472058</v>
      </c>
      <c r="BM13" s="66"/>
      <c r="BN13" s="67"/>
      <c r="BO13" s="68" t="s">
        <v>161</v>
      </c>
      <c r="BP13" s="69">
        <v>44.9</v>
      </c>
      <c r="BQ13" s="64">
        <f>IF(BP13=0,"",IF(BP13=VLOOKUP("PCS-30874g",[7]ARBOR!$A:$C,3,0),0.0001,IF(BP13&gt;VLOOKUP("PCS-30874g",[7]ARBOR!$A:$C,3,0),"Maior que CAP!",IF((DOLLAR(BP13+(VLOOKUP("PCS-30874g",[7]ARBOR!$A:$C,3,0)*-TRUNC(BP13/VLOOKUP("PCS-30874g",[7]ARBOR!$A:$C,3,0)-1,4)),6))&lt;&gt;(DOLLAR(VLOOKUP("PCS-30874g",[7]ARBOR!$A:$C,3,0),6)),-TRUNC(BP13/VLOOKUP("PCS-30874g",[7]ARBOR!$A:$C,3,0)-1,4)+0.0001,-TRUNC(BP13/VLOOKUP("PCS-30874g",[7]ARBOR!$A:$C,3,0)-1,4)))))</f>
        <v>0.53679999999999994</v>
      </c>
      <c r="BR13" s="65" t="str">
        <f>IF(ISERROR(IF(BQ13="","",VLOOKUP(($BH13&amp;BQ13&amp;"Template de desconto FLAT bundle - Velox XDSL - Varejo"),[7]BENEFICIOS!$A:$E,5,0))),"Criar",IF(BQ13="","",VLOOKUP(($BH13&amp;BQ13&amp;"Template de desconto FLAT bundle - Velox XDSL - Varejo"),[7]BENEFICIOS!$A:$E,5,0)))</f>
        <v>MKT-1-9865126733</v>
      </c>
      <c r="BS13" s="68" t="s">
        <v>161</v>
      </c>
      <c r="BT13" s="69">
        <v>44.9</v>
      </c>
      <c r="BU13" s="64">
        <f>IF(BT13=0,"",IF(BT13=VLOOKUP("PCS-30577g",[7]ARBOR!$A:$C,3,0),0.0001,IF(BT13&gt;VLOOKUP("PCS-30577g",[7]ARBOR!$A:$C,3,0),"Maior que CAP!",IF((DOLLAR(BT13+(VLOOKUP("PCS-30577g",[7]ARBOR!$A:$C,3,0)*-TRUNC(BT13/VLOOKUP("PCS-30577g",[7]ARBOR!$A:$C,3,0)-1,4)),6))&lt;&gt;(DOLLAR(VLOOKUP("PCS-30577g",[7]ARBOR!$A:$C,3,0),6)),-TRUNC(BT13/VLOOKUP("PCS-30577g",[7]ARBOR!$A:$C,3,0)-1,4)+0.0001,-TRUNC(BT13/VLOOKUP("PCS-30577g",[7]ARBOR!$A:$C,3,0)-1,4)))))</f>
        <v>0.53679999999999994</v>
      </c>
      <c r="BV13" s="65" t="str">
        <f>IF(ISERROR(IF(BU13="","",VLOOKUP(($BH13&amp;BU13&amp;"Template de desconto FLAT bundle - Velox XDSL - Varejo"),[7]BENEFICIOS!$A:$E,5,0))),"Criar",IF(BU13="","",VLOOKUP(($BH13&amp;BU13&amp;"Template de desconto FLAT bundle - Velox XDSL - Varejo"),[7]BENEFICIOS!$A:$E,5,0)))</f>
        <v>MKT-1-9865126733</v>
      </c>
      <c r="BW13" s="68" t="s">
        <v>161</v>
      </c>
      <c r="BX13" s="69">
        <v>44.9</v>
      </c>
      <c r="BY13" s="64">
        <f>IF(BX13=0,"",IF(BX13=VLOOKUP("PCS-30604g",[7]ARBOR!$A:$C,3,0),0.0001,IF(BX13&gt;VLOOKUP("PCS-30604g",[7]ARBOR!$A:$C,3,0),"Maior que CAP!",IF((DOLLAR(BX13+(VLOOKUP("PCS-30604g",[7]ARBOR!$A:$C,3,0)*-TRUNC(BX13/VLOOKUP("PCS-30604g",[7]ARBOR!$A:$C,3,0)-1,4)),6))&lt;&gt;(DOLLAR(VLOOKUP("PCS-30604g",[7]ARBOR!$A:$C,3,0),6)),-TRUNC(BX13/VLOOKUP("PCS-30604g",[7]ARBOR!$A:$C,3,0)-1,4)+0.0001,-TRUNC(BX13/VLOOKUP("PCS-30604g",[7]ARBOR!$A:$C,3,0)-1,4)))))</f>
        <v>0.53679999999999994</v>
      </c>
      <c r="BZ13" s="65" t="str">
        <f>IF(ISERROR(IF(BY13="","",VLOOKUP(($BH13&amp;BY13&amp;"Template de desconto FLAT bundle - Velox XDSL - Varejo"),[7]BENEFICIOS!$A:$E,5,0))),"Criar",IF(BY13="","",VLOOKUP(($BH13&amp;BY13&amp;"Template de desconto FLAT bundle - Velox XDSL - Varejo"),[7]BENEFICIOS!$A:$E,5,0)))</f>
        <v>MKT-1-9865126733</v>
      </c>
      <c r="CA13" s="68" t="s">
        <v>161</v>
      </c>
      <c r="CB13" s="69">
        <v>44.9</v>
      </c>
      <c r="CC13" s="64">
        <f>IF(CB13=0,"",IF(CB13=VLOOKUP("PCS-30631g",[7]ARBOR!$A:$C,3,0),0.0001,IF(CB13&gt;VLOOKUP("PCS-30631g",[7]ARBOR!$A:$C,3,0),"Maior que CAP!",IF((DOLLAR(CB13+(VLOOKUP("PCS-30631g",[7]ARBOR!$A:$C,3,0)*-TRUNC(CB13/VLOOKUP("PCS-30631g",[7]ARBOR!$A:$C,3,0)-1,4)),6))&lt;&gt;(DOLLAR(VLOOKUP("PCS-30631g",[7]ARBOR!$A:$C,3,0),6)),-TRUNC(CB13/VLOOKUP("PCS-30631g",[7]ARBOR!$A:$C,3,0)-1,4)+0.0001,-TRUNC(CB13/VLOOKUP("PCS-30631g",[7]ARBOR!$A:$C,3,0)-1,4)))))</f>
        <v>0.54310000000000003</v>
      </c>
      <c r="CD13" s="65" t="str">
        <f>IF(ISERROR(IF(CC13="","",VLOOKUP(($BH13&amp;CC13&amp;"Template de desconto FLAT bundle - Velox XDSL - Varejo"),[7]BENEFICIOS!$A:$E,5,0))),"Criar",IF(CC13="","",VLOOKUP(($BH13&amp;CC13&amp;"Template de desconto FLAT bundle - Velox XDSL - Varejo"),[7]BENEFICIOS!$A:$E,5,0)))</f>
        <v>MKT-1-9865126826</v>
      </c>
      <c r="CE13" s="68"/>
      <c r="CF13" s="69"/>
      <c r="CG13" s="64" t="str">
        <f>IF(CF13=0,"",IF(CF13=VLOOKUP("PCS-30658g",[7]ARBOR!$A:$C,3,0),0.0001,IF(CF13&gt;VLOOKUP("PCS-30658g",[7]ARBOR!$A:$C,3,0),"Maior que CAP!",IF((DOLLAR(CF13+(VLOOKUP("PCS-30658g",[7]ARBOR!$A:$C,3,0)*-TRUNC(CF13/VLOOKUP("PCS-30658g",[7]ARBOR!$A:$C,3,0)-1,4)),6))&lt;&gt;(DOLLAR(VLOOKUP("PCS-30658g",[7]ARBOR!$A:$C,3,0),6)),-TRUNC(CF13/VLOOKUP("PCS-30658g",[7]ARBOR!$A:$C,3,0)-1,4)+0.0001,-TRUNC(CF13/VLOOKUP("PCS-30658g",[7]ARBOR!$A:$C,3,0)-1,4)))))</f>
        <v/>
      </c>
      <c r="CH13" s="65" t="str">
        <f>IF(ISERROR(IF(CG13="","",VLOOKUP(($BH13&amp;CG13&amp;"Template de desconto FLAT bundle - Velox XDSL - Varejo"),[7]BENEFICIOS!$A:$E,5,0))),"Criar",IF(CG13="","",VLOOKUP(($BH13&amp;CG13&amp;"Template de desconto FLAT bundle - Velox XDSL - Varejo"),[7]BENEFICIOS!$A:$E,5,0)))</f>
        <v/>
      </c>
      <c r="CI13" s="68"/>
      <c r="CJ13" s="69"/>
      <c r="CK13" s="64" t="str">
        <f>IF(CJ13=0,"",IF(CJ13=VLOOKUP("PCS-30685g",[7]ARBOR!$A:$C,3,0),0.0001,IF(CJ13&gt;VLOOKUP("PCS-30685g",[7]ARBOR!$A:$C,3,0),"Maior que CAP!",IF((DOLLAR(CJ13+(VLOOKUP("PCS-30685g",[7]ARBOR!$A:$C,3,0)*-TRUNC(CJ13/VLOOKUP("PCS-30685g",[7]ARBOR!$A:$C,3,0)-1,4)),6))&lt;&gt;(DOLLAR(VLOOKUP("PCS-30685g",[7]ARBOR!$A:$C,3,0),6)),-TRUNC(CJ13/VLOOKUP("PCS-30685g",[7]ARBOR!$A:$C,3,0)-1,4)+0.0001,-TRUNC(CJ13/VLOOKUP("PCS-30685g",[7]ARBOR!$A:$C,3,0)-1,4)))))</f>
        <v/>
      </c>
      <c r="CL13" s="65" t="str">
        <f>IF(ISERROR(IF(CK13="","",VLOOKUP(($BH13&amp;CK13&amp;"Template de desconto FLAT bundle - Velox XDSL - Varejo"),[7]BENEFICIOS!$A:$E,5,0))),"Criar",IF(CK13="","",VLOOKUP(($BH13&amp;CK13&amp;"Template de desconto FLAT bundle - Velox XDSL - Varejo"),[7]BENEFICIOS!$A:$E,5,0)))</f>
        <v/>
      </c>
      <c r="CM13" s="68"/>
      <c r="CN13" s="69"/>
      <c r="CO13" s="64" t="str">
        <f>IF(CN13=0,"",IF(CN13=VLOOKUP("PCS-30712g",[7]ARBOR!$A:$C,3,0),0.0001,IF(CN13&gt;VLOOKUP("PCS-30712g",[7]ARBOR!$A:$C,3,0),"Maior que CAP!",IF((DOLLAR(CN13+(VLOOKUP("PCS-30712g",[7]ARBOR!$A:$C,3,0)*-TRUNC(CN13/VLOOKUP("PCS-30712g",[7]ARBOR!$A:$C,3,0)-1,4)),6))&lt;&gt;(DOLLAR(VLOOKUP("PCS-30712g",[7]ARBOR!$A:$C,3,0),6)),-TRUNC(CN13/VLOOKUP("PCS-30712g",[7]ARBOR!$A:$C,3,0)-1,4)+0.0001,-TRUNC(CN13/VLOOKUP("PCS-30712g",[7]ARBOR!$A:$C,3,0)-1,4)))))</f>
        <v/>
      </c>
      <c r="CP13" s="65" t="str">
        <f>IF(ISERROR(IF(CO13="","",VLOOKUP(($BH13&amp;CO13&amp;"Template de desconto FLAT bundle - Velox XDSL - Varejo"),[7]BENEFICIOS!$A:$E,5,0))),"Criar",IF(CO13="","",VLOOKUP(($BH13&amp;CO13&amp;"Template de desconto FLAT bundle - Velox XDSL - Varejo"),[7]BENEFICIOS!$A:$E,5,0)))</f>
        <v/>
      </c>
      <c r="CQ13" s="68"/>
      <c r="CR13" s="69"/>
      <c r="CS13" s="64" t="str">
        <f>IF(CR13=0,"",IF(CR13=VLOOKUP("PCS-30739g",[7]ARBOR!$A:$C,3,0),0.0001,IF(CR13&gt;VLOOKUP("PCS-30739g",[7]ARBOR!$A:$C,3,0),"Maior que CAP!",IF((DOLLAR(CR13+(VLOOKUP("PCS-30739g",[7]ARBOR!$A:$C,3,0)*-TRUNC(CR13/VLOOKUP("PCS-30739g",[7]ARBOR!$A:$C,3,0)-1,4)),6))&lt;&gt;(DOLLAR(VLOOKUP("PCS-30739g",[7]ARBOR!$A:$C,3,0),6)),-TRUNC(CR13/VLOOKUP("PCS-30739g",[7]ARBOR!$A:$C,3,0)-1,4)+0.0001,-TRUNC(CR13/VLOOKUP("PCS-30739g",[7]ARBOR!$A:$C,3,0)-1,4)))))</f>
        <v/>
      </c>
      <c r="CT13" s="65" t="str">
        <f>IF(ISERROR(IF(CS13="","",VLOOKUP(($BH13&amp;CS13&amp;"Template de desconto FLAT bundle - Velox XDSL - Varejo"),[7]BENEFICIOS!$A:$E,5,0))),"Criar",IF(CS13="","",VLOOKUP(($BH13&amp;CS13&amp;"Template de desconto FLAT bundle - Velox XDSL - Varejo"),[7]BENEFICIOS!$A:$E,5,0)))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IF(CZ13=0,"",IF(CZ13=VLOOKUP("PCS-30766g",[7]ARBOR!$A:$C,3,0),0.0001,IF(CZ13&gt;VLOOKUP("PCS-30766g",[7]ARBOR!$A:$C,3,0),"Maior que CAP!",IF((DOLLAR(CZ13+(VLOOKUP("PCS-30766g",[7]ARBOR!$A:$C,3,0)*-TRUNC(CZ13/VLOOKUP("PCS-30766g",[7]ARBOR!$A:$C,3,0)-1,4)),6))&lt;&gt;(DOLLAR(VLOOKUP("PCS-30766g",[7]ARBOR!$A:$C,3,0),6)),-TRUNC(CZ13/VLOOKUP("PCS-30766g",[7]ARBOR!$A:$C,3,0)-1,4)+0.0001,-TRUNC(CZ13/VLOOKUP("PCS-30766g",[7]ARBOR!$A:$C,3,0)-1,4)))))</f>
        <v/>
      </c>
      <c r="DB13" s="65" t="str">
        <f>IF(ISERROR(IF(DA13="","",VLOOKUP(($BH13&amp;DA13&amp;"Template de desconto FLAT bundle - Velox XDSL - Varejo"),[7]BENEFICIOS!$A:$E,5,0))),"Criar",IF(DA13="","",VLOOKUP(($BH13&amp;DA13&amp;"Template de desconto FLAT bundle - Velox XDSL - Varejo"),[7]BENEFICIOS!$A:$E,5,0)))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IF(DH13=0,"",IF(DH13=VLOOKUP("PCS-30793g",[7]ARBOR!$A:$C,3,0),0.0001,IF(DH13&gt;VLOOKUP("PCS-30793g",[7]ARBOR!$A:$C,3,0),"Maior que CAP!",IF((DOLLAR(DH13+(VLOOKUP("PCS-30793g",[7]ARBOR!$A:$C,3,0)*-TRUNC(DH13/VLOOKUP("PCS-30793g",[7]ARBOR!$A:$C,3,0)-1,4)),6))&lt;&gt;(DOLLAR(VLOOKUP("PCS-30793g",[7]ARBOR!$A:$C,3,0),6)),-TRUNC(DH13/VLOOKUP("PCS-30793g",[7]ARBOR!$A:$C,3,0)-1,4)+0.0001,-TRUNC(DH13/VLOOKUP("PCS-30793g",[7]ARBOR!$A:$C,3,0)-1,4)))))</f>
        <v/>
      </c>
      <c r="DJ13" s="65" t="str">
        <f>IF(ISERROR(IF(DI13="","",VLOOKUP(($BH13&amp;DI13&amp;"Template de desconto FLAT bundle - Velox XDSL - Varejo"),[7]BENEFICIOS!$A:$E,5,0))),"Criar",IF(DI13="","",VLOOKUP(($BH13&amp;DI13&amp;"Template de desconto FLAT bundle - Velox XDSL - Varejo"),[7]BENEFICIOS!$A:$E,5,0)))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IF(DP13=0,"",IF(DP13=VLOOKUP("PCS-30820g",[7]ARBOR!$A:$C,3,0),0.0001,IF(DP13&gt;VLOOKUP("PCS-30820g",[7]ARBOR!$A:$C,3,0),"Maior que CAP!",IF((DOLLAR(DP13+(VLOOKUP("PCS-30820g",[7]ARBOR!$A:$C,3,0)*-TRUNC(DP13/VLOOKUP("PCS-30820g",[7]ARBOR!$A:$C,3,0)-1,4)),6))&lt;&gt;(DOLLAR(VLOOKUP("PCS-30820g",[7]ARBOR!$A:$C,3,0),6)),-TRUNC(DP13/VLOOKUP("PCS-30820g",[7]ARBOR!$A:$C,3,0)-1,4)+0.0001,-TRUNC(DP13/VLOOKUP("PCS-30820g",[7]ARBOR!$A:$C,3,0)-1,4)))))</f>
        <v/>
      </c>
      <c r="DR13" s="65" t="str">
        <f>IF(ISERROR(IF(DQ13="","",VLOOKUP(($BH13&amp;DQ13&amp;"Template de desconto FLAT bundle - Velox XDSL - Varejo"),[7]BENEFICIOS!$A:$E,5,0))),"Criar",IF(DQ13="","",VLOOKUP(($BH13&amp;DQ13&amp;"Template de desconto FLAT bundle - Velox XDSL - Varejo"),[7]BENEFICIOS!$A:$E,5,0)))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IF(DW13=0,"",IF(DW13=VLOOKUP("PCS-21448p2",[7]ARBOR!$A:$C,3,0),0.0001,IF(DW13&gt;VLOOKUP("PCS-21448p2",[7]ARBOR!$A:$C,3,0),"Maior que CAP!",IF((DOLLAR(DW13+(VLOOKUP("PCS-21448p2",[7]ARBOR!$A:$C,3,0)*-TRUNC(DW13/VLOOKUP("PCS-21448p2",[7]ARBOR!$A:$C,3,0)-1,4)),6))&lt;&gt;(DOLLAR(VLOOKUP("PCS-21448p2",[7]ARBOR!$A:$C,3,0),6)),-TRUNC(DW13/VLOOKUP("PCS-21448p2",[7]ARBOR!$A:$C,3,0)-1,4)+0.0001,-TRUNC(DW13/VLOOKUP("PCS-21448p2",[7]ARBOR!$A:$C,3,0)-1,4)))))</f>
        <v>0.64900000000000002</v>
      </c>
      <c r="DY13" s="65" t="str">
        <f>IF(ISERROR(IF(DX13="","",VLOOKUP(("Oi Conta Total Plug 10GB Downgrade"&amp;DX13&amp;"Template de desconto percentual BL Móvel - Internet Total - Varejo"),[7]BENEFICIOS!$A:$E,5,0))),"Criar",IF(DX13="","",VLOOKUP(("Oi Conta Total Plug 10GB Downgrade"&amp;DX13&amp;"Template de desconto percentual BL Móvel - Internet Total - Varejo"),[7]BENEFICIOS!$A:$E,5,0)))</f>
        <v>MKT-1-9825544790</v>
      </c>
      <c r="DZ13" s="71">
        <v>16.5</v>
      </c>
      <c r="EA13" s="72">
        <f>IF(DZ13=0,"",IF(DZ13=VLOOKUP("SVA",[7]ARBOR!$A:$C,3,0),0.0001,IF(DZ13&gt;VLOOKUP("SVA",[7]ARBOR!$A:$C,3,0),"Maior que CAP!",IF((DOLLAR(DZ13+(VLOOKUP("SVA",[7]ARBOR!$A:$C,3,0)*-TRUNC(DZ13/VLOOKUP("SVA",[7]ARBOR!$A:$C,3,0)-1,4)),6))&lt;&gt;(DOLLAR(VLOOKUP("SVA",[7]ARBOR!$A:$C,3,0),6)),-TRUNC(DZ13/VLOOKUP("SVA",[7]ARBOR!$A:$C,3,0)-1,4)+0.0001,-TRUNC(DZ13/VLOOKUP("SVA",[7]ARBOR!$A:$C,3,0)-1,4)))))</f>
        <v>0.2301</v>
      </c>
      <c r="EB13" s="65" t="s">
        <v>223</v>
      </c>
      <c r="EC13" s="69"/>
      <c r="ED13" s="73"/>
      <c r="EE13" s="74"/>
      <c r="EF13" s="65"/>
      <c r="EG13" s="75">
        <f>IF(BI13="","",VLOOKUP(BI13,[7]ARBOR!A:C,3,0))</f>
        <v>479.46</v>
      </c>
      <c r="EH13" s="69">
        <v>15</v>
      </c>
      <c r="EI13" s="76">
        <f>IF(EH13="","",1-(EH13/VLOOKUP(BI13&amp;"ASS",[7]ARBOR!A:C,3,0)))</f>
        <v>0.34725848563968664</v>
      </c>
      <c r="EJ13" s="77" t="s">
        <v>224</v>
      </c>
      <c r="EK13" s="78" t="s">
        <v>225</v>
      </c>
      <c r="EL13" s="69">
        <v>180.36999999999998</v>
      </c>
      <c r="EM13" s="64">
        <f>ROUND(IF(EL13=0,"",IF(EL13=EG13,0.0001,1-((EL13+(VLOOKUP(BI13&amp;"ASS",[7]ARBOR!A:C,3,0)-EH13))/EG13))),4)</f>
        <v>0.60719999999999996</v>
      </c>
      <c r="EN13" s="65" t="str">
        <f>IF(ISERROR(IF(EM13="","",VLOOKUP(($BH13&amp;EM13&amp;"Template de desconto percentual FLAT Móvel - Conta Total - Varejo - Ganho Tributário Cross"),[7]BENEFICIOS!$A:$E,5,0))),"Criar",IF(EM13="","",VLOOKUP(($BH13&amp;EM13&amp;"Template de desconto percentual FLAT Móvel - Conta Total - Varejo - Ganho Tributário Cross"),[7]BENEFICIOS!$A:$E,5,0)))</f>
        <v>Criar</v>
      </c>
      <c r="EO13" s="79"/>
      <c r="EP13" s="64"/>
      <c r="EQ13" s="72"/>
      <c r="ER13" s="72"/>
      <c r="ES13" s="64"/>
      <c r="ET13" s="80"/>
      <c r="EU13" s="81" t="s">
        <v>244</v>
      </c>
      <c r="EV13" s="81" t="s">
        <v>267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IF(FC13=0,"",IF(FC13=VLOOKUP("PCS-10357",[7]ARBOR!$A:$C,3,0),0.0001,IF(FC13&gt;VLOOKUP("PCS-10357",[7]ARBOR!$A:$C,3,0),"Maior que CAP!",ROUND(-1*(FC13/VLOOKUP("PCS-10357",[7]ARBOR!$A:$C,3,0)-1),4))))</f>
        <v/>
      </c>
      <c r="FE13" s="84" t="str">
        <f>IF(ISERROR(IF(FD13="","",VLOOKUP(("Oi Internet Pra Celular 1GB"&amp;FD13&amp;"Template Flat Instância Dados"),[7]BENEFICIOS!$A:$E,5,0))),"Criar",IF(FD13="","",VLOOKUP(("Oi Internet Pra Celular 1GB"&amp;FD13&amp;"Template Flat Instância Dados"),[7]BENEFICIOS!$A:$E,5,0)))</f>
        <v/>
      </c>
      <c r="FF13" s="82"/>
      <c r="FG13" s="83" t="str">
        <f>IF(FF13=0,"",IF(FF13=VLOOKUP("PCS-813565",[7]ARBOR!$A:$C,3,0),0.0001,IF(FF13&gt;VLOOKUP("PCS-813565",[7]ARBOR!$A:$C,3,0),"Maior que CAP!",ROUND(-1*(FF13/VLOOKUP("PCS-813565",[7]ARBOR!$A:$C,3,0)-1),4))))</f>
        <v/>
      </c>
      <c r="FH13" s="84" t="str">
        <f>IF(ISERROR(IF(FG13="","",VLOOKUP(("Oi Internet Pra Celular 2GB"&amp;FG13&amp;"Template Flat Instância Dados"),[7]BENEFICIOS!$A:$E,5,0))),"Criar",IF(FG13="","",VLOOKUP(("Oi Internet Pra Celular 2GB"&amp;FG13&amp;"Template Flat Instância Dados"),[7]BENEFICIOS!$A:$E,5,0)))</f>
        <v/>
      </c>
      <c r="FI13" s="82"/>
      <c r="FJ13" s="83" t="str">
        <f>IF(FI13=0,"",IF(FI13=VLOOKUP("PCS-7171B",[7]ARBOR!$A:$C,3,0),0.0001,IF(FI13&gt;VLOOKUP("PCS-7171B",[7]ARBOR!$A:$C,3,0),"Maior que CAP!",ROUND(-1*(FI13/VLOOKUP("PCS-7171B",[7]ARBOR!$A:$C,3,0)-1),4))))</f>
        <v/>
      </c>
      <c r="FK13" s="84" t="str">
        <f>IF(ISERROR(IF(FJ13="","",VLOOKUP(("Oi Internet Pra Celular 3GB"&amp;FJ13&amp;"Template Flat Instância Dados"),[7]BENEFICIOS!$A:$E,5,0))),"Criar",IF(FJ13="","",VLOOKUP(("Oi Internet Pra Celular 3GB"&amp;FJ13&amp;"Template Flat Instância Dados"),[7]BENEFICIOS!$A:$E,5,0)))</f>
        <v/>
      </c>
      <c r="FL13" s="82"/>
      <c r="FM13" s="83"/>
      <c r="FN13" s="84"/>
      <c r="FO13" s="82">
        <v>35.53</v>
      </c>
      <c r="FP13" s="83">
        <f>IF(FO13=0,"",IF(FO13=VLOOKUP("PCS-7171A",[7]ARBOR!$A:$C,3,0),0.0001,IF(FO13&gt;VLOOKUP("PCS-7171A",[7]ARBOR!$A:$C,3,0),"Maior que CAP!",ROUND(-1*(FO13/VLOOKUP("PCS-7171A",[7]ARBOR!$A:$C,3,0)-1),4))))</f>
        <v>0.81899999999999995</v>
      </c>
      <c r="FQ13" s="84" t="str">
        <f>IF(ISERROR(IF(FP13="","",VLOOKUP(("Oi Internet Pra Celular 10GB"&amp;FP13&amp;"Template Flat Instância Dados"),[7]BENEFICIOS!$A:$E,5,0))),"Criar",IF(FP13="","",VLOOKUP(("Oi Internet Pra Celular 10GB"&amp;FP13&amp;"Template Flat Instância Dados"),[7]BENEFICIOS!$A:$E,5,0)))</f>
        <v>MKT-1-9869971287</v>
      </c>
      <c r="FR13" s="85">
        <v>0.74260000000000004</v>
      </c>
      <c r="FS13" s="86" t="s">
        <v>262</v>
      </c>
      <c r="FT13" s="48"/>
      <c r="FU13" s="87"/>
      <c r="FV13" s="88" t="s">
        <v>221</v>
      </c>
      <c r="FW13" s="49" t="s">
        <v>226</v>
      </c>
      <c r="FX13" s="89">
        <v>999</v>
      </c>
      <c r="FY13" s="49">
        <v>12</v>
      </c>
      <c r="FZ13" s="90" t="s">
        <v>227</v>
      </c>
      <c r="GA13" s="91" t="str">
        <f t="shared" si="1"/>
        <v>PCS-Fk83324</v>
      </c>
      <c r="GB13" s="92" t="str">
        <f t="shared" si="2"/>
        <v>PCS-SBL553142</v>
      </c>
      <c r="GC13" s="93" t="s">
        <v>228</v>
      </c>
      <c r="GD13" s="90" t="s">
        <v>229</v>
      </c>
      <c r="GE13" s="92" t="s">
        <v>230</v>
      </c>
      <c r="GF13" s="93" t="s">
        <v>231</v>
      </c>
      <c r="GG13" s="90" t="s">
        <v>232</v>
      </c>
      <c r="GH13" s="92" t="s">
        <v>233</v>
      </c>
      <c r="GI13" s="94" t="s">
        <v>234</v>
      </c>
      <c r="GJ13" s="95">
        <f>FO13+EL13+DW13+BJ13</f>
        <v>310.89999999999998</v>
      </c>
      <c r="GK13" s="96"/>
      <c r="GL13" s="97" t="s">
        <v>235</v>
      </c>
      <c r="GM13" s="98" t="s">
        <v>236</v>
      </c>
      <c r="GN13" s="97">
        <f>VLOOKUP($A13,'[7]TABELA COM TUDO'!$A:$AB,25,0)</f>
        <v>20.350000000000001</v>
      </c>
      <c r="GO13" s="99">
        <f>VLOOKUP($A13,'[7]TABELA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268</v>
      </c>
      <c r="GX13" s="44" t="s">
        <v>238</v>
      </c>
    </row>
    <row r="14" spans="1:206" s="44" customFormat="1" x14ac:dyDescent="0.35">
      <c r="A14" s="44" t="str">
        <f t="shared" si="0"/>
        <v>Oi Total Fixo + Pós 800 + Banda LargaN110GBMG</v>
      </c>
      <c r="B14" s="45" t="s">
        <v>211</v>
      </c>
      <c r="C14" s="46" t="s">
        <v>127</v>
      </c>
      <c r="D14" s="46" t="s">
        <v>212</v>
      </c>
      <c r="E14" s="47" t="s">
        <v>213</v>
      </c>
      <c r="F14" s="48" t="s">
        <v>214</v>
      </c>
      <c r="G14" s="49"/>
      <c r="H14" s="49"/>
      <c r="I14" s="49"/>
      <c r="J14" s="49" t="s">
        <v>214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214</v>
      </c>
      <c r="AC14" s="49" t="s">
        <v>214</v>
      </c>
      <c r="AD14" s="49" t="s">
        <v>214</v>
      </c>
      <c r="AE14" s="49" t="s">
        <v>214</v>
      </c>
      <c r="AF14" s="49" t="s">
        <v>214</v>
      </c>
      <c r="AG14" s="49" t="s">
        <v>214</v>
      </c>
      <c r="AH14" s="50"/>
      <c r="AI14" s="49" t="s">
        <v>214</v>
      </c>
      <c r="AJ14" s="49" t="s">
        <v>214</v>
      </c>
      <c r="AK14" s="49" t="s">
        <v>214</v>
      </c>
      <c r="AL14" s="49" t="s">
        <v>214</v>
      </c>
      <c r="AM14" s="49" t="s">
        <v>214</v>
      </c>
      <c r="AN14" s="49" t="s">
        <v>214</v>
      </c>
      <c r="AO14" s="49" t="s">
        <v>214</v>
      </c>
      <c r="AP14" s="49"/>
      <c r="AQ14" s="51"/>
      <c r="AR14" s="52" t="s">
        <v>269</v>
      </c>
      <c r="AS14" s="46" t="s">
        <v>216</v>
      </c>
      <c r="AT14" s="53" t="s">
        <v>217</v>
      </c>
      <c r="AU14" s="54">
        <v>42972</v>
      </c>
      <c r="AV14" s="55">
        <v>43038</v>
      </c>
      <c r="AW14" s="56" t="s">
        <v>218</v>
      </c>
      <c r="AX14" s="57" t="s">
        <v>218</v>
      </c>
      <c r="AY14" s="58"/>
      <c r="AZ14" s="58" t="s">
        <v>219</v>
      </c>
      <c r="BA14" s="58">
        <v>20</v>
      </c>
      <c r="BB14" s="58">
        <v>10000</v>
      </c>
      <c r="BC14" s="59" t="s">
        <v>220</v>
      </c>
      <c r="BD14" s="60" t="s">
        <v>221</v>
      </c>
      <c r="BE14" s="58" t="s">
        <v>213</v>
      </c>
      <c r="BF14" s="51" t="s">
        <v>213</v>
      </c>
      <c r="BG14" s="45" t="s">
        <v>269</v>
      </c>
      <c r="BH14" s="61" t="s">
        <v>222</v>
      </c>
      <c r="BI14" s="62" t="str">
        <f>IF(ISERROR(VLOOKUP(BH14,[7]PLANOS!B:C,2,0)),"",VLOOKUP(BH14,[7]PLANOS!B:C,2,0))</f>
        <v>PCS-4P6pi</v>
      </c>
      <c r="BJ14" s="63">
        <v>50.1</v>
      </c>
      <c r="BK14" s="64">
        <f>IF(BJ14=0,"",IF(BJ14=VLOOKUP("FIXO",[7]ARBOR!$A:$C,3,0),0.0001,IF(BJ14&gt;VLOOKUP("FIXO",[7]ARBOR!$A:$C,3,0),"Maior que CAP!",IF((DOLLAR(BJ14+(VLOOKUP("FIXO",[7]ARBOR!$A:$C,3,0)*-TRUNC(BJ14/VLOOKUP("FIXO",[7]ARBOR!$A:$C,3,0)-1,4)),6))&lt;&gt;(DOLLAR(VLOOKUP("FIXO",[7]ARBOR!$A:$C,3,0),6)),-TRUNC(BJ14/VLOOKUP("FIXO",[7]ARBOR!$A:$C,3,0)-1,4)+0.0001,-TRUNC(BJ14/VLOOKUP("FIXO",[7]ARBOR!$A:$C,3,0)-1,4)))))</f>
        <v>0.33939999999999998</v>
      </c>
      <c r="BL14" s="65" t="str">
        <f>IF(ISERROR(IF(BK14="","",VLOOKUP(($BH14&amp;BK14&amp;"Template de desconto FLAT bundle - Fixo - Varejo - Ganho Tributário Cross"),[7]BENEFICIOS!$A:$E,5,0))),"Criar",IF(BK14="","",VLOOKUP(($BH14&amp;BK14&amp;"Template de desconto FLAT bundle - Fixo - Varejo - Ganho Tributário Cross"),[7]BENEFICIOS!$A:$E,5,0)))</f>
        <v>MKT-1-9856472058</v>
      </c>
      <c r="BM14" s="66"/>
      <c r="BN14" s="67"/>
      <c r="BO14" s="104" t="s">
        <v>240</v>
      </c>
      <c r="BP14" s="69">
        <v>44.9</v>
      </c>
      <c r="BQ14" s="64">
        <f>IF(BP14=0,"",IF(BP14=VLOOKUP("PCS-30874g",[7]ARBOR!$A:$C,3,0),0.0001,IF(BP14&gt;VLOOKUP("PCS-30874g",[7]ARBOR!$A:$C,3,0),"Maior que CAP!",IF((DOLLAR(BP14+(VLOOKUP("PCS-30874g",[7]ARBOR!$A:$C,3,0)*-TRUNC(BP14/VLOOKUP("PCS-30874g",[7]ARBOR!$A:$C,3,0)-1,4)),6))&lt;&gt;(DOLLAR(VLOOKUP("PCS-30874g",[7]ARBOR!$A:$C,3,0),6)),-TRUNC(BP14/VLOOKUP("PCS-30874g",[7]ARBOR!$A:$C,3,0)-1,4)+0.0001,-TRUNC(BP14/VLOOKUP("PCS-30874g",[7]ARBOR!$A:$C,3,0)-1,4)))))</f>
        <v>0.53679999999999994</v>
      </c>
      <c r="BR14" s="65" t="str">
        <f>IF(ISERROR(IF(BQ14="","",VLOOKUP(($BH14&amp;BQ14&amp;"Template de desconto FLAT bundle - Velox XDSL - Varejo"),[7]BENEFICIOS!$A:$E,5,0))),"Criar",IF(BQ14="","",VLOOKUP(($BH14&amp;BQ14&amp;"Template de desconto FLAT bundle - Velox XDSL - Varejo"),[7]BENEFICIOS!$A:$E,5,0)))</f>
        <v>MKT-1-9865126733</v>
      </c>
      <c r="BS14" s="104" t="s">
        <v>240</v>
      </c>
      <c r="BT14" s="69">
        <v>44.9</v>
      </c>
      <c r="BU14" s="64">
        <f>IF(BT14=0,"",IF(BT14=VLOOKUP("PCS-30577g",[7]ARBOR!$A:$C,3,0),0.0001,IF(BT14&gt;VLOOKUP("PCS-30577g",[7]ARBOR!$A:$C,3,0),"Maior que CAP!",IF((DOLLAR(BT14+(VLOOKUP("PCS-30577g",[7]ARBOR!$A:$C,3,0)*-TRUNC(BT14/VLOOKUP("PCS-30577g",[7]ARBOR!$A:$C,3,0)-1,4)),6))&lt;&gt;(DOLLAR(VLOOKUP("PCS-30577g",[7]ARBOR!$A:$C,3,0),6)),-TRUNC(BT14/VLOOKUP("PCS-30577g",[7]ARBOR!$A:$C,3,0)-1,4)+0.0001,-TRUNC(BT14/VLOOKUP("PCS-30577g",[7]ARBOR!$A:$C,3,0)-1,4)))))</f>
        <v>0.53679999999999994</v>
      </c>
      <c r="BV14" s="65" t="str">
        <f>IF(ISERROR(IF(BU14="","",VLOOKUP(($BH14&amp;BU14&amp;"Template de desconto FLAT bundle - Velox XDSL - Varejo"),[7]BENEFICIOS!$A:$E,5,0))),"Criar",IF(BU14="","",VLOOKUP(($BH14&amp;BU14&amp;"Template de desconto FLAT bundle - Velox XDSL - Varejo"),[7]BENEFICIOS!$A:$E,5,0)))</f>
        <v>MKT-1-9865126733</v>
      </c>
      <c r="BW14" s="104" t="s">
        <v>240</v>
      </c>
      <c r="BX14" s="69">
        <v>44.9</v>
      </c>
      <c r="BY14" s="64">
        <f>IF(BX14=0,"",IF(BX14=VLOOKUP("PCS-30604g",[7]ARBOR!$A:$C,3,0),0.0001,IF(BX14&gt;VLOOKUP("PCS-30604g",[7]ARBOR!$A:$C,3,0),"Maior que CAP!",IF((DOLLAR(BX14+(VLOOKUP("PCS-30604g",[7]ARBOR!$A:$C,3,0)*-TRUNC(BX14/VLOOKUP("PCS-30604g",[7]ARBOR!$A:$C,3,0)-1,4)),6))&lt;&gt;(DOLLAR(VLOOKUP("PCS-30604g",[7]ARBOR!$A:$C,3,0),6)),-TRUNC(BX14/VLOOKUP("PCS-30604g",[7]ARBOR!$A:$C,3,0)-1,4)+0.0001,-TRUNC(BX14/VLOOKUP("PCS-30604g",[7]ARBOR!$A:$C,3,0)-1,4)))))</f>
        <v>0.53679999999999994</v>
      </c>
      <c r="BZ14" s="65" t="str">
        <f>IF(ISERROR(IF(BY14="","",VLOOKUP(($BH14&amp;BY14&amp;"Template de desconto FLAT bundle - Velox XDSL - Varejo"),[7]BENEFICIOS!$A:$E,5,0))),"Criar",IF(BY14="","",VLOOKUP(($BH14&amp;BY14&amp;"Template de desconto FLAT bundle - Velox XDSL - Varejo"),[7]BENEFICIOS!$A:$E,5,0)))</f>
        <v>MKT-1-9865126733</v>
      </c>
      <c r="CA14" s="104" t="s">
        <v>240</v>
      </c>
      <c r="CB14" s="69">
        <v>44.9</v>
      </c>
      <c r="CC14" s="64">
        <f>IF(CB14=0,"",IF(CB14=VLOOKUP("PCS-30631g",[7]ARBOR!$A:$C,3,0),0.0001,IF(CB14&gt;VLOOKUP("PCS-30631g",[7]ARBOR!$A:$C,3,0),"Maior que CAP!",IF((DOLLAR(CB14+(VLOOKUP("PCS-30631g",[7]ARBOR!$A:$C,3,0)*-TRUNC(CB14/VLOOKUP("PCS-30631g",[7]ARBOR!$A:$C,3,0)-1,4)),6))&lt;&gt;(DOLLAR(VLOOKUP("PCS-30631g",[7]ARBOR!$A:$C,3,0),6)),-TRUNC(CB14/VLOOKUP("PCS-30631g",[7]ARBOR!$A:$C,3,0)-1,4)+0.0001,-TRUNC(CB14/VLOOKUP("PCS-30631g",[7]ARBOR!$A:$C,3,0)-1,4)))))</f>
        <v>0.54310000000000003</v>
      </c>
      <c r="CD14" s="65" t="str">
        <f>IF(ISERROR(IF(CC14="","",VLOOKUP(($BH14&amp;CC14&amp;"Template de desconto FLAT bundle - Velox XDSL - Varejo"),[7]BENEFICIOS!$A:$E,5,0))),"Criar",IF(CC14="","",VLOOKUP(($BH14&amp;CC14&amp;"Template de desconto FLAT bundle - Velox XDSL - Varejo"),[7]BENEFICIOS!$A:$E,5,0)))</f>
        <v>MKT-1-9865126826</v>
      </c>
      <c r="CE14" s="68" t="s">
        <v>161</v>
      </c>
      <c r="CF14" s="69">
        <v>49.9</v>
      </c>
      <c r="CG14" s="64">
        <f>IF(CF14=0,"",IF(CF14=VLOOKUP("PCS-30658g",[7]ARBOR!$A:$C,3,0),0.0001,IF(CF14&gt;VLOOKUP("PCS-30658g",[7]ARBOR!$A:$C,3,0),"Maior que CAP!",IF((DOLLAR(CF14+(VLOOKUP("PCS-30658g",[7]ARBOR!$A:$C,3,0)*-TRUNC(CF14/VLOOKUP("PCS-30658g",[7]ARBOR!$A:$C,3,0)-1,4)),6))&lt;&gt;(DOLLAR(VLOOKUP("PCS-30658g",[7]ARBOR!$A:$C,3,0),6)),-TRUNC(CF14/VLOOKUP("PCS-30658g",[7]ARBOR!$A:$C,3,0)-1,4)+0.0001,-TRUNC(CF14/VLOOKUP("PCS-30658g",[7]ARBOR!$A:$C,3,0)-1,4)))))</f>
        <v>0.55569999999999997</v>
      </c>
      <c r="CH14" s="65" t="str">
        <f>IF(ISERROR(IF(CG14="","",VLOOKUP(($BH14&amp;CG14&amp;"Template de desconto FLAT bundle - Velox XDSL - Varejo"),[7]BENEFICIOS!$A:$E,5,0))),"Criar",IF(CG14="","",VLOOKUP(($BH14&amp;CG14&amp;"Template de desconto FLAT bundle - Velox XDSL - Varejo"),[7]BENEFICIOS!$A:$E,5,0)))</f>
        <v>MKT-1-9865126919</v>
      </c>
      <c r="CI14" s="68" t="s">
        <v>161</v>
      </c>
      <c r="CJ14" s="69">
        <v>49.9</v>
      </c>
      <c r="CK14" s="64">
        <f>IF(CJ14=0,"",IF(CJ14=VLOOKUP("PCS-30685g",[7]ARBOR!$A:$C,3,0),0.0001,IF(CJ14&gt;VLOOKUP("PCS-30685g",[7]ARBOR!$A:$C,3,0),"Maior que CAP!",IF((DOLLAR(CJ14+(VLOOKUP("PCS-30685g",[7]ARBOR!$A:$C,3,0)*-TRUNC(CJ14/VLOOKUP("PCS-30685g",[7]ARBOR!$A:$C,3,0)-1,4)),6))&lt;&gt;(DOLLAR(VLOOKUP("PCS-30685g",[7]ARBOR!$A:$C,3,0),6)),-TRUNC(CJ14/VLOOKUP("PCS-30685g",[7]ARBOR!$A:$C,3,0)-1,4)+0.0001,-TRUNC(CJ14/VLOOKUP("PCS-30685g",[7]ARBOR!$A:$C,3,0)-1,4)))))</f>
        <v>0.60509999999999997</v>
      </c>
      <c r="CL14" s="65" t="str">
        <f>IF(ISERROR(IF(CK14="","",VLOOKUP(($BH14&amp;CK14&amp;"Template de desconto FLAT bundle - Velox XDSL - Varejo"),[7]BENEFICIOS!$A:$E,5,0))),"Criar",IF(CK14="","",VLOOKUP(($BH14&amp;CK14&amp;"Template de desconto FLAT bundle - Velox XDSL - Varejo"),[7]BENEFICIOS!$A:$E,5,0)))</f>
        <v>MKT-1-9865694381</v>
      </c>
      <c r="CM14" s="68" t="s">
        <v>161</v>
      </c>
      <c r="CN14" s="69">
        <v>49.9</v>
      </c>
      <c r="CO14" s="64">
        <f>IF(CN14=0,"",IF(CN14=VLOOKUP("PCS-30712g",[7]ARBOR!$A:$C,3,0),0.0001,IF(CN14&gt;VLOOKUP("PCS-30712g",[7]ARBOR!$A:$C,3,0),"Maior que CAP!",IF((DOLLAR(CN14+(VLOOKUP("PCS-30712g",[7]ARBOR!$A:$C,3,0)*-TRUNC(CN14/VLOOKUP("PCS-30712g",[7]ARBOR!$A:$C,3,0)-1,4)),6))&lt;&gt;(DOLLAR(VLOOKUP("PCS-30712g",[7]ARBOR!$A:$C,3,0),6)),-TRUNC(CN14/VLOOKUP("PCS-30712g",[7]ARBOR!$A:$C,3,0)-1,4)+0.0001,-TRUNC(CN14/VLOOKUP("PCS-30712g",[7]ARBOR!$A:$C,3,0)-1,4)))))</f>
        <v>0.64459999999999995</v>
      </c>
      <c r="CP14" s="65" t="str">
        <f>IF(ISERROR(IF(CO14="","",VLOOKUP(($BH14&amp;CO14&amp;"Template de desconto FLAT bundle - Velox XDSL - Varejo"),[7]BENEFICIOS!$A:$E,5,0))),"Criar",IF(CO14="","",VLOOKUP(($BH14&amp;CO14&amp;"Template de desconto FLAT bundle - Velox XDSL - Varejo"),[7]BENEFICIOS!$A:$E,5,0)))</f>
        <v>MKT-1-9865191105</v>
      </c>
      <c r="CQ14" s="68" t="s">
        <v>161</v>
      </c>
      <c r="CR14" s="69">
        <v>59.9</v>
      </c>
      <c r="CS14" s="64">
        <f>IF(CR14=0,"",IF(CR14=VLOOKUP("PCS-30739g",[7]ARBOR!$A:$C,3,0),0.0001,IF(CR14&gt;VLOOKUP("PCS-30739g",[7]ARBOR!$A:$C,3,0),"Maior que CAP!",IF((DOLLAR(CR14+(VLOOKUP("PCS-30739g",[7]ARBOR!$A:$C,3,0)*-TRUNC(CR14/VLOOKUP("PCS-30739g",[7]ARBOR!$A:$C,3,0)-1,4)),6))&lt;&gt;(DOLLAR(VLOOKUP("PCS-30739g",[7]ARBOR!$A:$C,3,0),6)),-TRUNC(CR14/VLOOKUP("PCS-30739g",[7]ARBOR!$A:$C,3,0)-1,4)+0.0001,-TRUNC(CR14/VLOOKUP("PCS-30739g",[7]ARBOR!$A:$C,3,0)-1,4)))))</f>
        <v>0.71560000000000001</v>
      </c>
      <c r="CT14" s="65" t="str">
        <f>IF(ISERROR(IF(CS14="","",VLOOKUP(($BH14&amp;CS14&amp;"Template de desconto FLAT bundle - Velox XDSL - Varejo"),[7]BENEFICIOS!$A:$E,5,0))),"Criar",IF(CS14="","",VLOOKUP(($BH14&amp;CS14&amp;"Template de desconto FLAT bundle - Velox XDSL - Varejo"),[7]BENEFICIOS!$A:$E,5,0)))</f>
        <v>MKT-1-9865191198</v>
      </c>
      <c r="CU14" s="69"/>
      <c r="CV14" s="70"/>
      <c r="CW14" s="64"/>
      <c r="CX14" s="65"/>
      <c r="CY14" s="68" t="s">
        <v>161</v>
      </c>
      <c r="CZ14" s="69">
        <v>59.9</v>
      </c>
      <c r="DA14" s="64">
        <f>IF(CZ14=0,"",IF(CZ14=VLOOKUP("PCS-30766g",[7]ARBOR!$A:$C,3,0),0.0001,IF(CZ14&gt;VLOOKUP("PCS-30766g",[7]ARBOR!$A:$C,3,0),"Maior que CAP!",IF((DOLLAR(CZ14+(VLOOKUP("PCS-30766g",[7]ARBOR!$A:$C,3,0)*-TRUNC(CZ14/VLOOKUP("PCS-30766g",[7]ARBOR!$A:$C,3,0)-1,4)),6))&lt;&gt;(DOLLAR(VLOOKUP("PCS-30766g",[7]ARBOR!$A:$C,3,0),6)),-TRUNC(CZ14/VLOOKUP("PCS-30766g",[7]ARBOR!$A:$C,3,0)-1,4)+0.0001,-TRUNC(CZ14/VLOOKUP("PCS-30766g",[7]ARBOR!$A:$C,3,0)-1,4)))))</f>
        <v>0.78669999999999995</v>
      </c>
      <c r="DB14" s="65" t="str">
        <f>IF(ISERROR(IF(DA14="","",VLOOKUP(($BH14&amp;DA14&amp;"Template de desconto FLAT bundle - Velox XDSL - Varejo"),[7]BENEFICIOS!$A:$E,5,0))),"Criar",IF(DA14="","",VLOOKUP(($BH14&amp;DA14&amp;"Template de desconto FLAT bundle - Velox XDSL - Varejo"),[7]BENEFICIOS!$A:$E,5,0)))</f>
        <v>MKT-1-9865191291</v>
      </c>
      <c r="DC14" s="69"/>
      <c r="DD14" s="70"/>
      <c r="DE14" s="64"/>
      <c r="DF14" s="65"/>
      <c r="DG14" s="68" t="s">
        <v>240</v>
      </c>
      <c r="DH14" s="69">
        <v>69.900000000000006</v>
      </c>
      <c r="DI14" s="64">
        <f>IF(DH14=0,"",IF(DH14=VLOOKUP("PCS-30793g",[7]ARBOR!$A:$C,3,0),0.0001,IF(DH14&gt;VLOOKUP("PCS-30793g",[7]ARBOR!$A:$C,3,0),"Maior que CAP!",IF((DOLLAR(DH14+(VLOOKUP("PCS-30793g",[7]ARBOR!$A:$C,3,0)*-TRUNC(DH14/VLOOKUP("PCS-30793g",[7]ARBOR!$A:$C,3,0)-1,4)),6))&lt;&gt;(DOLLAR(VLOOKUP("PCS-30793g",[7]ARBOR!$A:$C,3,0),6)),-TRUNC(DH14/VLOOKUP("PCS-30793g",[7]ARBOR!$A:$C,3,0)-1,4)+0.0001,-TRUNC(DH14/VLOOKUP("PCS-30793g",[7]ARBOR!$A:$C,3,0)-1,4)))))</f>
        <v>0.75109999999999999</v>
      </c>
      <c r="DJ14" s="65" t="str">
        <f>IF(ISERROR(IF(DI14="","",VLOOKUP(($BH14&amp;DI14&amp;"Template de desconto FLAT bundle - Velox XDSL - Varejo"),[7]BENEFICIOS!$A:$E,5,0))),"Criar",IF(DI14="","",VLOOKUP(($BH14&amp;DI14&amp;"Template de desconto FLAT bundle - Velox XDSL - Varejo"),[7]BENEFICIOS!$A:$E,5,0)))</f>
        <v>MKT-1-9865191384</v>
      </c>
      <c r="DK14" s="69"/>
      <c r="DL14" s="70"/>
      <c r="DM14" s="64"/>
      <c r="DN14" s="65"/>
      <c r="DO14" s="68" t="s">
        <v>161</v>
      </c>
      <c r="DP14" s="69">
        <v>69.900000000000006</v>
      </c>
      <c r="DQ14" s="64">
        <f>IF(DP14=0,"",IF(DP14=VLOOKUP("PCS-30820g",[7]ARBOR!$A:$C,3,0),0.0001,IF(DP14&gt;VLOOKUP("PCS-30820g",[7]ARBOR!$A:$C,3,0),"Maior que CAP!",IF((DOLLAR(DP14+(VLOOKUP("PCS-30820g",[7]ARBOR!$A:$C,3,0)*-TRUNC(DP14/VLOOKUP("PCS-30820g",[7]ARBOR!$A:$C,3,0)-1,4)),6))&lt;&gt;(DOLLAR(VLOOKUP("PCS-30820g",[7]ARBOR!$A:$C,3,0),6)),-TRUNC(DP14/VLOOKUP("PCS-30820g",[7]ARBOR!$A:$C,3,0)-1,4)+0.0001,-TRUNC(DP14/VLOOKUP("PCS-30820g",[7]ARBOR!$A:$C,3,0)-1,4)))))</f>
        <v>0.75109999999999999</v>
      </c>
      <c r="DR14" s="65" t="str">
        <f>IF(ISERROR(IF(DQ14="","",VLOOKUP(($BH14&amp;DQ14&amp;"Template de desconto FLAT bundle - Velox XDSL - Varejo"),[7]BENEFICIOS!$A:$E,5,0))),"Criar",IF(DQ14="","",VLOOKUP(($BH14&amp;DQ14&amp;"Template de desconto FLAT bundle - Velox XDSL - Varejo"),[7]BENEFICIOS!$A:$E,5,0)))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IF(DW14=0,"",IF(DW14=VLOOKUP("PCS-21448p2",[7]ARBOR!$A:$C,3,0),0.0001,IF(DW14&gt;VLOOKUP("PCS-21448p2",[7]ARBOR!$A:$C,3,0),"Maior que CAP!",IF((DOLLAR(DW14+(VLOOKUP("PCS-21448p2",[7]ARBOR!$A:$C,3,0)*-TRUNC(DW14/VLOOKUP("PCS-21448p2",[7]ARBOR!$A:$C,3,0)-1,4)),6))&lt;&gt;(DOLLAR(VLOOKUP("PCS-21448p2",[7]ARBOR!$A:$C,3,0),6)),-TRUNC(DW14/VLOOKUP("PCS-21448p2",[7]ARBOR!$A:$C,3,0)-1,4)+0.0001,-TRUNC(DW14/VLOOKUP("PCS-21448p2",[7]ARBOR!$A:$C,3,0)-1,4)))))</f>
        <v/>
      </c>
      <c r="DY14" s="65" t="str">
        <f>IF(ISERROR(IF(DX14="","",VLOOKUP(("Oi Conta Total Plug 10GB Downgrade"&amp;DX14&amp;"Template de desconto percentual BL Móvel - Internet Total - Varejo"),[7]BENEFICIOS!$A:$E,5,0))),"Criar",IF(DX14="","",VLOOKUP(("Oi Conta Total Plug 10GB Downgrade"&amp;DX14&amp;"Template de desconto percentual BL Móvel - Internet Total - Varejo"),[7]BENEFICIOS!$A:$E,5,0)))</f>
        <v/>
      </c>
      <c r="DZ14" s="71">
        <v>19.899999999999999</v>
      </c>
      <c r="EA14" s="72">
        <f>IF(DZ14=0,"",IF(DZ14=VLOOKUP("SVA",[7]ARBOR!$A:$C,3,0),0.0001,IF(DZ14&gt;VLOOKUP("SVA",[7]ARBOR!$A:$C,3,0),"Maior que CAP!",IF((DOLLAR(DZ14+(VLOOKUP("SVA",[7]ARBOR!$A:$C,3,0)*-TRUNC(DZ14/VLOOKUP("SVA",[7]ARBOR!$A:$C,3,0)-1,4)),6))&lt;&gt;(DOLLAR(VLOOKUP("SVA",[7]ARBOR!$A:$C,3,0),6)),-TRUNC(DZ14/VLOOKUP("SVA",[7]ARBOR!$A:$C,3,0)-1,4)+0.0001,-TRUNC(DZ14/VLOOKUP("SVA",[7]ARBOR!$A:$C,3,0)-1,4)))))</f>
        <v>7.1400000000000005E-2</v>
      </c>
      <c r="EB14" s="65" t="s">
        <v>241</v>
      </c>
      <c r="EC14" s="69"/>
      <c r="ED14" s="73"/>
      <c r="EE14" s="74"/>
      <c r="EF14" s="65"/>
      <c r="EG14" s="75">
        <f>IF(BI14="","",VLOOKUP(BI14,[7]ARBOR!A:C,3,0))</f>
        <v>479.46</v>
      </c>
      <c r="EH14" s="69">
        <v>15</v>
      </c>
      <c r="EI14" s="76">
        <f>IF(EH14="","",1-(EH14/VLOOKUP(BI14&amp;"ASS",[7]ARBOR!A:C,3,0)))</f>
        <v>0.34725848563968664</v>
      </c>
      <c r="EJ14" s="77" t="s">
        <v>224</v>
      </c>
      <c r="EK14" s="78" t="s">
        <v>225</v>
      </c>
      <c r="EL14" s="69">
        <v>180.36999999999998</v>
      </c>
      <c r="EM14" s="64">
        <f>ROUND(IF(EL14=0,"",IF(EL14=EG14,0.0001,1-((EL14+(VLOOKUP(BI14&amp;"ASS",[7]ARBOR!A:C,3,0)-EH14))/EG14))),4)</f>
        <v>0.60719999999999996</v>
      </c>
      <c r="EN14" s="65" t="str">
        <f>IF(ISERROR(IF(EM14="","",VLOOKUP(($BH14&amp;EM14&amp;"Template de desconto percentual FLAT Móvel - Conta Total - Varejo - Ganho Tributário Cross"),[7]BENEFICIOS!$A:$E,5,0))),"Criar",IF(EM14="","",VLOOKUP(($BH14&amp;EM14&amp;"Template de desconto percentual FLAT Móvel - Conta Total - Varejo - Ganho Tributário Cross"),[7]BENEFICIOS!$A:$E,5,0)))</f>
        <v>Criar</v>
      </c>
      <c r="EO14" s="79"/>
      <c r="EP14" s="64"/>
      <c r="EQ14" s="72"/>
      <c r="ER14" s="72"/>
      <c r="ES14" s="64"/>
      <c r="ET14" s="80"/>
      <c r="EU14" s="81" t="s">
        <v>244</v>
      </c>
      <c r="EV14" s="81" t="s">
        <v>267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IF(FC14=0,"",IF(FC14=VLOOKUP("PCS-10357",[7]ARBOR!$A:$C,3,0),0.0001,IF(FC14&gt;VLOOKUP("PCS-10357",[7]ARBOR!$A:$C,3,0),"Maior que CAP!",ROUND(-1*(FC14/VLOOKUP("PCS-10357",[7]ARBOR!$A:$C,3,0)-1),4))))</f>
        <v/>
      </c>
      <c r="FE14" s="84" t="str">
        <f>IF(ISERROR(IF(FD14="","",VLOOKUP(("Oi Internet Pra Celular 1GB"&amp;FD14&amp;"Template Flat Instância Dados"),[7]BENEFICIOS!$A:$E,5,0))),"Criar",IF(FD14="","",VLOOKUP(("Oi Internet Pra Celular 1GB"&amp;FD14&amp;"Template Flat Instância Dados"),[7]BENEFICIOS!$A:$E,5,0)))</f>
        <v/>
      </c>
      <c r="FF14" s="82"/>
      <c r="FG14" s="83" t="str">
        <f>IF(FF14=0,"",IF(FF14=VLOOKUP("PCS-813565",[7]ARBOR!$A:$C,3,0),0.0001,IF(FF14&gt;VLOOKUP("PCS-813565",[7]ARBOR!$A:$C,3,0),"Maior que CAP!",ROUND(-1*(FF14/VLOOKUP("PCS-813565",[7]ARBOR!$A:$C,3,0)-1),4))))</f>
        <v/>
      </c>
      <c r="FH14" s="84" t="str">
        <f>IF(ISERROR(IF(FG14="","",VLOOKUP(("Oi Internet Pra Celular 2GB"&amp;FG14&amp;"Template Flat Instância Dados"),[7]BENEFICIOS!$A:$E,5,0))),"Criar",IF(FG14="","",VLOOKUP(("Oi Internet Pra Celular 2GB"&amp;FG14&amp;"Template Flat Instância Dados"),[7]BENEFICIOS!$A:$E,5,0)))</f>
        <v/>
      </c>
      <c r="FI14" s="82"/>
      <c r="FJ14" s="83" t="str">
        <f>IF(FI14=0,"",IF(FI14=VLOOKUP("PCS-7171B",[7]ARBOR!$A:$C,3,0),0.0001,IF(FI14&gt;VLOOKUP("PCS-7171B",[7]ARBOR!$A:$C,3,0),"Maior que CAP!",ROUND(-1*(FI14/VLOOKUP("PCS-7171B",[7]ARBOR!$A:$C,3,0)-1),4))))</f>
        <v/>
      </c>
      <c r="FK14" s="84" t="str">
        <f>IF(ISERROR(IF(FJ14="","",VLOOKUP(("Oi Internet Pra Celular 3GB"&amp;FJ14&amp;"Template Flat Instância Dados"),[7]BENEFICIOS!$A:$E,5,0))),"Criar",IF(FJ14="","",VLOOKUP(("Oi Internet Pra Celular 3GB"&amp;FJ14&amp;"Template Flat Instância Dados"),[7]BENEFICIOS!$A:$E,5,0)))</f>
        <v/>
      </c>
      <c r="FL14" s="82"/>
      <c r="FM14" s="83"/>
      <c r="FN14" s="84"/>
      <c r="FO14" s="82">
        <v>35.53</v>
      </c>
      <c r="FP14" s="83">
        <f>IF(FO14=0,"",IF(FO14=VLOOKUP("PCS-7171A",[7]ARBOR!$A:$C,3,0),0.0001,IF(FO14&gt;VLOOKUP("PCS-7171A",[7]ARBOR!$A:$C,3,0),"Maior que CAP!",ROUND(-1*(FO14/VLOOKUP("PCS-7171A",[7]ARBOR!$A:$C,3,0)-1),4))))</f>
        <v>0.81899999999999995</v>
      </c>
      <c r="FQ14" s="84" t="str">
        <f>IF(ISERROR(IF(FP14="","",VLOOKUP(("Oi Internet Pra Celular 10GB"&amp;FP14&amp;"Template Flat Instância Dados"),[7]BENEFICIOS!$A:$E,5,0))),"Criar",IF(FP14="","",VLOOKUP(("Oi Internet Pra Celular 10GB"&amp;FP14&amp;"Template Flat Instância Dados"),[7]BENEFICIOS!$A:$E,5,0)))</f>
        <v>MKT-1-9869971287</v>
      </c>
      <c r="FR14" s="85">
        <v>0.74260000000000004</v>
      </c>
      <c r="FS14" s="86" t="s">
        <v>262</v>
      </c>
      <c r="FT14" s="48"/>
      <c r="FU14" s="87"/>
      <c r="FV14" s="88" t="s">
        <v>221</v>
      </c>
      <c r="FW14" s="49" t="s">
        <v>226</v>
      </c>
      <c r="FX14" s="89">
        <v>999</v>
      </c>
      <c r="FY14" s="49">
        <v>12</v>
      </c>
      <c r="FZ14" s="90" t="s">
        <v>227</v>
      </c>
      <c r="GA14" s="91" t="str">
        <f t="shared" si="1"/>
        <v>PCS-Fk83324</v>
      </c>
      <c r="GB14" s="92" t="str">
        <f t="shared" si="2"/>
        <v>PCS-SBL553142</v>
      </c>
      <c r="GC14" s="93" t="s">
        <v>228</v>
      </c>
      <c r="GD14" s="90" t="s">
        <v>229</v>
      </c>
      <c r="GE14" s="92" t="s">
        <v>230</v>
      </c>
      <c r="GF14" s="93" t="s">
        <v>231</v>
      </c>
      <c r="GG14" s="90" t="s">
        <v>232</v>
      </c>
      <c r="GH14" s="92" t="s">
        <v>233</v>
      </c>
      <c r="GI14" s="94" t="s">
        <v>234</v>
      </c>
      <c r="GJ14" s="95">
        <f>FO14+EL14+CN14+BJ14</f>
        <v>315.89999999999998</v>
      </c>
      <c r="GK14" s="96"/>
      <c r="GL14" s="97" t="s">
        <v>235</v>
      </c>
      <c r="GM14" s="98" t="s">
        <v>236</v>
      </c>
      <c r="GN14" s="97">
        <f>VLOOKUP($A14,'[7]TABELA COM TUDO'!$A:$AB,25,0)</f>
        <v>20.350000000000001</v>
      </c>
      <c r="GO14" s="99">
        <f>VLOOKUP($A14,'[7]TABELA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270</v>
      </c>
      <c r="GX14" s="44" t="s">
        <v>238</v>
      </c>
    </row>
    <row r="15" spans="1:206" s="44" customFormat="1" x14ac:dyDescent="0.35">
      <c r="A15" s="44" t="str">
        <f t="shared" si="0"/>
        <v>Oi Total Fixo + Pós 800 + Banda LargaN2MG</v>
      </c>
      <c r="B15" s="45" t="s">
        <v>211</v>
      </c>
      <c r="C15" s="46" t="s">
        <v>127</v>
      </c>
      <c r="D15" s="46" t="s">
        <v>212</v>
      </c>
      <c r="E15" s="47" t="s">
        <v>213</v>
      </c>
      <c r="F15" s="88" t="s">
        <v>214</v>
      </c>
      <c r="G15" s="49"/>
      <c r="H15" s="49"/>
      <c r="I15" s="49"/>
      <c r="J15" s="49" t="s">
        <v>214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214</v>
      </c>
      <c r="AC15" s="49" t="s">
        <v>214</v>
      </c>
      <c r="AD15" s="49" t="s">
        <v>214</v>
      </c>
      <c r="AE15" s="49" t="s">
        <v>214</v>
      </c>
      <c r="AF15" s="49" t="s">
        <v>214</v>
      </c>
      <c r="AG15" s="49" t="s">
        <v>214</v>
      </c>
      <c r="AH15" s="50"/>
      <c r="AI15" s="49" t="s">
        <v>214</v>
      </c>
      <c r="AJ15" s="49" t="s">
        <v>214</v>
      </c>
      <c r="AK15" s="49" t="s">
        <v>214</v>
      </c>
      <c r="AL15" s="49" t="s">
        <v>214</v>
      </c>
      <c r="AM15" s="49" t="s">
        <v>214</v>
      </c>
      <c r="AN15" s="49" t="s">
        <v>214</v>
      </c>
      <c r="AO15" s="49" t="s">
        <v>214</v>
      </c>
      <c r="AP15" s="49"/>
      <c r="AQ15" s="51"/>
      <c r="AR15" s="52" t="s">
        <v>271</v>
      </c>
      <c r="AS15" s="46" t="s">
        <v>216</v>
      </c>
      <c r="AT15" s="53" t="s">
        <v>217</v>
      </c>
      <c r="AU15" s="54">
        <v>42972</v>
      </c>
      <c r="AV15" s="105">
        <v>43097</v>
      </c>
      <c r="AW15" s="56" t="s">
        <v>218</v>
      </c>
      <c r="AX15" s="57" t="s">
        <v>218</v>
      </c>
      <c r="AY15" s="58"/>
      <c r="AZ15" s="58" t="s">
        <v>219</v>
      </c>
      <c r="BA15" s="58">
        <v>20</v>
      </c>
      <c r="BB15" s="58">
        <v>10000</v>
      </c>
      <c r="BC15" s="59" t="s">
        <v>220</v>
      </c>
      <c r="BD15" s="60" t="s">
        <v>221</v>
      </c>
      <c r="BE15" s="58" t="s">
        <v>213</v>
      </c>
      <c r="BF15" s="51" t="s">
        <v>213</v>
      </c>
      <c r="BG15" s="45" t="s">
        <v>271</v>
      </c>
      <c r="BH15" s="61" t="s">
        <v>222</v>
      </c>
      <c r="BI15" s="62" t="str">
        <f>IF(ISERROR(VLOOKUP(BH15,[8]PLANOS!B:C,2,0)),"",VLOOKUP(BH15,[8]PLANOS!B:C,2,0))</f>
        <v>PCS-4P6pi</v>
      </c>
      <c r="BJ15" s="63">
        <v>50.1</v>
      </c>
      <c r="BK15" s="64">
        <f>IF(BJ15=0,"",IF(BJ15=VLOOKUP("FIXO",[8]ARBOR!$A:$C,3,0),0.0001,IF(BJ15&gt;VLOOKUP("FIXO",[8]ARBOR!$A:$C,3,0),"Maior que CAP!",IF((DOLLAR(BJ15+(VLOOKUP("FIXO",[8]ARBOR!$A:$C,3,0)*-TRUNC(BJ15/VLOOKUP("FIXO",[8]ARBOR!$A:$C,3,0)-1,4)),6))&lt;&gt;(DOLLAR(VLOOKUP("FIXO",[8]ARBOR!$A:$C,3,0),6)),-TRUNC(BJ15/VLOOKUP("FIXO",[8]ARBOR!$A:$C,3,0)-1,4)+0.0001,-TRUNC(BJ15/VLOOKUP("FIXO",[8]ARBOR!$A:$C,3,0)-1,4)))))</f>
        <v>0.33939999999999998</v>
      </c>
      <c r="BL15" s="65" t="str">
        <f>IF(ISERROR(IF(BK15="","",VLOOKUP(($BH15&amp;BK15&amp;"Template de desconto FLAT bundle - Fixo - Varejo - Ganho Tributário Cross"),[8]BENEFICIOS!$A:$E,5,0))),"Criar",IF(BK15="","",VLOOKUP(($BH15&amp;BK15&amp;"Template de desconto FLAT bundle - Fixo - Varejo - Ganho Tributário Cross"),[8]BENEFICIOS!$A:$E,5,0)))</f>
        <v>MKT-1-9856472058</v>
      </c>
      <c r="BM15" s="66"/>
      <c r="BN15" s="67"/>
      <c r="BO15" s="68" t="s">
        <v>161</v>
      </c>
      <c r="BP15" s="69">
        <v>44.9</v>
      </c>
      <c r="BQ15" s="64">
        <f>IF(BP15=0,"",IF(BP15=VLOOKUP("PCS-30874g",[8]ARBOR!$A:$C,3,0),0.0001,IF(BP15&gt;VLOOKUP("PCS-30874g",[8]ARBOR!$A:$C,3,0),"Maior que CAP!",IF((DOLLAR(BP15+(VLOOKUP("PCS-30874g",[8]ARBOR!$A:$C,3,0)*-TRUNC(BP15/VLOOKUP("PCS-30874g",[8]ARBOR!$A:$C,3,0)-1,4)),6))&lt;&gt;(DOLLAR(VLOOKUP("PCS-30874g",[8]ARBOR!$A:$C,3,0),6)),-TRUNC(BP15/VLOOKUP("PCS-30874g",[8]ARBOR!$A:$C,3,0)-1,4)+0.0001,-TRUNC(BP15/VLOOKUP("PCS-30874g",[8]ARBOR!$A:$C,3,0)-1,4)))))</f>
        <v>0.53679999999999994</v>
      </c>
      <c r="BR15" s="65" t="str">
        <f>IF(ISERROR(IF(BQ15="","",VLOOKUP(($BH15&amp;BQ15&amp;"Template de desconto FLAT bundle - Velox XDSL - Varejo"),[8]BENEFICIOS!$A:$E,5,0))),"Criar",IF(BQ15="","",VLOOKUP(($BH15&amp;BQ15&amp;"Template de desconto FLAT bundle - Velox XDSL - Varejo"),[8]BENEFICIOS!$A:$E,5,0)))</f>
        <v>MKT-1-9865126733</v>
      </c>
      <c r="BS15" s="68" t="s">
        <v>161</v>
      </c>
      <c r="BT15" s="69">
        <v>44.9</v>
      </c>
      <c r="BU15" s="64">
        <f>IF(BT15=0,"",IF(BT15=VLOOKUP("PCS-30577g",[8]ARBOR!$A:$C,3,0),0.0001,IF(BT15&gt;VLOOKUP("PCS-30577g",[8]ARBOR!$A:$C,3,0),"Maior que CAP!",IF((DOLLAR(BT15+(VLOOKUP("PCS-30577g",[8]ARBOR!$A:$C,3,0)*-TRUNC(BT15/VLOOKUP("PCS-30577g",[8]ARBOR!$A:$C,3,0)-1,4)),6))&lt;&gt;(DOLLAR(VLOOKUP("PCS-30577g",[8]ARBOR!$A:$C,3,0),6)),-TRUNC(BT15/VLOOKUP("PCS-30577g",[8]ARBOR!$A:$C,3,0)-1,4)+0.0001,-TRUNC(BT15/VLOOKUP("PCS-30577g",[8]ARBOR!$A:$C,3,0)-1,4)))))</f>
        <v>0.53679999999999994</v>
      </c>
      <c r="BV15" s="65" t="str">
        <f>IF(ISERROR(IF(BU15="","",VLOOKUP(($BH15&amp;BU15&amp;"Template de desconto FLAT bundle - Velox XDSL - Varejo"),[8]BENEFICIOS!$A:$E,5,0))),"Criar",IF(BU15="","",VLOOKUP(($BH15&amp;BU15&amp;"Template de desconto FLAT bundle - Velox XDSL - Varejo"),[8]BENEFICIOS!$A:$E,5,0)))</f>
        <v>MKT-1-9865126733</v>
      </c>
      <c r="BW15" s="68" t="s">
        <v>161</v>
      </c>
      <c r="BX15" s="69">
        <v>44.9</v>
      </c>
      <c r="BY15" s="64">
        <f>IF(BX15=0,"",IF(BX15=VLOOKUP("PCS-30604g",[8]ARBOR!$A:$C,3,0),0.0001,IF(BX15&gt;VLOOKUP("PCS-30604g",[8]ARBOR!$A:$C,3,0),"Maior que CAP!",IF((DOLLAR(BX15+(VLOOKUP("PCS-30604g",[8]ARBOR!$A:$C,3,0)*-TRUNC(BX15/VLOOKUP("PCS-30604g",[8]ARBOR!$A:$C,3,0)-1,4)),6))&lt;&gt;(DOLLAR(VLOOKUP("PCS-30604g",[8]ARBOR!$A:$C,3,0),6)),-TRUNC(BX15/VLOOKUP("PCS-30604g",[8]ARBOR!$A:$C,3,0)-1,4)+0.0001,-TRUNC(BX15/VLOOKUP("PCS-30604g",[8]ARBOR!$A:$C,3,0)-1,4)))))</f>
        <v>0.53679999999999994</v>
      </c>
      <c r="BZ15" s="65" t="str">
        <f>IF(ISERROR(IF(BY15="","",VLOOKUP(($BH15&amp;BY15&amp;"Template de desconto FLAT bundle - Velox XDSL - Varejo"),[8]BENEFICIOS!$A:$E,5,0))),"Criar",IF(BY15="","",VLOOKUP(($BH15&amp;BY15&amp;"Template de desconto FLAT bundle - Velox XDSL - Varejo"),[8]BENEFICIOS!$A:$E,5,0)))</f>
        <v>MKT-1-9865126733</v>
      </c>
      <c r="CA15" s="68" t="s">
        <v>161</v>
      </c>
      <c r="CB15" s="69">
        <v>44.9</v>
      </c>
      <c r="CC15" s="64">
        <f>IF(CB15=0,"",IF(CB15=VLOOKUP("PCS-30631g",[8]ARBOR!$A:$C,3,0),0.0001,IF(CB15&gt;VLOOKUP("PCS-30631g",[8]ARBOR!$A:$C,3,0),"Maior que CAP!",IF((DOLLAR(CB15+(VLOOKUP("PCS-30631g",[8]ARBOR!$A:$C,3,0)*-TRUNC(CB15/VLOOKUP("PCS-30631g",[8]ARBOR!$A:$C,3,0)-1,4)),6))&lt;&gt;(DOLLAR(VLOOKUP("PCS-30631g",[8]ARBOR!$A:$C,3,0),6)),-TRUNC(CB15/VLOOKUP("PCS-30631g",[8]ARBOR!$A:$C,3,0)-1,4)+0.0001,-TRUNC(CB15/VLOOKUP("PCS-30631g",[8]ARBOR!$A:$C,3,0)-1,4)))))</f>
        <v>0.54310000000000003</v>
      </c>
      <c r="CD15" s="65" t="str">
        <f>IF(ISERROR(IF(CC15="","",VLOOKUP(($BH15&amp;CC15&amp;"Template de desconto FLAT bundle - Velox XDSL - Varejo"),[8]BENEFICIOS!$A:$E,5,0))),"Criar",IF(CC15="","",VLOOKUP(($BH15&amp;CC15&amp;"Template de desconto FLAT bundle - Velox XDSL - Varejo"),[8]BENEFICIOS!$A:$E,5,0)))</f>
        <v>MKT-1-9865126826</v>
      </c>
      <c r="CE15" s="68"/>
      <c r="CF15" s="69"/>
      <c r="CG15" s="64" t="str">
        <f>IF(CF15=0,"",IF(CF15=VLOOKUP("PCS-30658g",[8]ARBOR!$A:$C,3,0),0.0001,IF(CF15&gt;VLOOKUP("PCS-30658g",[8]ARBOR!$A:$C,3,0),"Maior que CAP!",IF((DOLLAR(CF15+(VLOOKUP("PCS-30658g",[8]ARBOR!$A:$C,3,0)*-TRUNC(CF15/VLOOKUP("PCS-30658g",[8]ARBOR!$A:$C,3,0)-1,4)),6))&lt;&gt;(DOLLAR(VLOOKUP("PCS-30658g",[8]ARBOR!$A:$C,3,0),6)),-TRUNC(CF15/VLOOKUP("PCS-30658g",[8]ARBOR!$A:$C,3,0)-1,4)+0.0001,-TRUNC(CF15/VLOOKUP("PCS-30658g",[8]ARBOR!$A:$C,3,0)-1,4)))))</f>
        <v/>
      </c>
      <c r="CH15" s="65" t="str">
        <f>IF(ISERROR(IF(CG15="","",VLOOKUP(($BH15&amp;CG15&amp;"Template de desconto FLAT bundle - Velox XDSL - Varejo"),[8]BENEFICIOS!$A:$E,5,0))),"Criar",IF(CG15="","",VLOOKUP(($BH15&amp;CG15&amp;"Template de desconto FLAT bundle - Velox XDSL - Varejo"),[8]BENEFICIOS!$A:$E,5,0)))</f>
        <v/>
      </c>
      <c r="CI15" s="68"/>
      <c r="CJ15" s="69"/>
      <c r="CK15" s="64" t="str">
        <f>IF(CJ15=0,"",IF(CJ15=VLOOKUP("PCS-30685g",[8]ARBOR!$A:$C,3,0),0.0001,IF(CJ15&gt;VLOOKUP("PCS-30685g",[8]ARBOR!$A:$C,3,0),"Maior que CAP!",IF((DOLLAR(CJ15+(VLOOKUP("PCS-30685g",[8]ARBOR!$A:$C,3,0)*-TRUNC(CJ15/VLOOKUP("PCS-30685g",[8]ARBOR!$A:$C,3,0)-1,4)),6))&lt;&gt;(DOLLAR(VLOOKUP("PCS-30685g",[8]ARBOR!$A:$C,3,0),6)),-TRUNC(CJ15/VLOOKUP("PCS-30685g",[8]ARBOR!$A:$C,3,0)-1,4)+0.0001,-TRUNC(CJ15/VLOOKUP("PCS-30685g",[8]ARBOR!$A:$C,3,0)-1,4)))))</f>
        <v/>
      </c>
      <c r="CL15" s="65" t="str">
        <f>IF(ISERROR(IF(CK15="","",VLOOKUP(($BH15&amp;CK15&amp;"Template de desconto FLAT bundle - Velox XDSL - Varejo"),[8]BENEFICIOS!$A:$E,5,0))),"Criar",IF(CK15="","",VLOOKUP(($BH15&amp;CK15&amp;"Template de desconto FLAT bundle - Velox XDSL - Varejo"),[8]BENEFICIOS!$A:$E,5,0)))</f>
        <v/>
      </c>
      <c r="CM15" s="68"/>
      <c r="CN15" s="69"/>
      <c r="CO15" s="64" t="str">
        <f>IF(CN15=0,"",IF(CN15=VLOOKUP("PCS-30712g",[8]ARBOR!$A:$C,3,0),0.0001,IF(CN15&gt;VLOOKUP("PCS-30712g",[8]ARBOR!$A:$C,3,0),"Maior que CAP!",IF((DOLLAR(CN15+(VLOOKUP("PCS-30712g",[8]ARBOR!$A:$C,3,0)*-TRUNC(CN15/VLOOKUP("PCS-30712g",[8]ARBOR!$A:$C,3,0)-1,4)),6))&lt;&gt;(DOLLAR(VLOOKUP("PCS-30712g",[8]ARBOR!$A:$C,3,0),6)),-TRUNC(CN15/VLOOKUP("PCS-30712g",[8]ARBOR!$A:$C,3,0)-1,4)+0.0001,-TRUNC(CN15/VLOOKUP("PCS-30712g",[8]ARBOR!$A:$C,3,0)-1,4)))))</f>
        <v/>
      </c>
      <c r="CP15" s="65" t="str">
        <f>IF(ISERROR(IF(CO15="","",VLOOKUP(($BH15&amp;CO15&amp;"Template de desconto FLAT bundle - Velox XDSL - Varejo"),[8]BENEFICIOS!$A:$E,5,0))),"Criar",IF(CO15="","",VLOOKUP(($BH15&amp;CO15&amp;"Template de desconto FLAT bundle - Velox XDSL - Varejo"),[8]BENEFICIOS!$A:$E,5,0)))</f>
        <v/>
      </c>
      <c r="CQ15" s="68"/>
      <c r="CR15" s="69"/>
      <c r="CS15" s="64" t="str">
        <f>IF(CR15=0,"",IF(CR15=VLOOKUP("PCS-30739g",[8]ARBOR!$A:$C,3,0),0.0001,IF(CR15&gt;VLOOKUP("PCS-30739g",[8]ARBOR!$A:$C,3,0),"Maior que CAP!",IF((DOLLAR(CR15+(VLOOKUP("PCS-30739g",[8]ARBOR!$A:$C,3,0)*-TRUNC(CR15/VLOOKUP("PCS-30739g",[8]ARBOR!$A:$C,3,0)-1,4)),6))&lt;&gt;(DOLLAR(VLOOKUP("PCS-30739g",[8]ARBOR!$A:$C,3,0),6)),-TRUNC(CR15/VLOOKUP("PCS-30739g",[8]ARBOR!$A:$C,3,0)-1,4)+0.0001,-TRUNC(CR15/VLOOKUP("PCS-30739g",[8]ARBOR!$A:$C,3,0)-1,4)))))</f>
        <v/>
      </c>
      <c r="CT15" s="65" t="str">
        <f>IF(ISERROR(IF(CS15="","",VLOOKUP(($BH15&amp;CS15&amp;"Template de desconto FLAT bundle - Velox XDSL - Varejo"),[8]BENEFICIOS!$A:$E,5,0))),"Criar",IF(CS15="","",VLOOKUP(($BH15&amp;CS15&amp;"Template de desconto FLAT bundle - Velox XDSL - Varejo"),[8]BENEFICIOS!$A:$E,5,0)))</f>
        <v/>
      </c>
      <c r="CU15" s="69"/>
      <c r="CV15" s="70"/>
      <c r="CW15" s="64" t="str">
        <f>IF(CU15=0,"",IF(CU15=VLOOKUP("PCS-30739g",[8]ARBOR!$A:$C,3,0),0.0001,IF(CU15&gt;VLOOKUP("PCS-30739g",[8]ARBOR!$A:$C,3,0),"Maior que CAP!",IF((DOLLAR(CU15+(VLOOKUP("PCS-30739g",[8]ARBOR!$A:$C,3,0)*-TRUNC(CU15/VLOOKUP("PCS-30739g",[8]ARBOR!$A:$C,3,0)-1,4)),6))&lt;&gt;(DOLLAR(VLOOKUP("PCS-30739g",[8]ARBOR!$A:$C,3,0),6)),(-TRUNC(CU15/VLOOKUP("PCS-30739g",[8]ARBOR!$A:$C,3,0)-1,4)+0.0001)-CS15,-TRUNC(CU15/VLOOKUP("PCS-30739g",[8]ARBOR!$A:$C,3,0)-1,4)-CS15))))</f>
        <v/>
      </c>
      <c r="CX15" s="65" t="str">
        <f>IF(ISERROR(IF(CW15="","",VLOOKUP(($BQ15&amp;CW15&amp;"Template de desconto percentual Bundle - Velox XDSL - Varejo"),[8]BENEFICIOS!$A:$E,5,0))),"Criar",IF(CW15="","",VLOOKUP(($BQ15&amp;CW15&amp;"Template de desconto percentual Bundle - Velox XDSL - Varejo"),[8]BENEFICIOS!$A:$E,5,0)))</f>
        <v/>
      </c>
      <c r="CY15" s="68"/>
      <c r="CZ15" s="69"/>
      <c r="DA15" s="64" t="str">
        <f>IF(CZ15=0,"",IF(CZ15=VLOOKUP("PCS-30766g",[8]ARBOR!$A:$C,3,0),0.0001,IF(CZ15&gt;VLOOKUP("PCS-30766g",[8]ARBOR!$A:$C,3,0),"Maior que CAP!",IF((DOLLAR(CZ15+(VLOOKUP("PCS-30766g",[8]ARBOR!$A:$C,3,0)*-TRUNC(CZ15/VLOOKUP("PCS-30766g",[8]ARBOR!$A:$C,3,0)-1,4)),6))&lt;&gt;(DOLLAR(VLOOKUP("PCS-30766g",[8]ARBOR!$A:$C,3,0),6)),-TRUNC(CZ15/VLOOKUP("PCS-30766g",[8]ARBOR!$A:$C,3,0)-1,4)+0.0001,-TRUNC(CZ15/VLOOKUP("PCS-30766g",[8]ARBOR!$A:$C,3,0)-1,4)))))</f>
        <v/>
      </c>
      <c r="DB15" s="65" t="str">
        <f>IF(ISERROR(IF(DA15="","",VLOOKUP(($BH15&amp;DA15&amp;"Template de desconto FLAT bundle - Velox XDSL - Varejo"),[8]BENEFICIOS!$A:$E,5,0))),"Criar",IF(DA15="","",VLOOKUP(($BH15&amp;DA15&amp;"Template de desconto FLAT bundle - Velox XDSL - Varejo"),[8]BENEFICIOS!$A:$E,5,0)))</f>
        <v/>
      </c>
      <c r="DC15" s="69"/>
      <c r="DD15" s="70"/>
      <c r="DE15" s="64" t="str">
        <f>IF(DC15=0,"",IF(DC15=VLOOKUP("PCS-30766g",[8]ARBOR!$A:$C,3,0),0.0001,IF(DC15&gt;VLOOKUP("PCS-30766g",[8]ARBOR!$A:$C,3,0),"Maior que CAP!",IF((DOLLAR(DC15+(VLOOKUP("PCS-30766g",[8]ARBOR!$A:$C,3,0)*-TRUNC(DC15/VLOOKUP("PCS-30766g",[8]ARBOR!$A:$C,3,0)-1,4)),6))&lt;&gt;(DOLLAR(VLOOKUP("PCS-30766g",[8]ARBOR!$A:$C,3,0),6)),(-TRUNC(DC15/VLOOKUP("PCS-30766g",[8]ARBOR!$A:$C,3,0)-1,4)+0.0001)-DA15,-TRUNC(DC15/VLOOKUP("PCS-30766g",[8]ARBOR!$A:$C,3,0)-1,4)-DA15))))</f>
        <v/>
      </c>
      <c r="DF15" s="65" t="str">
        <f>IF(ISERROR(IF(DE15="","",VLOOKUP(($BQ15&amp;DE15&amp;"Template de desconto percentual Bundle - Velox XDSL - Varejo"),[8]BENEFICIOS!$A:$E,5,0))),"Criar",IF(DE15="","",VLOOKUP(($BQ15&amp;DE15&amp;"Template de desconto percentual Bundle - Velox XDSL - Varejo"),[8]BENEFICIOS!$A:$E,5,0)))</f>
        <v/>
      </c>
      <c r="DG15" s="68"/>
      <c r="DH15" s="69"/>
      <c r="DI15" s="64" t="str">
        <f>IF(DH15=0,"",IF(DH15=VLOOKUP("PCS-30793g",[8]ARBOR!$A:$C,3,0),0.0001,IF(DH15&gt;VLOOKUP("PCS-30793g",[8]ARBOR!$A:$C,3,0),"Maior que CAP!",IF((DOLLAR(DH15+(VLOOKUP("PCS-30793g",[8]ARBOR!$A:$C,3,0)*-TRUNC(DH15/VLOOKUP("PCS-30793g",[8]ARBOR!$A:$C,3,0)-1,4)),6))&lt;&gt;(DOLLAR(VLOOKUP("PCS-30793g",[8]ARBOR!$A:$C,3,0),6)),-TRUNC(DH15/VLOOKUP("PCS-30793g",[8]ARBOR!$A:$C,3,0)-1,4)+0.0001,-TRUNC(DH15/VLOOKUP("PCS-30793g",[8]ARBOR!$A:$C,3,0)-1,4)))))</f>
        <v/>
      </c>
      <c r="DJ15" s="65" t="str">
        <f>IF(ISERROR(IF(DI15="","",VLOOKUP(($BH15&amp;DI15&amp;"Template de desconto FLAT bundle - Velox XDSL - Varejo"),[8]BENEFICIOS!$A:$E,5,0))),"Criar",IF(DI15="","",VLOOKUP(($BH15&amp;DI15&amp;"Template de desconto FLAT bundle - Velox XDSL - Varejo"),[8]BENEFICIOS!$A:$E,5,0)))</f>
        <v/>
      </c>
      <c r="DK15" s="69"/>
      <c r="DL15" s="70"/>
      <c r="DM15" s="64" t="str">
        <f>IF(DK15=0,"",IF(DK15=VLOOKUP("PCS-30793g",[8]ARBOR!$A:$C,3,0),0.0001,IF(DK15&gt;VLOOKUP("PCS-30793g",[8]ARBOR!$A:$C,3,0),"Maior que CAP!",IF((DOLLAR(DK15+(VLOOKUP("PCS-30793g",[8]ARBOR!$A:$C,3,0)*-TRUNC(DK15/VLOOKUP("PCS-30793g",[8]ARBOR!$A:$C,3,0)-1,4)),6))&lt;&gt;(DOLLAR(VLOOKUP("PCS-30793g",[8]ARBOR!$A:$C,3,0),6)),(-TRUNC(DK15/VLOOKUP("PCS-30793g",[8]ARBOR!$A:$C,3,0)-1,4)+0.0001)-DI15,-TRUNC(DK15/VLOOKUP("PCS-30793g",[8]ARBOR!$A:$C,3,0)-1,4)-DI15))))</f>
        <v/>
      </c>
      <c r="DN15" s="65" t="str">
        <f>IF(ISERROR(IF(DM15="","",VLOOKUP(($BQ15&amp;DM15&amp;"Template de desconto percentual Bundle - Velox XDSL - Varejo"),[8]BENEFICIOS!$A:$E,5,0))),"Criar",IF(DM15="","",VLOOKUP(($BQ15&amp;DM15&amp;"Template de desconto percentual Bundle - Velox XDSL - Varejo"),[8]BENEFICIOS!$A:$E,5,0)))</f>
        <v/>
      </c>
      <c r="DO15" s="68"/>
      <c r="DP15" s="69"/>
      <c r="DQ15" s="64" t="str">
        <f>IF(DP15=0,"",IF(DP15=VLOOKUP("PCS-30820g",[8]ARBOR!$A:$C,3,0),0.0001,IF(DP15&gt;VLOOKUP("PCS-30820g",[8]ARBOR!$A:$C,3,0),"Maior que CAP!",IF((DOLLAR(DP15+(VLOOKUP("PCS-30820g",[8]ARBOR!$A:$C,3,0)*-TRUNC(DP15/VLOOKUP("PCS-30820g",[8]ARBOR!$A:$C,3,0)-1,4)),6))&lt;&gt;(DOLLAR(VLOOKUP("PCS-30820g",[8]ARBOR!$A:$C,3,0),6)),-TRUNC(DP15/VLOOKUP("PCS-30820g",[8]ARBOR!$A:$C,3,0)-1,4)+0.0001,-TRUNC(DP15/VLOOKUP("PCS-30820g",[8]ARBOR!$A:$C,3,0)-1,4)))))</f>
        <v/>
      </c>
      <c r="DR15" s="65" t="str">
        <f>IF(ISERROR(IF(DQ15="","",VLOOKUP(($BH15&amp;DQ15&amp;"Template de desconto FLAT bundle - Velox XDSL - Varejo"),[8]BENEFICIOS!$A:$E,5,0))),"Criar",IF(DQ15="","",VLOOKUP(($BH15&amp;DQ15&amp;"Template de desconto FLAT bundle - Velox XDSL - Varejo"),[8]BENEFICIOS!$A:$E,5,0)))</f>
        <v/>
      </c>
      <c r="DS15" s="69"/>
      <c r="DT15" s="70"/>
      <c r="DU15" s="64" t="str">
        <f>IF(DS15=0,"",IF(DS15=VLOOKUP("PCS-30820g",[8]ARBOR!$A:$C,3,0),0.0001,IF(DS15&gt;VLOOKUP("PCS-30820g",[8]ARBOR!$A:$C,3,0),"Maior que CAP!",IF((DOLLAR(DS15+(VLOOKUP("PCS-30820g",[8]ARBOR!$A:$C,3,0)*-TRUNC(DS15/VLOOKUP("PCS-30820g",[8]ARBOR!$A:$C,3,0)-1,4)),6))&lt;&gt;(DOLLAR(VLOOKUP("PCS-30820g",[8]ARBOR!$A:$C,3,0),6)),(-TRUNC(DS15/VLOOKUP("PCS-30820g",[8]ARBOR!$A:$C,3,0)-1,4)+0.0001)-DQ15,-TRUNC(DS15/VLOOKUP("PCS-30820g",[8]ARBOR!$A:$C,3,0)-1,4)-DQ15))))</f>
        <v/>
      </c>
      <c r="DV15" s="65" t="str">
        <f>IF(ISERROR(IF(DU15="","",VLOOKUP(($BQ15&amp;DU15&amp;"Template de desconto percentual Bundle - Velox XDSL - Varejo"),[8]BENEFICIOS!$A:$E,5,0))),"Criar",IF(DU15="","",VLOOKUP(($BQ15&amp;DU15&amp;"Template de desconto percentual Bundle - Velox XDSL - Varejo"),[8]BENEFICIOS!$A:$E,5,0)))</f>
        <v/>
      </c>
      <c r="DW15" s="71">
        <v>44.9</v>
      </c>
      <c r="DX15" s="64">
        <f>IF(DW15=0,"",IF(DW15=VLOOKUP("PCS-21448p2",[8]ARBOR!$A:$C,3,0),0.0001,IF(DW15&gt;VLOOKUP("PCS-21448p2",[8]ARBOR!$A:$C,3,0),"Maior que CAP!",IF((DOLLAR(DW15+(VLOOKUP("PCS-21448p2",[8]ARBOR!$A:$C,3,0)*-TRUNC(DW15/VLOOKUP("PCS-21448p2",[8]ARBOR!$A:$C,3,0)-1,4)),6))&lt;&gt;(DOLLAR(VLOOKUP("PCS-21448p2",[8]ARBOR!$A:$C,3,0),6)),-TRUNC(DW15/VLOOKUP("PCS-21448p2",[8]ARBOR!$A:$C,3,0)-1,4)+0.0001,-TRUNC(DW15/VLOOKUP("PCS-21448p2",[8]ARBOR!$A:$C,3,0)-1,4)))))</f>
        <v>0.64900000000000002</v>
      </c>
      <c r="DY15" s="65" t="str">
        <f>IF(ISERROR(IF(DX15="","",VLOOKUP(("Oi Conta Total Plug 10GB Downgrade"&amp;DX15&amp;"Template de desconto percentual BL Móvel - Internet Total - Varejo"),[8]BENEFICIOS!$A:$E,5,0))),"Criar",IF(DX15="","",VLOOKUP(("Oi Conta Total Plug 10GB Downgrade"&amp;DX15&amp;"Template de desconto percentual BL Móvel - Internet Total - Varejo"),[8]BENEFICIOS!$A:$E,5,0)))</f>
        <v>MKT-1-9825544790</v>
      </c>
      <c r="DZ15" s="71">
        <v>16.5</v>
      </c>
      <c r="EA15" s="72">
        <f>IF(DZ15=0,"",IF(DZ15=VLOOKUP("SVA",[8]ARBOR!$A:$C,3,0),0.0001,IF(DZ15&gt;VLOOKUP("SVA",[8]ARBOR!$A:$C,3,0),"Maior que CAP!",IF((DOLLAR(DZ15+(VLOOKUP("SVA",[8]ARBOR!$A:$C,3,0)*-TRUNC(DZ15/VLOOKUP("SVA",[8]ARBOR!$A:$C,3,0)-1,4)),6))&lt;&gt;(DOLLAR(VLOOKUP("SVA",[8]ARBOR!$A:$C,3,0),6)),-TRUNC(DZ15/VLOOKUP("SVA",[8]ARBOR!$A:$C,3,0)-1,4)+0.0001,-TRUNC(DZ15/VLOOKUP("SVA",[8]ARBOR!$A:$C,3,0)-1,4)))))</f>
        <v>0.2301</v>
      </c>
      <c r="EB15" s="65" t="s">
        <v>223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B2C"),[8]BENEFICIOS!$A:$G,5,0))),"Criar",IF(EE15="","",VLOOKUP(($BQ15&amp;EE15&amp;"Template Desc. % sobre Serviço SVA B2C"),[8]BENEFICIOS!$A:$G,5,0))))</f>
        <v/>
      </c>
      <c r="EG15" s="75">
        <f>IF(BI15="","",VLOOKUP(BI15,[8]ARBOR!A:C,3,0))</f>
        <v>479.46</v>
      </c>
      <c r="EH15" s="69">
        <v>15</v>
      </c>
      <c r="EI15" s="76">
        <f>IF(EH15="","",1-(EH15/VLOOKUP(BI15&amp;"ASS",[8]ARBOR!A:C,3,0)))</f>
        <v>0.34725848563968664</v>
      </c>
      <c r="EJ15" s="77" t="s">
        <v>224</v>
      </c>
      <c r="EK15" s="78" t="s">
        <v>225</v>
      </c>
      <c r="EL15" s="69">
        <v>124.9</v>
      </c>
      <c r="EM15" s="64">
        <f>IF(EL15=0,"",IF(EL15=EG15,0.0001,ROUND(1-((EL15+(VLOOKUP(BI15&amp;"ASS",[8]ARBOR!A:C,3,0)-EH15))/EG15),4)))</f>
        <v>0.72289999999999999</v>
      </c>
      <c r="EN15" s="65" t="str">
        <f>IF(ISERROR(IF(EM15="","",VLOOKUP(($BH15&amp;EM15&amp;"Template de desconto percentual FLAT Móvel - Conta Total - Varejo - Ganho Tributário Cross"),[8]BENEFICIOS!$A:$E,5,0))),"Criar",IF(EM15="","",VLOOKUP(($BH15&amp;EM15&amp;"Template de desconto percentual FLAT Móvel - Conta Total - Varejo - Ganho Tributário Cross"),[8]BENEFICIOS!$A:$E,5,0)))</f>
        <v>MKT-1-10033167881</v>
      </c>
      <c r="EO15" s="79"/>
      <c r="EP15" s="64" t="str">
        <f>IF(EO15="","",1-(EO15/VLOOKUP($EM$2,[8]ARBOR!B:C,2,0)))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IF(EW15=0,"",IF(EW15=VLOOKUP("PCS-813566",[8]ARBOR!$A:$C,3,0),0.0001,IF(EW15&gt;VLOOKUP("PCS-813566",[8]ARBOR!$A:$C,3,0),"Maior que CAP!",ROUND(-1*(EW15/VLOOKUP("PCS-813566",[8]ARBOR!$A:$C,3,0)-1),4))))</f>
        <v/>
      </c>
      <c r="EY15" s="84" t="str">
        <f>IF(ISERROR(IF(EX15="","",VLOOKUP(("Oi Internet Pra Celular 300MB"&amp;EX15&amp;"Template Flat Instância Dados"),[8]BENEFICIOS!$A:$E,5,0))),"Criar",IF(EX15="","",VLOOKUP(("Oi Internet Pra Celular 300MB"&amp;EX15&amp;"Template Flat Instância Dados"),[8]BENEFICIOS!$A:$E,5,0)))</f>
        <v/>
      </c>
      <c r="EZ15" s="82"/>
      <c r="FA15" s="83" t="str">
        <f>IF(EZ15=0,"",IF(EZ15=VLOOKUP("PCS-813564",[8]ARBOR!$A:$C,3,0),0.0001,IF(EZ15&gt;VLOOKUP("PCS-813564",[8]ARBOR!$A:$C,3,0),"Maior que CAP!",ROUND(-1*(EZ15/VLOOKUP("PCS-813564",[8]ARBOR!$A:$C,3,0)-1),4))))</f>
        <v/>
      </c>
      <c r="FB15" s="84" t="str">
        <f>IF(ISERROR(IF(FA15="","",VLOOKUP(("Oi Internet Pra Celular 500MB"&amp;FA15&amp;"Template Flat Instância Dados"),[8]BENEFICIOS!$A:$E,5,0))),"Criar",IF(FA15="","",VLOOKUP(("Oi Internet Pra Celular 500MB"&amp;FA15&amp;"Template Flat Instância Dados"),[8]BENEFICIOS!$A:$E,5,0)))</f>
        <v/>
      </c>
      <c r="FC15" s="82"/>
      <c r="FD15" s="83" t="str">
        <f>IF(FC15=0,"",IF(FC15=VLOOKUP("PCS-10357",[8]ARBOR!$A:$C,3,0),0.0001,IF(FC15&gt;VLOOKUP("PCS-10357",[8]ARBOR!$A:$C,3,0),"Maior que CAP!",ROUND(-1*(FC15/VLOOKUP("PCS-10357",[8]ARBOR!$A:$C,3,0)-1),4))))</f>
        <v/>
      </c>
      <c r="FE15" s="84" t="str">
        <f>IF(ISERROR(IF(FD15="","",VLOOKUP(("Oi Internet Pra Celular 1GB"&amp;FD15&amp;"Template Flat Instância Dados"),[8]BENEFICIOS!$A:$E,5,0))),"Criar",IF(FD15="","",VLOOKUP(("Oi Internet Pra Celular 1GB"&amp;FD15&amp;"Template Flat Instância Dados"),[8]BENEFICIOS!$A:$E,5,0)))</f>
        <v/>
      </c>
      <c r="FF15" s="82"/>
      <c r="FG15" s="83" t="str">
        <f>IF(FF15=0,"",IF(FF15=VLOOKUP("PCS-813565",[8]ARBOR!$A:$C,3,0),0.0001,IF(FF15&gt;VLOOKUP("PCS-813565",[8]ARBOR!$A:$C,3,0),"Maior que CAP!",ROUND(-1*(FF15/VLOOKUP("PCS-813565",[8]ARBOR!$A:$C,3,0)-1),4))))</f>
        <v/>
      </c>
      <c r="FH15" s="84" t="str">
        <f>IF(ISERROR(IF(FG15="","",VLOOKUP(("Oi Internet Pra Celular 2GB"&amp;FG15&amp;"Template Flat Instância Dados"),[8]BENEFICIOS!$A:$E,5,0))),"Criar",IF(FG15="","",VLOOKUP(("Oi Internet Pra Celular 2GB"&amp;FG15&amp;"Template Flat Instância Dados"),[8]BENEFICIOS!$A:$E,5,0)))</f>
        <v/>
      </c>
      <c r="FI15" s="82"/>
      <c r="FJ15" s="83" t="str">
        <f>IF(FI15=0,"",IF(FI15=VLOOKUP("PCS-7171B",[8]ARBOR!$A:$C,3,0),0.0001,IF(FI15&gt;VLOOKUP("PCS-7171B",[8]ARBOR!$A:$C,3,0),"Maior que CAP!",ROUND(-1*(FI15/VLOOKUP("PCS-7171B",[8]ARBOR!$A:$C,3,0)-1),4))))</f>
        <v/>
      </c>
      <c r="FK15" s="84" t="str">
        <f>IF(ISERROR(IF(FJ15="","",VLOOKUP(("Oi Internet Pra Celular 3GB"&amp;FJ15&amp;"Template Flat Instância Dados"),[8]BENEFICIOS!$A:$E,5,0))),"Criar",IF(FJ15="","",VLOOKUP(("Oi Internet Pra Celular 3GB"&amp;FJ15&amp;"Template Flat Instância Dados"),[8]BENEFICIOS!$A:$E,5,0)))</f>
        <v/>
      </c>
      <c r="FL15" s="82"/>
      <c r="FM15" s="83" t="str">
        <f>IF(FL15=0,"",IF(FL15=VLOOKUP("PCS-51793o08",[8]ARBOR!$A:$C,3,0),0.0001,IF(FL15&gt;VLOOKUP("PCS-51793o08",[8]ARBOR!$A:$C,3,0),"Maior que CAP!",ROUND(-1*(FL15/VLOOKUP("PCS-51793o08",[8]ARBOR!$A:$C,3,0)-1),4))))</f>
        <v/>
      </c>
      <c r="FN15" s="84" t="str">
        <f>IF(ISERROR(IF(FM15="","",VLOOKUP(("Oi Internet Pra Celular 5GB"&amp;FM15&amp;"Template Flat Instância Dados"),[8]BENEFICIOS!$A:$E,5,0))),"Criar",IF(FM15="","",VLOOKUP(("Oi Internet Pra Celular 5GB"&amp;FM15&amp;"Template Flat Instância Dados"),[8]BENEFICIOS!$A:$E,5,0)))</f>
        <v/>
      </c>
      <c r="FO15" s="82"/>
      <c r="FP15" s="83" t="str">
        <f>IF(FO15=0,"",IF(FO15=VLOOKUP("PCS-7171A",[8]ARBOR!$A:$C,3,0),0.0001,IF(FO15&gt;VLOOKUP("PCS-7171A",[8]ARBOR!$A:$C,3,0),"Maior que CAP!",ROUND(-1*(FO15/VLOOKUP("PCS-7171A",[8]ARBOR!$A:$C,3,0)-1),4))))</f>
        <v/>
      </c>
      <c r="FQ15" s="84" t="str">
        <f>IF(ISERROR(IF(FP15="","",VLOOKUP(("Oi Internet Pra Celular 10GB"&amp;FP15&amp;"Template Flat Instância Dados"),[8]BENEFICIOS!$A:$E,5,0))),"Criar",IF(FP15="","",VLOOKUP(("Oi Internet Pra Celular 10GB"&amp;FP15&amp;"Template Flat Instância Dados"),[8]BENEFICIOS!$A:$E,5,0)))</f>
        <v/>
      </c>
      <c r="FR15" s="85"/>
      <c r="FS15" s="86"/>
      <c r="FT15" s="48"/>
      <c r="FU15" s="87"/>
      <c r="FV15" s="88" t="s">
        <v>221</v>
      </c>
      <c r="FW15" s="49" t="s">
        <v>226</v>
      </c>
      <c r="FX15" s="89">
        <v>999</v>
      </c>
      <c r="FY15" s="49">
        <v>12</v>
      </c>
      <c r="FZ15" s="90" t="s">
        <v>227</v>
      </c>
      <c r="GA15" s="91" t="str">
        <f t="shared" si="1"/>
        <v>PCS-Fk83324</v>
      </c>
      <c r="GB15" s="92" t="str">
        <f t="shared" si="2"/>
        <v>PCS-SBL553142</v>
      </c>
      <c r="GC15" s="93" t="s">
        <v>228</v>
      </c>
      <c r="GD15" s="90" t="s">
        <v>229</v>
      </c>
      <c r="GE15" s="92" t="s">
        <v>230</v>
      </c>
      <c r="GF15" s="93" t="s">
        <v>231</v>
      </c>
      <c r="GG15" s="90" t="s">
        <v>232</v>
      </c>
      <c r="GH15" s="92" t="s">
        <v>233</v>
      </c>
      <c r="GI15" s="94" t="s">
        <v>234</v>
      </c>
      <c r="GJ15" s="95">
        <f>EL15+CB15+BJ15</f>
        <v>219.9</v>
      </c>
      <c r="GK15" s="96"/>
      <c r="GL15" s="97" t="s">
        <v>235</v>
      </c>
      <c r="GM15" s="98" t="s">
        <v>272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273</v>
      </c>
      <c r="GX15" s="44" t="s">
        <v>238</v>
      </c>
    </row>
    <row r="16" spans="1:206" s="44" customFormat="1" x14ac:dyDescent="0.35">
      <c r="A16" s="44" t="str">
        <f t="shared" si="0"/>
        <v>Oi Total Fixo + Pós 800 + Banda LargaN2MG</v>
      </c>
      <c r="B16" s="45" t="s">
        <v>211</v>
      </c>
      <c r="C16" s="46" t="s">
        <v>127</v>
      </c>
      <c r="D16" s="46" t="s">
        <v>212</v>
      </c>
      <c r="E16" s="47" t="s">
        <v>213</v>
      </c>
      <c r="F16" s="88" t="s">
        <v>214</v>
      </c>
      <c r="G16" s="49"/>
      <c r="H16" s="49"/>
      <c r="I16" s="49"/>
      <c r="J16" s="49" t="s">
        <v>214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214</v>
      </c>
      <c r="AC16" s="49" t="s">
        <v>214</v>
      </c>
      <c r="AD16" s="49" t="s">
        <v>214</v>
      </c>
      <c r="AE16" s="49" t="s">
        <v>214</v>
      </c>
      <c r="AF16" s="49" t="s">
        <v>214</v>
      </c>
      <c r="AG16" s="49" t="s">
        <v>214</v>
      </c>
      <c r="AH16" s="50"/>
      <c r="AI16" s="49" t="s">
        <v>214</v>
      </c>
      <c r="AJ16" s="49" t="s">
        <v>214</v>
      </c>
      <c r="AK16" s="49" t="s">
        <v>214</v>
      </c>
      <c r="AL16" s="49" t="s">
        <v>214</v>
      </c>
      <c r="AM16" s="49" t="s">
        <v>214</v>
      </c>
      <c r="AN16" s="49" t="s">
        <v>214</v>
      </c>
      <c r="AO16" s="49" t="s">
        <v>214</v>
      </c>
      <c r="AP16" s="49"/>
      <c r="AQ16" s="51"/>
      <c r="AR16" s="52" t="s">
        <v>274</v>
      </c>
      <c r="AS16" s="46" t="s">
        <v>216</v>
      </c>
      <c r="AT16" s="53" t="s">
        <v>217</v>
      </c>
      <c r="AU16" s="54">
        <v>42972</v>
      </c>
      <c r="AV16" s="105">
        <v>43097</v>
      </c>
      <c r="AW16" s="56" t="s">
        <v>218</v>
      </c>
      <c r="AX16" s="57" t="s">
        <v>218</v>
      </c>
      <c r="AY16" s="58"/>
      <c r="AZ16" s="58" t="s">
        <v>219</v>
      </c>
      <c r="BA16" s="58">
        <v>20</v>
      </c>
      <c r="BB16" s="58">
        <v>10000</v>
      </c>
      <c r="BC16" s="59" t="s">
        <v>220</v>
      </c>
      <c r="BD16" s="60" t="s">
        <v>221</v>
      </c>
      <c r="BE16" s="58" t="s">
        <v>213</v>
      </c>
      <c r="BF16" s="51" t="s">
        <v>213</v>
      </c>
      <c r="BG16" s="45" t="s">
        <v>274</v>
      </c>
      <c r="BH16" s="61" t="s">
        <v>222</v>
      </c>
      <c r="BI16" s="62" t="str">
        <f>IF(ISERROR(VLOOKUP(BH16,[8]PLANOS!B:C,2,0)),"",VLOOKUP(BH16,[8]PLANOS!B:C,2,0))</f>
        <v>PCS-4P6pi</v>
      </c>
      <c r="BJ16" s="63">
        <v>50.1</v>
      </c>
      <c r="BK16" s="64">
        <f>IF(BJ16=0,"",IF(BJ16=VLOOKUP("FIXO",[8]ARBOR!$A:$C,3,0),0.0001,IF(BJ16&gt;VLOOKUP("FIXO",[8]ARBOR!$A:$C,3,0),"Maior que CAP!",IF((DOLLAR(BJ16+(VLOOKUP("FIXO",[8]ARBOR!$A:$C,3,0)*-TRUNC(BJ16/VLOOKUP("FIXO",[8]ARBOR!$A:$C,3,0)-1,4)),6))&lt;&gt;(DOLLAR(VLOOKUP("FIXO",[8]ARBOR!$A:$C,3,0),6)),-TRUNC(BJ16/VLOOKUP("FIXO",[8]ARBOR!$A:$C,3,0)-1,4)+0.0001,-TRUNC(BJ16/VLOOKUP("FIXO",[8]ARBOR!$A:$C,3,0)-1,4)))))</f>
        <v>0.33939999999999998</v>
      </c>
      <c r="BL16" s="65" t="str">
        <f>IF(ISERROR(IF(BK16="","",VLOOKUP(($BH16&amp;BK16&amp;"Template de desconto FLAT bundle - Fixo - Varejo - Ganho Tributário Cross"),[8]BENEFICIOS!$A:$E,5,0))),"Criar",IF(BK16="","",VLOOKUP(($BH16&amp;BK16&amp;"Template de desconto FLAT bundle - Fixo - Varejo - Ganho Tributário Cross"),[8]BENEFICIOS!$A:$E,5,0)))</f>
        <v>MKT-1-9856472058</v>
      </c>
      <c r="BM16" s="66"/>
      <c r="BN16" s="67"/>
      <c r="BO16" s="104" t="s">
        <v>240</v>
      </c>
      <c r="BP16" s="69">
        <v>44.9</v>
      </c>
      <c r="BQ16" s="64">
        <f>IF(BP16=0,"",IF(BP16=VLOOKUP("PCS-30874g",[8]ARBOR!$A:$C,3,0),0.0001,IF(BP16&gt;VLOOKUP("PCS-30874g",[8]ARBOR!$A:$C,3,0),"Maior que CAP!",IF((DOLLAR(BP16+(VLOOKUP("PCS-30874g",[8]ARBOR!$A:$C,3,0)*-TRUNC(BP16/VLOOKUP("PCS-30874g",[8]ARBOR!$A:$C,3,0)-1,4)),6))&lt;&gt;(DOLLAR(VLOOKUP("PCS-30874g",[8]ARBOR!$A:$C,3,0),6)),-TRUNC(BP16/VLOOKUP("PCS-30874g",[8]ARBOR!$A:$C,3,0)-1,4)+0.0001,-TRUNC(BP16/VLOOKUP("PCS-30874g",[8]ARBOR!$A:$C,3,0)-1,4)))))</f>
        <v>0.53679999999999994</v>
      </c>
      <c r="BR16" s="65" t="str">
        <f>IF(ISERROR(IF(BQ16="","",VLOOKUP(($BH16&amp;BQ16&amp;"Template de desconto FLAT bundle - Velox XDSL - Varejo"),[8]BENEFICIOS!$A:$E,5,0))),"Criar",IF(BQ16="","",VLOOKUP(($BH16&amp;BQ16&amp;"Template de desconto FLAT bundle - Velox XDSL - Varejo"),[8]BENEFICIOS!$A:$E,5,0)))</f>
        <v>MKT-1-9865126733</v>
      </c>
      <c r="BS16" s="104" t="s">
        <v>240</v>
      </c>
      <c r="BT16" s="69">
        <v>44.9</v>
      </c>
      <c r="BU16" s="64">
        <f>IF(BT16=0,"",IF(BT16=VLOOKUP("PCS-30577g",[8]ARBOR!$A:$C,3,0),0.0001,IF(BT16&gt;VLOOKUP("PCS-30577g",[8]ARBOR!$A:$C,3,0),"Maior que CAP!",IF((DOLLAR(BT16+(VLOOKUP("PCS-30577g",[8]ARBOR!$A:$C,3,0)*-TRUNC(BT16/VLOOKUP("PCS-30577g",[8]ARBOR!$A:$C,3,0)-1,4)),6))&lt;&gt;(DOLLAR(VLOOKUP("PCS-30577g",[8]ARBOR!$A:$C,3,0),6)),-TRUNC(BT16/VLOOKUP("PCS-30577g",[8]ARBOR!$A:$C,3,0)-1,4)+0.0001,-TRUNC(BT16/VLOOKUP("PCS-30577g",[8]ARBOR!$A:$C,3,0)-1,4)))))</f>
        <v>0.53679999999999994</v>
      </c>
      <c r="BV16" s="65" t="str">
        <f>IF(ISERROR(IF(BU16="","",VLOOKUP(($BH16&amp;BU16&amp;"Template de desconto FLAT bundle - Velox XDSL - Varejo"),[8]BENEFICIOS!$A:$E,5,0))),"Criar",IF(BU16="","",VLOOKUP(($BH16&amp;BU16&amp;"Template de desconto FLAT bundle - Velox XDSL - Varejo"),[8]BENEFICIOS!$A:$E,5,0)))</f>
        <v>MKT-1-9865126733</v>
      </c>
      <c r="BW16" s="104" t="s">
        <v>240</v>
      </c>
      <c r="BX16" s="69">
        <v>44.9</v>
      </c>
      <c r="BY16" s="64">
        <f>IF(BX16=0,"",IF(BX16=VLOOKUP("PCS-30604g",[8]ARBOR!$A:$C,3,0),0.0001,IF(BX16&gt;VLOOKUP("PCS-30604g",[8]ARBOR!$A:$C,3,0),"Maior que CAP!",IF((DOLLAR(BX16+(VLOOKUP("PCS-30604g",[8]ARBOR!$A:$C,3,0)*-TRUNC(BX16/VLOOKUP("PCS-30604g",[8]ARBOR!$A:$C,3,0)-1,4)),6))&lt;&gt;(DOLLAR(VLOOKUP("PCS-30604g",[8]ARBOR!$A:$C,3,0),6)),-TRUNC(BX16/VLOOKUP("PCS-30604g",[8]ARBOR!$A:$C,3,0)-1,4)+0.0001,-TRUNC(BX16/VLOOKUP("PCS-30604g",[8]ARBOR!$A:$C,3,0)-1,4)))))</f>
        <v>0.53679999999999994</v>
      </c>
      <c r="BZ16" s="65" t="str">
        <f>IF(ISERROR(IF(BY16="","",VLOOKUP(($BH16&amp;BY16&amp;"Template de desconto FLAT bundle - Velox XDSL - Varejo"),[8]BENEFICIOS!$A:$E,5,0))),"Criar",IF(BY16="","",VLOOKUP(($BH16&amp;BY16&amp;"Template de desconto FLAT bundle - Velox XDSL - Varejo"),[8]BENEFICIOS!$A:$E,5,0)))</f>
        <v>MKT-1-9865126733</v>
      </c>
      <c r="CA16" s="104" t="s">
        <v>240</v>
      </c>
      <c r="CB16" s="69">
        <v>44.9</v>
      </c>
      <c r="CC16" s="64">
        <f>IF(CB16=0,"",IF(CB16=VLOOKUP("PCS-30631g",[8]ARBOR!$A:$C,3,0),0.0001,IF(CB16&gt;VLOOKUP("PCS-30631g",[8]ARBOR!$A:$C,3,0),"Maior que CAP!",IF((DOLLAR(CB16+(VLOOKUP("PCS-30631g",[8]ARBOR!$A:$C,3,0)*-TRUNC(CB16/VLOOKUP("PCS-30631g",[8]ARBOR!$A:$C,3,0)-1,4)),6))&lt;&gt;(DOLLAR(VLOOKUP("PCS-30631g",[8]ARBOR!$A:$C,3,0),6)),-TRUNC(CB16/VLOOKUP("PCS-30631g",[8]ARBOR!$A:$C,3,0)-1,4)+0.0001,-TRUNC(CB16/VLOOKUP("PCS-30631g",[8]ARBOR!$A:$C,3,0)-1,4)))))</f>
        <v>0.54310000000000003</v>
      </c>
      <c r="CD16" s="65" t="str">
        <f>IF(ISERROR(IF(CC16="","",VLOOKUP(($BH16&amp;CC16&amp;"Template de desconto FLAT bundle - Velox XDSL - Varejo"),[8]BENEFICIOS!$A:$E,5,0))),"Criar",IF(CC16="","",VLOOKUP(($BH16&amp;CC16&amp;"Template de desconto FLAT bundle - Velox XDSL - Varejo"),[8]BENEFICIOS!$A:$E,5,0)))</f>
        <v>MKT-1-9865126826</v>
      </c>
      <c r="CE16" s="68" t="s">
        <v>161</v>
      </c>
      <c r="CF16" s="69">
        <v>49.9</v>
      </c>
      <c r="CG16" s="64">
        <f>IF(CF16=0,"",IF(CF16=VLOOKUP("PCS-30658g",[8]ARBOR!$A:$C,3,0),0.0001,IF(CF16&gt;VLOOKUP("PCS-30658g",[8]ARBOR!$A:$C,3,0),"Maior que CAP!",IF((DOLLAR(CF16+(VLOOKUP("PCS-30658g",[8]ARBOR!$A:$C,3,0)*-TRUNC(CF16/VLOOKUP("PCS-30658g",[8]ARBOR!$A:$C,3,0)-1,4)),6))&lt;&gt;(DOLLAR(VLOOKUP("PCS-30658g",[8]ARBOR!$A:$C,3,0),6)),-TRUNC(CF16/VLOOKUP("PCS-30658g",[8]ARBOR!$A:$C,3,0)-1,4)+0.0001,-TRUNC(CF16/VLOOKUP("PCS-30658g",[8]ARBOR!$A:$C,3,0)-1,4)))))</f>
        <v>0.55569999999999997</v>
      </c>
      <c r="CH16" s="65" t="str">
        <f>IF(ISERROR(IF(CG16="","",VLOOKUP(($BH16&amp;CG16&amp;"Template de desconto FLAT bundle - Velox XDSL - Varejo"),[8]BENEFICIOS!$A:$E,5,0))),"Criar",IF(CG16="","",VLOOKUP(($BH16&amp;CG16&amp;"Template de desconto FLAT bundle - Velox XDSL - Varejo"),[8]BENEFICIOS!$A:$E,5,0)))</f>
        <v>MKT-1-9865126919</v>
      </c>
      <c r="CI16" s="68" t="s">
        <v>161</v>
      </c>
      <c r="CJ16" s="69">
        <v>49.9</v>
      </c>
      <c r="CK16" s="64">
        <f>IF(CJ16=0,"",IF(CJ16=VLOOKUP("PCS-30685g",[8]ARBOR!$A:$C,3,0),0.0001,IF(CJ16&gt;VLOOKUP("PCS-30685g",[8]ARBOR!$A:$C,3,0),"Maior que CAP!",IF((DOLLAR(CJ16+(VLOOKUP("PCS-30685g",[8]ARBOR!$A:$C,3,0)*-TRUNC(CJ16/VLOOKUP("PCS-30685g",[8]ARBOR!$A:$C,3,0)-1,4)),6))&lt;&gt;(DOLLAR(VLOOKUP("PCS-30685g",[8]ARBOR!$A:$C,3,0),6)),-TRUNC(CJ16/VLOOKUP("PCS-30685g",[8]ARBOR!$A:$C,3,0)-1,4)+0.0001,-TRUNC(CJ16/VLOOKUP("PCS-30685g",[8]ARBOR!$A:$C,3,0)-1,4)))))</f>
        <v>0.60509999999999997</v>
      </c>
      <c r="CL16" s="65" t="str">
        <f>IF(ISERROR(IF(CK16="","",VLOOKUP(($BH16&amp;CK16&amp;"Template de desconto FLAT bundle - Velox XDSL - Varejo"),[8]BENEFICIOS!$A:$E,5,0))),"Criar",IF(CK16="","",VLOOKUP(($BH16&amp;CK16&amp;"Template de desconto FLAT bundle - Velox XDSL - Varejo"),[8]BENEFICIOS!$A:$E,5,0)))</f>
        <v>MKT-1-9865694381</v>
      </c>
      <c r="CM16" s="68" t="s">
        <v>161</v>
      </c>
      <c r="CN16" s="69">
        <v>49.9</v>
      </c>
      <c r="CO16" s="64">
        <f>IF(CN16=0,"",IF(CN16=VLOOKUP("PCS-30712g",[8]ARBOR!$A:$C,3,0),0.0001,IF(CN16&gt;VLOOKUP("PCS-30712g",[8]ARBOR!$A:$C,3,0),"Maior que CAP!",IF((DOLLAR(CN16+(VLOOKUP("PCS-30712g",[8]ARBOR!$A:$C,3,0)*-TRUNC(CN16/VLOOKUP("PCS-30712g",[8]ARBOR!$A:$C,3,0)-1,4)),6))&lt;&gt;(DOLLAR(VLOOKUP("PCS-30712g",[8]ARBOR!$A:$C,3,0),6)),-TRUNC(CN16/VLOOKUP("PCS-30712g",[8]ARBOR!$A:$C,3,0)-1,4)+0.0001,-TRUNC(CN16/VLOOKUP("PCS-30712g",[8]ARBOR!$A:$C,3,0)-1,4)))))</f>
        <v>0.64459999999999995</v>
      </c>
      <c r="CP16" s="65" t="str">
        <f>IF(ISERROR(IF(CO16="","",VLOOKUP(($BH16&amp;CO16&amp;"Template de desconto FLAT bundle - Velox XDSL - Varejo"),[8]BENEFICIOS!$A:$E,5,0))),"Criar",IF(CO16="","",VLOOKUP(($BH16&amp;CO16&amp;"Template de desconto FLAT bundle - Velox XDSL - Varejo"),[8]BENEFICIOS!$A:$E,5,0)))</f>
        <v>MKT-1-9865191105</v>
      </c>
      <c r="CQ16" s="68" t="s">
        <v>161</v>
      </c>
      <c r="CR16" s="69">
        <v>59.9</v>
      </c>
      <c r="CS16" s="64">
        <f>IF(CR16=0,"",IF(CR16=VLOOKUP("PCS-30739g",[8]ARBOR!$A:$C,3,0),0.0001,IF(CR16&gt;VLOOKUP("PCS-30739g",[8]ARBOR!$A:$C,3,0),"Maior que CAP!",IF((DOLLAR(CR16+(VLOOKUP("PCS-30739g",[8]ARBOR!$A:$C,3,0)*-TRUNC(CR16/VLOOKUP("PCS-30739g",[8]ARBOR!$A:$C,3,0)-1,4)),6))&lt;&gt;(DOLLAR(VLOOKUP("PCS-30739g",[8]ARBOR!$A:$C,3,0),6)),-TRUNC(CR16/VLOOKUP("PCS-30739g",[8]ARBOR!$A:$C,3,0)-1,4)+0.0001,-TRUNC(CR16/VLOOKUP("PCS-30739g",[8]ARBOR!$A:$C,3,0)-1,4)))))</f>
        <v>0.71560000000000001</v>
      </c>
      <c r="CT16" s="65" t="str">
        <f>IF(ISERROR(IF(CS16="","",VLOOKUP(($BH16&amp;CS16&amp;"Template de desconto FLAT bundle - Velox XDSL - Varejo"),[8]BENEFICIOS!$A:$E,5,0))),"Criar",IF(CS16="","",VLOOKUP(($BH16&amp;CS16&amp;"Template de desconto FLAT bundle - Velox XDSL - Varejo"),[8]BENEFICIOS!$A:$E,5,0)))</f>
        <v>MKT-1-9865191198</v>
      </c>
      <c r="CU16" s="69"/>
      <c r="CV16" s="70"/>
      <c r="CW16" s="64"/>
      <c r="CX16" s="65"/>
      <c r="CY16" s="68" t="s">
        <v>161</v>
      </c>
      <c r="CZ16" s="69">
        <v>59.9</v>
      </c>
      <c r="DA16" s="64">
        <f>IF(CZ16=0,"",IF(CZ16=VLOOKUP("PCS-30766g",[8]ARBOR!$A:$C,3,0),0.0001,IF(CZ16&gt;VLOOKUP("PCS-30766g",[8]ARBOR!$A:$C,3,0),"Maior que CAP!",IF((DOLLAR(CZ16+(VLOOKUP("PCS-30766g",[8]ARBOR!$A:$C,3,0)*-TRUNC(CZ16/VLOOKUP("PCS-30766g",[8]ARBOR!$A:$C,3,0)-1,4)),6))&lt;&gt;(DOLLAR(VLOOKUP("PCS-30766g",[8]ARBOR!$A:$C,3,0),6)),-TRUNC(CZ16/VLOOKUP("PCS-30766g",[8]ARBOR!$A:$C,3,0)-1,4)+0.0001,-TRUNC(CZ16/VLOOKUP("PCS-30766g",[8]ARBOR!$A:$C,3,0)-1,4)))))</f>
        <v>0.78669999999999995</v>
      </c>
      <c r="DB16" s="65" t="str">
        <f>IF(ISERROR(IF(DA16="","",VLOOKUP(($BH16&amp;DA16&amp;"Template de desconto FLAT bundle - Velox XDSL - Varejo"),[8]BENEFICIOS!$A:$E,5,0))),"Criar",IF(DA16="","",VLOOKUP(($BH16&amp;DA16&amp;"Template de desconto FLAT bundle - Velox XDSL - Varejo"),[8]BENEFICIOS!$A:$E,5,0)))</f>
        <v>MKT-1-9865191291</v>
      </c>
      <c r="DC16" s="69"/>
      <c r="DD16" s="70"/>
      <c r="DE16" s="64"/>
      <c r="DF16" s="65"/>
      <c r="DG16" s="68" t="s">
        <v>240</v>
      </c>
      <c r="DH16" s="69">
        <v>69.900000000000006</v>
      </c>
      <c r="DI16" s="64">
        <f>IF(DH16=0,"",IF(DH16=VLOOKUP("PCS-30793g",[8]ARBOR!$A:$C,3,0),0.0001,IF(DH16&gt;VLOOKUP("PCS-30793g",[8]ARBOR!$A:$C,3,0),"Maior que CAP!",IF((DOLLAR(DH16+(VLOOKUP("PCS-30793g",[8]ARBOR!$A:$C,3,0)*-TRUNC(DH16/VLOOKUP("PCS-30793g",[8]ARBOR!$A:$C,3,0)-1,4)),6))&lt;&gt;(DOLLAR(VLOOKUP("PCS-30793g",[8]ARBOR!$A:$C,3,0),6)),-TRUNC(DH16/VLOOKUP("PCS-30793g",[8]ARBOR!$A:$C,3,0)-1,4)+0.0001,-TRUNC(DH16/VLOOKUP("PCS-30793g",[8]ARBOR!$A:$C,3,0)-1,4)))))</f>
        <v>0.75109999999999999</v>
      </c>
      <c r="DJ16" s="65" t="str">
        <f>IF(ISERROR(IF(DI16="","",VLOOKUP(($BH16&amp;DI16&amp;"Template de desconto FLAT bundle - Velox XDSL - Varejo"),[8]BENEFICIOS!$A:$E,5,0))),"Criar",IF(DI16="","",VLOOKUP(($BH16&amp;DI16&amp;"Template de desconto FLAT bundle - Velox XDSL - Varejo"),[8]BENEFICIOS!$A:$E,5,0)))</f>
        <v>MKT-1-9865191384</v>
      </c>
      <c r="DK16" s="69"/>
      <c r="DL16" s="70"/>
      <c r="DM16" s="64"/>
      <c r="DN16" s="65"/>
      <c r="DO16" s="68" t="s">
        <v>161</v>
      </c>
      <c r="DP16" s="69">
        <v>69.900000000000006</v>
      </c>
      <c r="DQ16" s="64">
        <f>IF(DP16=0,"",IF(DP16=VLOOKUP("PCS-30820g",[8]ARBOR!$A:$C,3,0),0.0001,IF(DP16&gt;VLOOKUP("PCS-30820g",[8]ARBOR!$A:$C,3,0),"Maior que CAP!",IF((DOLLAR(DP16+(VLOOKUP("PCS-30820g",[8]ARBOR!$A:$C,3,0)*-TRUNC(DP16/VLOOKUP("PCS-30820g",[8]ARBOR!$A:$C,3,0)-1,4)),6))&lt;&gt;(DOLLAR(VLOOKUP("PCS-30820g",[8]ARBOR!$A:$C,3,0),6)),-TRUNC(DP16/VLOOKUP("PCS-30820g",[8]ARBOR!$A:$C,3,0)-1,4)+0.0001,-TRUNC(DP16/VLOOKUP("PCS-30820g",[8]ARBOR!$A:$C,3,0)-1,4)))))</f>
        <v>0.75109999999999999</v>
      </c>
      <c r="DR16" s="65" t="str">
        <f>IF(ISERROR(IF(DQ16="","",VLOOKUP(($BH16&amp;DQ16&amp;"Template de desconto FLAT bundle - Velox XDSL - Varejo"),[8]BENEFICIOS!$A:$E,5,0))),"Criar",IF(DQ16="","",VLOOKUP(($BH16&amp;DQ16&amp;"Template de desconto FLAT bundle - Velox XDSL - Varejo"),[8]BENEFICIOS!$A:$E,5,0)))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IF(DW16=0,"",IF(DW16=VLOOKUP("PCS-21448p2",[8]ARBOR!$A:$C,3,0),0.0001,IF(DW16&gt;VLOOKUP("PCS-21448p2",[8]ARBOR!$A:$C,3,0),"Maior que CAP!",IF((DOLLAR(DW16+(VLOOKUP("PCS-21448p2",[8]ARBOR!$A:$C,3,0)*-TRUNC(DW16/VLOOKUP("PCS-21448p2",[8]ARBOR!$A:$C,3,0)-1,4)),6))&lt;&gt;(DOLLAR(VLOOKUP("PCS-21448p2",[8]ARBOR!$A:$C,3,0),6)),-TRUNC(DW16/VLOOKUP("PCS-21448p2",[8]ARBOR!$A:$C,3,0)-1,4)+0.0001,-TRUNC(DW16/VLOOKUP("PCS-21448p2",[8]ARBOR!$A:$C,3,0)-1,4)))))</f>
        <v/>
      </c>
      <c r="DY16" s="65" t="str">
        <f>IF(ISERROR(IF(DX16="","",VLOOKUP(("Oi Conta Total Plug 10GB Downgrade"&amp;DX16&amp;"Template de desconto percentual BL Móvel - Internet Total - Varejo"),[8]BENEFICIOS!$A:$E,5,0))),"Criar",IF(DX16="","",VLOOKUP(("Oi Conta Total Plug 10GB Downgrade"&amp;DX16&amp;"Template de desconto percentual BL Móvel - Internet Total - Varejo"),[8]BENEFICIOS!$A:$E,5,0)))</f>
        <v/>
      </c>
      <c r="DZ16" s="71">
        <v>19.899999999999999</v>
      </c>
      <c r="EA16" s="72">
        <f>IF(DZ16=0,"",IF(DZ16=VLOOKUP("SVA",[8]ARBOR!$A:$C,3,0),0.0001,IF(DZ16&gt;VLOOKUP("SVA",[8]ARBOR!$A:$C,3,0),"Maior que CAP!",IF((DOLLAR(DZ16+(VLOOKUP("SVA",[8]ARBOR!$A:$C,3,0)*-TRUNC(DZ16/VLOOKUP("SVA",[8]ARBOR!$A:$C,3,0)-1,4)),6))&lt;&gt;(DOLLAR(VLOOKUP("SVA",[8]ARBOR!$A:$C,3,0),6)),-TRUNC(DZ16/VLOOKUP("SVA",[8]ARBOR!$A:$C,3,0)-1,4)+0.0001,-TRUNC(DZ16/VLOOKUP("SVA",[8]ARBOR!$A:$C,3,0)-1,4)))))</f>
        <v>7.1400000000000005E-2</v>
      </c>
      <c r="EB16" s="65" t="s">
        <v>241</v>
      </c>
      <c r="EC16" s="69"/>
      <c r="ED16" s="73"/>
      <c r="EE16" s="74"/>
      <c r="EF16" s="65"/>
      <c r="EG16" s="75">
        <f>IF(BI16="","",VLOOKUP(BI16,[8]ARBOR!A:C,3,0))</f>
        <v>479.46</v>
      </c>
      <c r="EH16" s="69">
        <v>15</v>
      </c>
      <c r="EI16" s="76">
        <f>IF(EH16="","",1-(EH16/VLOOKUP(BI16&amp;"ASS",[8]ARBOR!A:C,3,0)))</f>
        <v>0.34725848563968664</v>
      </c>
      <c r="EJ16" s="77" t="s">
        <v>224</v>
      </c>
      <c r="EK16" s="78" t="s">
        <v>225</v>
      </c>
      <c r="EL16" s="69">
        <v>124.9</v>
      </c>
      <c r="EM16" s="64">
        <f>IF(EL16=0,"",IF(EL16=EG16,0.0001,ROUND(1-((EL16+(VLOOKUP(BI16&amp;"ASS",[8]ARBOR!A:C,3,0)-EH16))/EG16),4)))</f>
        <v>0.72289999999999999</v>
      </c>
      <c r="EN16" s="65" t="str">
        <f>IF(ISERROR(IF(EM16="","",VLOOKUP(($BH16&amp;EM16&amp;"Template de desconto percentual FLAT Móvel - Conta Total - Varejo - Ganho Tributário Cross"),[8]BENEFICIOS!$A:$E,5,0))),"Criar",IF(EM16="","",VLOOKUP(($BH16&amp;EM16&amp;"Template de desconto percentual FLAT Móvel - Conta Total - Varejo - Ganho Tributário Cross"),[8]BENEFICIOS!$A:$E,5,0)))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IF(FC16=0,"",IF(FC16=VLOOKUP("PCS-10357",[8]ARBOR!$A:$C,3,0),0.0001,IF(FC16&gt;VLOOKUP("PCS-10357",[8]ARBOR!$A:$C,3,0),"Maior que CAP!",ROUND(-1*(FC16/VLOOKUP("PCS-10357",[8]ARBOR!$A:$C,3,0)-1),4))))</f>
        <v/>
      </c>
      <c r="FE16" s="84" t="str">
        <f>IF(ISERROR(IF(FD16="","",VLOOKUP(("Oi Internet Pra Celular 1GB"&amp;FD16&amp;"Template Flat Instância Dados"),[8]BENEFICIOS!$A:$E,5,0))),"Criar",IF(FD16="","",VLOOKUP(("Oi Internet Pra Celular 1GB"&amp;FD16&amp;"Template Flat Instância Dados"),[8]BENEFICIOS!$A:$E,5,0)))</f>
        <v/>
      </c>
      <c r="FF16" s="82"/>
      <c r="FG16" s="83" t="str">
        <f>IF(FF16=0,"",IF(FF16=VLOOKUP("PCS-813565",[8]ARBOR!$A:$C,3,0),0.0001,IF(FF16&gt;VLOOKUP("PCS-813565",[8]ARBOR!$A:$C,3,0),"Maior que CAP!",ROUND(-1*(FF16/VLOOKUP("PCS-813565",[8]ARBOR!$A:$C,3,0)-1),4))))</f>
        <v/>
      </c>
      <c r="FH16" s="84" t="str">
        <f>IF(ISERROR(IF(FG16="","",VLOOKUP(("Oi Internet Pra Celular 2GB"&amp;FG16&amp;"Template Flat Instância Dados"),[8]BENEFICIOS!$A:$E,5,0))),"Criar",IF(FG16="","",VLOOKUP(("Oi Internet Pra Celular 2GB"&amp;FG16&amp;"Template Flat Instância Dados"),[8]BENEFICIOS!$A:$E,5,0)))</f>
        <v/>
      </c>
      <c r="FI16" s="82"/>
      <c r="FJ16" s="83" t="str">
        <f>IF(FI16=0,"",IF(FI16=VLOOKUP("PCS-7171B",[8]ARBOR!$A:$C,3,0),0.0001,IF(FI16&gt;VLOOKUP("PCS-7171B",[8]ARBOR!$A:$C,3,0),"Maior que CAP!",ROUND(-1*(FI16/VLOOKUP("PCS-7171B",[8]ARBOR!$A:$C,3,0)-1),4))))</f>
        <v/>
      </c>
      <c r="FK16" s="84" t="str">
        <f>IF(ISERROR(IF(FJ16="","",VLOOKUP(("Oi Internet Pra Celular 3GB"&amp;FJ16&amp;"Template Flat Instância Dados"),[8]BENEFICIOS!$A:$E,5,0))),"Criar",IF(FJ16="","",VLOOKUP(("Oi Internet Pra Celular 3GB"&amp;FJ16&amp;"Template Flat Instância Dados"),[8]BENEFICIOS!$A:$E,5,0)))</f>
        <v/>
      </c>
      <c r="FL16" s="82"/>
      <c r="FM16" s="83" t="str">
        <f>IF(FL16=0,"",IF(FL16=VLOOKUP("PCS-51793o08",[8]ARBOR!$A:$C,3,0),0.0001,IF(FL16&gt;VLOOKUP("PCS-51793o08",[8]ARBOR!$A:$C,3,0),"Maior que CAP!",ROUND(-1*(FL16/VLOOKUP("PCS-51793o08",[8]ARBOR!$A:$C,3,0)-1),4))))</f>
        <v/>
      </c>
      <c r="FN16" s="84" t="str">
        <f>IF(ISERROR(IF(FM16="","",VLOOKUP(("Oi Internet Pra Celular 5GB"&amp;FM16&amp;"Template Flat Instância Dados"),[8]BENEFICIOS!$A:$E,5,0))),"Criar",IF(FM16="","",VLOOKUP(("Oi Internet Pra Celular 5GB"&amp;FM16&amp;"Template Flat Instância Dados"),[8]BENEFICIOS!$A:$E,5,0)))</f>
        <v/>
      </c>
      <c r="FO16" s="82"/>
      <c r="FP16" s="83" t="str">
        <f>IF(FO16=0,"",IF(FO16=VLOOKUP("PCS-7171A",[8]ARBOR!$A:$C,3,0),0.0001,IF(FO16&gt;VLOOKUP("PCS-7171A",[8]ARBOR!$A:$C,3,0),"Maior que CAP!",ROUND(-1*(FO16/VLOOKUP("PCS-7171A",[8]ARBOR!$A:$C,3,0)-1),4))))</f>
        <v/>
      </c>
      <c r="FQ16" s="84" t="str">
        <f>IF(ISERROR(IF(FP16="","",VLOOKUP(("Oi Internet Pra Celular 10GB"&amp;FP16&amp;"Template Flat Instância Dados"),[8]BENEFICIOS!$A:$E,5,0))),"Criar",IF(FP16="","",VLOOKUP(("Oi Internet Pra Celular 10GB"&amp;FP16&amp;"Template Flat Instância Dados"),[8]BENEFICIOS!$A:$E,5,0)))</f>
        <v/>
      </c>
      <c r="FR16" s="85"/>
      <c r="FS16" s="86"/>
      <c r="FT16" s="48"/>
      <c r="FU16" s="87"/>
      <c r="FV16" s="88" t="s">
        <v>221</v>
      </c>
      <c r="FW16" s="49" t="s">
        <v>226</v>
      </c>
      <c r="FX16" s="89">
        <v>999</v>
      </c>
      <c r="FY16" s="49">
        <v>12</v>
      </c>
      <c r="FZ16" s="90" t="s">
        <v>227</v>
      </c>
      <c r="GA16" s="91" t="str">
        <f t="shared" si="1"/>
        <v>PCS-Fk83324</v>
      </c>
      <c r="GB16" s="92" t="str">
        <f t="shared" si="2"/>
        <v>PCS-SBL553142</v>
      </c>
      <c r="GC16" s="93" t="s">
        <v>228</v>
      </c>
      <c r="GD16" s="90" t="s">
        <v>229</v>
      </c>
      <c r="GE16" s="92" t="s">
        <v>230</v>
      </c>
      <c r="GF16" s="93" t="s">
        <v>231</v>
      </c>
      <c r="GG16" s="90" t="s">
        <v>232</v>
      </c>
      <c r="GH16" s="92" t="s">
        <v>233</v>
      </c>
      <c r="GI16" s="94" t="s">
        <v>234</v>
      </c>
      <c r="GJ16" s="95">
        <f>EL16+CN16+BJ16</f>
        <v>224.9</v>
      </c>
      <c r="GK16" s="96"/>
      <c r="GL16" s="97" t="s">
        <v>235</v>
      </c>
      <c r="GM16" s="98" t="s">
        <v>272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275</v>
      </c>
      <c r="GX16" s="44" t="s">
        <v>238</v>
      </c>
    </row>
    <row r="17" spans="1:206" s="44" customFormat="1" x14ac:dyDescent="0.35">
      <c r="A17" s="44" t="str">
        <f t="shared" si="0"/>
        <v>Oi Total Fixo + Pós 800 + Banda LargaN21GBMG</v>
      </c>
      <c r="B17" s="45" t="s">
        <v>211</v>
      </c>
      <c r="C17" s="46" t="s">
        <v>127</v>
      </c>
      <c r="D17" s="46" t="s">
        <v>212</v>
      </c>
      <c r="E17" s="47" t="s">
        <v>213</v>
      </c>
      <c r="F17" s="88" t="s">
        <v>214</v>
      </c>
      <c r="G17" s="49"/>
      <c r="H17" s="49"/>
      <c r="I17" s="49"/>
      <c r="J17" s="49" t="s">
        <v>214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214</v>
      </c>
      <c r="AC17" s="49" t="s">
        <v>214</v>
      </c>
      <c r="AD17" s="49" t="s">
        <v>214</v>
      </c>
      <c r="AE17" s="49" t="s">
        <v>214</v>
      </c>
      <c r="AF17" s="49" t="s">
        <v>214</v>
      </c>
      <c r="AG17" s="49" t="s">
        <v>214</v>
      </c>
      <c r="AH17" s="50"/>
      <c r="AI17" s="49" t="s">
        <v>214</v>
      </c>
      <c r="AJ17" s="49" t="s">
        <v>214</v>
      </c>
      <c r="AK17" s="49" t="s">
        <v>214</v>
      </c>
      <c r="AL17" s="49" t="s">
        <v>214</v>
      </c>
      <c r="AM17" s="49" t="s">
        <v>214</v>
      </c>
      <c r="AN17" s="49" t="s">
        <v>214</v>
      </c>
      <c r="AO17" s="49" t="s">
        <v>214</v>
      </c>
      <c r="AP17" s="49"/>
      <c r="AQ17" s="51"/>
      <c r="AR17" s="52" t="s">
        <v>276</v>
      </c>
      <c r="AS17" s="46" t="s">
        <v>216</v>
      </c>
      <c r="AT17" s="53" t="s">
        <v>217</v>
      </c>
      <c r="AU17" s="54">
        <v>42972</v>
      </c>
      <c r="AV17" s="105">
        <v>43097</v>
      </c>
      <c r="AW17" s="56" t="s">
        <v>218</v>
      </c>
      <c r="AX17" s="57" t="s">
        <v>218</v>
      </c>
      <c r="AY17" s="58"/>
      <c r="AZ17" s="58" t="s">
        <v>219</v>
      </c>
      <c r="BA17" s="58">
        <v>20</v>
      </c>
      <c r="BB17" s="58">
        <v>10000</v>
      </c>
      <c r="BC17" s="59" t="s">
        <v>220</v>
      </c>
      <c r="BD17" s="60" t="s">
        <v>221</v>
      </c>
      <c r="BE17" s="58" t="s">
        <v>213</v>
      </c>
      <c r="BF17" s="51" t="s">
        <v>213</v>
      </c>
      <c r="BG17" s="45" t="s">
        <v>276</v>
      </c>
      <c r="BH17" s="61" t="s">
        <v>222</v>
      </c>
      <c r="BI17" s="62" t="str">
        <f>IF(ISERROR(VLOOKUP(BH17,[8]PLANOS!B:C,2,0)),"",VLOOKUP(BH17,[8]PLANOS!B:C,2,0))</f>
        <v>PCS-4P6pi</v>
      </c>
      <c r="BJ17" s="63">
        <v>50.1</v>
      </c>
      <c r="BK17" s="64">
        <f>IF(BJ17=0,"",IF(BJ17=VLOOKUP("FIXO",[8]ARBOR!$A:$C,3,0),0.0001,IF(BJ17&gt;VLOOKUP("FIXO",[8]ARBOR!$A:$C,3,0),"Maior que CAP!",IF((DOLLAR(BJ17+(VLOOKUP("FIXO",[8]ARBOR!$A:$C,3,0)*-TRUNC(BJ17/VLOOKUP("FIXO",[8]ARBOR!$A:$C,3,0)-1,4)),6))&lt;&gt;(DOLLAR(VLOOKUP("FIXO",[8]ARBOR!$A:$C,3,0),6)),-TRUNC(BJ17/VLOOKUP("FIXO",[8]ARBOR!$A:$C,3,0)-1,4)+0.0001,-TRUNC(BJ17/VLOOKUP("FIXO",[8]ARBOR!$A:$C,3,0)-1,4)))))</f>
        <v>0.33939999999999998</v>
      </c>
      <c r="BL17" s="65" t="str">
        <f>IF(ISERROR(IF(BK17="","",VLOOKUP(($BH17&amp;BK17&amp;"Template de desconto FLAT bundle - Fixo - Varejo - Ganho Tributário Cross"),[8]BENEFICIOS!$A:$E,5,0))),"Criar",IF(BK17="","",VLOOKUP(($BH17&amp;BK17&amp;"Template de desconto FLAT bundle - Fixo - Varejo - Ganho Tributário Cross"),[8]BENEFICIOS!$A:$E,5,0)))</f>
        <v>MKT-1-9856472058</v>
      </c>
      <c r="BM17" s="66"/>
      <c r="BN17" s="67"/>
      <c r="BO17" s="68" t="s">
        <v>161</v>
      </c>
      <c r="BP17" s="69">
        <v>44.9</v>
      </c>
      <c r="BQ17" s="64">
        <f>IF(BP17=0,"",IF(BP17=VLOOKUP("PCS-30874g",[8]ARBOR!$A:$C,3,0),0.0001,IF(BP17&gt;VLOOKUP("PCS-30874g",[8]ARBOR!$A:$C,3,0),"Maior que CAP!",IF((DOLLAR(BP17+(VLOOKUP("PCS-30874g",[8]ARBOR!$A:$C,3,0)*-TRUNC(BP17/VLOOKUP("PCS-30874g",[8]ARBOR!$A:$C,3,0)-1,4)),6))&lt;&gt;(DOLLAR(VLOOKUP("PCS-30874g",[8]ARBOR!$A:$C,3,0),6)),-TRUNC(BP17/VLOOKUP("PCS-30874g",[8]ARBOR!$A:$C,3,0)-1,4)+0.0001,-TRUNC(BP17/VLOOKUP("PCS-30874g",[8]ARBOR!$A:$C,3,0)-1,4)))))</f>
        <v>0.53679999999999994</v>
      </c>
      <c r="BR17" s="65" t="str">
        <f>IF(ISERROR(IF(BQ17="","",VLOOKUP(($BH17&amp;BQ17&amp;"Template de desconto FLAT bundle - Velox XDSL - Varejo"),[8]BENEFICIOS!$A:$E,5,0))),"Criar",IF(BQ17="","",VLOOKUP(($BH17&amp;BQ17&amp;"Template de desconto FLAT bundle - Velox XDSL - Varejo"),[8]BENEFICIOS!$A:$E,5,0)))</f>
        <v>MKT-1-9865126733</v>
      </c>
      <c r="BS17" s="68" t="s">
        <v>161</v>
      </c>
      <c r="BT17" s="69">
        <v>44.9</v>
      </c>
      <c r="BU17" s="64">
        <f>IF(BT17=0,"",IF(BT17=VLOOKUP("PCS-30577g",[8]ARBOR!$A:$C,3,0),0.0001,IF(BT17&gt;VLOOKUP("PCS-30577g",[8]ARBOR!$A:$C,3,0),"Maior que CAP!",IF((DOLLAR(BT17+(VLOOKUP("PCS-30577g",[8]ARBOR!$A:$C,3,0)*-TRUNC(BT17/VLOOKUP("PCS-30577g",[8]ARBOR!$A:$C,3,0)-1,4)),6))&lt;&gt;(DOLLAR(VLOOKUP("PCS-30577g",[8]ARBOR!$A:$C,3,0),6)),-TRUNC(BT17/VLOOKUP("PCS-30577g",[8]ARBOR!$A:$C,3,0)-1,4)+0.0001,-TRUNC(BT17/VLOOKUP("PCS-30577g",[8]ARBOR!$A:$C,3,0)-1,4)))))</f>
        <v>0.53679999999999994</v>
      </c>
      <c r="BV17" s="65" t="str">
        <f>IF(ISERROR(IF(BU17="","",VLOOKUP(($BH17&amp;BU17&amp;"Template de desconto FLAT bundle - Velox XDSL - Varejo"),[8]BENEFICIOS!$A:$E,5,0))),"Criar",IF(BU17="","",VLOOKUP(($BH17&amp;BU17&amp;"Template de desconto FLAT bundle - Velox XDSL - Varejo"),[8]BENEFICIOS!$A:$E,5,0)))</f>
        <v>MKT-1-9865126733</v>
      </c>
      <c r="BW17" s="68" t="s">
        <v>161</v>
      </c>
      <c r="BX17" s="69">
        <v>44.9</v>
      </c>
      <c r="BY17" s="64">
        <f>IF(BX17=0,"",IF(BX17=VLOOKUP("PCS-30604g",[8]ARBOR!$A:$C,3,0),0.0001,IF(BX17&gt;VLOOKUP("PCS-30604g",[8]ARBOR!$A:$C,3,0),"Maior que CAP!",IF((DOLLAR(BX17+(VLOOKUP("PCS-30604g",[8]ARBOR!$A:$C,3,0)*-TRUNC(BX17/VLOOKUP("PCS-30604g",[8]ARBOR!$A:$C,3,0)-1,4)),6))&lt;&gt;(DOLLAR(VLOOKUP("PCS-30604g",[8]ARBOR!$A:$C,3,0),6)),-TRUNC(BX17/VLOOKUP("PCS-30604g",[8]ARBOR!$A:$C,3,0)-1,4)+0.0001,-TRUNC(BX17/VLOOKUP("PCS-30604g",[8]ARBOR!$A:$C,3,0)-1,4)))))</f>
        <v>0.53679999999999994</v>
      </c>
      <c r="BZ17" s="65" t="str">
        <f>IF(ISERROR(IF(BY17="","",VLOOKUP(($BH17&amp;BY17&amp;"Template de desconto FLAT bundle - Velox XDSL - Varejo"),[8]BENEFICIOS!$A:$E,5,0))),"Criar",IF(BY17="","",VLOOKUP(($BH17&amp;BY17&amp;"Template de desconto FLAT bundle - Velox XDSL - Varejo"),[8]BENEFICIOS!$A:$E,5,0)))</f>
        <v>MKT-1-9865126733</v>
      </c>
      <c r="CA17" s="68" t="s">
        <v>161</v>
      </c>
      <c r="CB17" s="69">
        <v>44.9</v>
      </c>
      <c r="CC17" s="64">
        <f>IF(CB17=0,"",IF(CB17=VLOOKUP("PCS-30631g",[8]ARBOR!$A:$C,3,0),0.0001,IF(CB17&gt;VLOOKUP("PCS-30631g",[8]ARBOR!$A:$C,3,0),"Maior que CAP!",IF((DOLLAR(CB17+(VLOOKUP("PCS-30631g",[8]ARBOR!$A:$C,3,0)*-TRUNC(CB17/VLOOKUP("PCS-30631g",[8]ARBOR!$A:$C,3,0)-1,4)),6))&lt;&gt;(DOLLAR(VLOOKUP("PCS-30631g",[8]ARBOR!$A:$C,3,0),6)),-TRUNC(CB17/VLOOKUP("PCS-30631g",[8]ARBOR!$A:$C,3,0)-1,4)+0.0001,-TRUNC(CB17/VLOOKUP("PCS-30631g",[8]ARBOR!$A:$C,3,0)-1,4)))))</f>
        <v>0.54310000000000003</v>
      </c>
      <c r="CD17" s="65" t="str">
        <f>IF(ISERROR(IF(CC17="","",VLOOKUP(($BH17&amp;CC17&amp;"Template de desconto FLAT bundle - Velox XDSL - Varejo"),[8]BENEFICIOS!$A:$E,5,0))),"Criar",IF(CC17="","",VLOOKUP(($BH17&amp;CC17&amp;"Template de desconto FLAT bundle - Velox XDSL - Varejo"),[8]BENEFICIOS!$A:$E,5,0)))</f>
        <v>MKT-1-9865126826</v>
      </c>
      <c r="CE17" s="68"/>
      <c r="CF17" s="69"/>
      <c r="CG17" s="64" t="str">
        <f>IF(CF17=0,"",IF(CF17=VLOOKUP("PCS-30658g",[8]ARBOR!$A:$C,3,0),0.0001,IF(CF17&gt;VLOOKUP("PCS-30658g",[8]ARBOR!$A:$C,3,0),"Maior que CAP!",IF((DOLLAR(CF17+(VLOOKUP("PCS-30658g",[8]ARBOR!$A:$C,3,0)*-TRUNC(CF17/VLOOKUP("PCS-30658g",[8]ARBOR!$A:$C,3,0)-1,4)),6))&lt;&gt;(DOLLAR(VLOOKUP("PCS-30658g",[8]ARBOR!$A:$C,3,0),6)),-TRUNC(CF17/VLOOKUP("PCS-30658g",[8]ARBOR!$A:$C,3,0)-1,4)+0.0001,-TRUNC(CF17/VLOOKUP("PCS-30658g",[8]ARBOR!$A:$C,3,0)-1,4)))))</f>
        <v/>
      </c>
      <c r="CH17" s="65" t="str">
        <f>IF(ISERROR(IF(CG17="","",VLOOKUP(($BH17&amp;CG17&amp;"Template de desconto FLAT bundle - Velox XDSL - Varejo"),[8]BENEFICIOS!$A:$E,5,0))),"Criar",IF(CG17="","",VLOOKUP(($BH17&amp;CG17&amp;"Template de desconto FLAT bundle - Velox XDSL - Varejo"),[8]BENEFICIOS!$A:$E,5,0)))</f>
        <v/>
      </c>
      <c r="CI17" s="68"/>
      <c r="CJ17" s="69"/>
      <c r="CK17" s="64" t="str">
        <f>IF(CJ17=0,"",IF(CJ17=VLOOKUP("PCS-30685g",[8]ARBOR!$A:$C,3,0),0.0001,IF(CJ17&gt;VLOOKUP("PCS-30685g",[8]ARBOR!$A:$C,3,0),"Maior que CAP!",IF((DOLLAR(CJ17+(VLOOKUP("PCS-30685g",[8]ARBOR!$A:$C,3,0)*-TRUNC(CJ17/VLOOKUP("PCS-30685g",[8]ARBOR!$A:$C,3,0)-1,4)),6))&lt;&gt;(DOLLAR(VLOOKUP("PCS-30685g",[8]ARBOR!$A:$C,3,0),6)),-TRUNC(CJ17/VLOOKUP("PCS-30685g",[8]ARBOR!$A:$C,3,0)-1,4)+0.0001,-TRUNC(CJ17/VLOOKUP("PCS-30685g",[8]ARBOR!$A:$C,3,0)-1,4)))))</f>
        <v/>
      </c>
      <c r="CL17" s="65" t="str">
        <f>IF(ISERROR(IF(CK17="","",VLOOKUP(($BH17&amp;CK17&amp;"Template de desconto FLAT bundle - Velox XDSL - Varejo"),[8]BENEFICIOS!$A:$E,5,0))),"Criar",IF(CK17="","",VLOOKUP(($BH17&amp;CK17&amp;"Template de desconto FLAT bundle - Velox XDSL - Varejo"),[8]BENEFICIOS!$A:$E,5,0)))</f>
        <v/>
      </c>
      <c r="CM17" s="68"/>
      <c r="CN17" s="69"/>
      <c r="CO17" s="64" t="str">
        <f>IF(CN17=0,"",IF(CN17=VLOOKUP("PCS-30712g",[8]ARBOR!$A:$C,3,0),0.0001,IF(CN17&gt;VLOOKUP("PCS-30712g",[8]ARBOR!$A:$C,3,0),"Maior que CAP!",IF((DOLLAR(CN17+(VLOOKUP("PCS-30712g",[8]ARBOR!$A:$C,3,0)*-TRUNC(CN17/VLOOKUP("PCS-30712g",[8]ARBOR!$A:$C,3,0)-1,4)),6))&lt;&gt;(DOLLAR(VLOOKUP("PCS-30712g",[8]ARBOR!$A:$C,3,0),6)),-TRUNC(CN17/VLOOKUP("PCS-30712g",[8]ARBOR!$A:$C,3,0)-1,4)+0.0001,-TRUNC(CN17/VLOOKUP("PCS-30712g",[8]ARBOR!$A:$C,3,0)-1,4)))))</f>
        <v/>
      </c>
      <c r="CP17" s="65" t="str">
        <f>IF(ISERROR(IF(CO17="","",VLOOKUP(($BH17&amp;CO17&amp;"Template de desconto FLAT bundle - Velox XDSL - Varejo"),[8]BENEFICIOS!$A:$E,5,0))),"Criar",IF(CO17="","",VLOOKUP(($BH17&amp;CO17&amp;"Template de desconto FLAT bundle - Velox XDSL - Varejo"),[8]BENEFICIOS!$A:$E,5,0)))</f>
        <v/>
      </c>
      <c r="CQ17" s="68"/>
      <c r="CR17" s="69"/>
      <c r="CS17" s="64" t="str">
        <f>IF(CR17=0,"",IF(CR17=VLOOKUP("PCS-30739g",[8]ARBOR!$A:$C,3,0),0.0001,IF(CR17&gt;VLOOKUP("PCS-30739g",[8]ARBOR!$A:$C,3,0),"Maior que CAP!",IF((DOLLAR(CR17+(VLOOKUP("PCS-30739g",[8]ARBOR!$A:$C,3,0)*-TRUNC(CR17/VLOOKUP("PCS-30739g",[8]ARBOR!$A:$C,3,0)-1,4)),6))&lt;&gt;(DOLLAR(VLOOKUP("PCS-30739g",[8]ARBOR!$A:$C,3,0),6)),-TRUNC(CR17/VLOOKUP("PCS-30739g",[8]ARBOR!$A:$C,3,0)-1,4)+0.0001,-TRUNC(CR17/VLOOKUP("PCS-30739g",[8]ARBOR!$A:$C,3,0)-1,4)))))</f>
        <v/>
      </c>
      <c r="CT17" s="65" t="str">
        <f>IF(ISERROR(IF(CS17="","",VLOOKUP(($BH17&amp;CS17&amp;"Template de desconto FLAT bundle - Velox XDSL - Varejo"),[8]BENEFICIOS!$A:$E,5,0))),"Criar",IF(CS17="","",VLOOKUP(($BH17&amp;CS17&amp;"Template de desconto FLAT bundle - Velox XDSL - Varejo"),[8]BENEFICIOS!$A:$E,5,0)))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IF(CZ17=0,"",IF(CZ17=VLOOKUP("PCS-30766g",[8]ARBOR!$A:$C,3,0),0.0001,IF(CZ17&gt;VLOOKUP("PCS-30766g",[8]ARBOR!$A:$C,3,0),"Maior que CAP!",IF((DOLLAR(CZ17+(VLOOKUP("PCS-30766g",[8]ARBOR!$A:$C,3,0)*-TRUNC(CZ17/VLOOKUP("PCS-30766g",[8]ARBOR!$A:$C,3,0)-1,4)),6))&lt;&gt;(DOLLAR(VLOOKUP("PCS-30766g",[8]ARBOR!$A:$C,3,0),6)),-TRUNC(CZ17/VLOOKUP("PCS-30766g",[8]ARBOR!$A:$C,3,0)-1,4)+0.0001,-TRUNC(CZ17/VLOOKUP("PCS-30766g",[8]ARBOR!$A:$C,3,0)-1,4)))))</f>
        <v/>
      </c>
      <c r="DB17" s="65" t="str">
        <f>IF(ISERROR(IF(DA17="","",VLOOKUP(($BH17&amp;DA17&amp;"Template de desconto FLAT bundle - Velox XDSL - Varejo"),[8]BENEFICIOS!$A:$E,5,0))),"Criar",IF(DA17="","",VLOOKUP(($BH17&amp;DA17&amp;"Template de desconto FLAT bundle - Velox XDSL - Varejo"),[8]BENEFICIOS!$A:$E,5,0)))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IF(DH17=0,"",IF(DH17=VLOOKUP("PCS-30793g",[8]ARBOR!$A:$C,3,0),0.0001,IF(DH17&gt;VLOOKUP("PCS-30793g",[8]ARBOR!$A:$C,3,0),"Maior que CAP!",IF((DOLLAR(DH17+(VLOOKUP("PCS-30793g",[8]ARBOR!$A:$C,3,0)*-TRUNC(DH17/VLOOKUP("PCS-30793g",[8]ARBOR!$A:$C,3,0)-1,4)),6))&lt;&gt;(DOLLAR(VLOOKUP("PCS-30793g",[8]ARBOR!$A:$C,3,0),6)),-TRUNC(DH17/VLOOKUP("PCS-30793g",[8]ARBOR!$A:$C,3,0)-1,4)+0.0001,-TRUNC(DH17/VLOOKUP("PCS-30793g",[8]ARBOR!$A:$C,3,0)-1,4)))))</f>
        <v/>
      </c>
      <c r="DJ17" s="65" t="str">
        <f>IF(ISERROR(IF(DI17="","",VLOOKUP(($BH17&amp;DI17&amp;"Template de desconto FLAT bundle - Velox XDSL - Varejo"),[8]BENEFICIOS!$A:$E,5,0))),"Criar",IF(DI17="","",VLOOKUP(($BH17&amp;DI17&amp;"Template de desconto FLAT bundle - Velox XDSL - Varejo"),[8]BENEFICIOS!$A:$E,5,0)))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IF(DP17=0,"",IF(DP17=VLOOKUP("PCS-30820g",[8]ARBOR!$A:$C,3,0),0.0001,IF(DP17&gt;VLOOKUP("PCS-30820g",[8]ARBOR!$A:$C,3,0),"Maior que CAP!",IF((DOLLAR(DP17+(VLOOKUP("PCS-30820g",[8]ARBOR!$A:$C,3,0)*-TRUNC(DP17/VLOOKUP("PCS-30820g",[8]ARBOR!$A:$C,3,0)-1,4)),6))&lt;&gt;(DOLLAR(VLOOKUP("PCS-30820g",[8]ARBOR!$A:$C,3,0),6)),-TRUNC(DP17/VLOOKUP("PCS-30820g",[8]ARBOR!$A:$C,3,0)-1,4)+0.0001,-TRUNC(DP17/VLOOKUP("PCS-30820g",[8]ARBOR!$A:$C,3,0)-1,4)))))</f>
        <v/>
      </c>
      <c r="DR17" s="65" t="str">
        <f>IF(ISERROR(IF(DQ17="","",VLOOKUP(($BH17&amp;DQ17&amp;"Template de desconto FLAT bundle - Velox XDSL - Varejo"),[8]BENEFICIOS!$A:$E,5,0))),"Criar",IF(DQ17="","",VLOOKUP(($BH17&amp;DQ17&amp;"Template de desconto FLAT bundle - Velox XDSL - Varejo"),[8]BENEFICIOS!$A:$E,5,0)))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IF(DW17=0,"",IF(DW17=VLOOKUP("PCS-21448p2",[8]ARBOR!$A:$C,3,0),0.0001,IF(DW17&gt;VLOOKUP("PCS-21448p2",[8]ARBOR!$A:$C,3,0),"Maior que CAP!",IF((DOLLAR(DW17+(VLOOKUP("PCS-21448p2",[8]ARBOR!$A:$C,3,0)*-TRUNC(DW17/VLOOKUP("PCS-21448p2",[8]ARBOR!$A:$C,3,0)-1,4)),6))&lt;&gt;(DOLLAR(VLOOKUP("PCS-21448p2",[8]ARBOR!$A:$C,3,0),6)),-TRUNC(DW17/VLOOKUP("PCS-21448p2",[8]ARBOR!$A:$C,3,0)-1,4)+0.0001,-TRUNC(DW17/VLOOKUP("PCS-21448p2",[8]ARBOR!$A:$C,3,0)-1,4)))))</f>
        <v>0.64900000000000002</v>
      </c>
      <c r="DY17" s="65" t="str">
        <f>IF(ISERROR(IF(DX17="","",VLOOKUP(("Oi Conta Total Plug 10GB Downgrade"&amp;DX17&amp;"Template de desconto percentual BL Móvel - Internet Total - Varejo"),[8]BENEFICIOS!$A:$E,5,0))),"Criar",IF(DX17="","",VLOOKUP(("Oi Conta Total Plug 10GB Downgrade"&amp;DX17&amp;"Template de desconto percentual BL Móvel - Internet Total - Varejo"),[8]BENEFICIOS!$A:$E,5,0)))</f>
        <v>MKT-1-9825544790</v>
      </c>
      <c r="DZ17" s="71">
        <v>16.5</v>
      </c>
      <c r="EA17" s="72">
        <f>IF(DZ17=0,"",IF(DZ17=VLOOKUP("SVA",[8]ARBOR!$A:$C,3,0),0.0001,IF(DZ17&gt;VLOOKUP("SVA",[8]ARBOR!$A:$C,3,0),"Maior que CAP!",IF((DOLLAR(DZ17+(VLOOKUP("SVA",[8]ARBOR!$A:$C,3,0)*-TRUNC(DZ17/VLOOKUP("SVA",[8]ARBOR!$A:$C,3,0)-1,4)),6))&lt;&gt;(DOLLAR(VLOOKUP("SVA",[8]ARBOR!$A:$C,3,0),6)),-TRUNC(DZ17/VLOOKUP("SVA",[8]ARBOR!$A:$C,3,0)-1,4)+0.0001,-TRUNC(DZ17/VLOOKUP("SVA",[8]ARBOR!$A:$C,3,0)-1,4)))))</f>
        <v>0.2301</v>
      </c>
      <c r="EB17" s="65" t="s">
        <v>223</v>
      </c>
      <c r="EC17" s="69"/>
      <c r="ED17" s="73"/>
      <c r="EE17" s="74"/>
      <c r="EF17" s="65"/>
      <c r="EG17" s="75">
        <f>IF(BI17="","",VLOOKUP(BI17,[8]ARBOR!A:C,3,0))</f>
        <v>479.46</v>
      </c>
      <c r="EH17" s="69">
        <v>15</v>
      </c>
      <c r="EI17" s="76">
        <f>IF(EH17="","",1-(EH17/VLOOKUP(BI17&amp;"ASS",[8]ARBOR!A:C,3,0)))</f>
        <v>0.34725848563968664</v>
      </c>
      <c r="EJ17" s="77" t="s">
        <v>224</v>
      </c>
      <c r="EK17" s="78" t="s">
        <v>225</v>
      </c>
      <c r="EL17" s="69">
        <v>116.16000000000001</v>
      </c>
      <c r="EM17" s="64">
        <f>IF(EL17=0,"",IF(EL17=EG17,0.0001,ROUND(1-((EL17+(VLOOKUP(BI17&amp;"ASS",[8]ARBOR!A:C,3,0)-EH17))/EG17),4)))</f>
        <v>0.74109999999999998</v>
      </c>
      <c r="EN17" s="65" t="str">
        <f>IF(ISERROR(IF(EM17="","",VLOOKUP(($BH17&amp;EM17&amp;"Template de desconto percentual FLAT Móvel - Conta Total - Varejo - Ganho Tributário Cross"),[8]BENEFICIOS!$A:$E,5,0))),"Criar",IF(EM17="","",VLOOKUP(($BH17&amp;EM17&amp;"Template de desconto percentual FLAT Móvel - Conta Total - Varejo - Ganho Tributário Cross"),[8]BENEFICIOS!$A:$E,5,0)))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244</v>
      </c>
      <c r="EV17" s="81" t="s">
        <v>245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IF(FC17=0,"",IF(FC17=VLOOKUP("PCS-10357",[8]ARBOR!$A:$C,3,0),0.0001,IF(FC17&gt;VLOOKUP("PCS-10357",[8]ARBOR!$A:$C,3,0),"Maior que CAP!",ROUND(-1*(FC17/VLOOKUP("PCS-10357",[8]ARBOR!$A:$C,3,0)-1),4))))</f>
        <v>0.8669</v>
      </c>
      <c r="FE17" s="84" t="str">
        <f>IF(ISERROR(IF(FD17="","",VLOOKUP(("Oi Internet Pra Celular 1GB"&amp;FD17&amp;"Template Flat Instância Dados"),[8]BENEFICIOS!$A:$E,5,0))),"Criar",IF(FD17="","",VLOOKUP(("Oi Internet Pra Celular 1GB"&amp;FD17&amp;"Template Flat Instância Dados"),[8]BENEFICIOS!$A:$E,5,0)))</f>
        <v>MKT-1-9869952543</v>
      </c>
      <c r="FF17" s="82"/>
      <c r="FG17" s="83" t="str">
        <f>IF(FF17=0,"",IF(FF17=VLOOKUP("PCS-813565",[8]ARBOR!$A:$C,3,0),0.0001,IF(FF17&gt;VLOOKUP("PCS-813565",[8]ARBOR!$A:$C,3,0),"Maior que CAP!",ROUND(-1*(FF17/VLOOKUP("PCS-813565",[8]ARBOR!$A:$C,3,0)-1),4))))</f>
        <v/>
      </c>
      <c r="FH17" s="84" t="str">
        <f>IF(ISERROR(IF(FG17="","",VLOOKUP(("Oi Internet Pra Celular 2GB"&amp;FG17&amp;"Template Flat Instância Dados"),[8]BENEFICIOS!$A:$E,5,0))),"Criar",IF(FG17="","",VLOOKUP(("Oi Internet Pra Celular 2GB"&amp;FG17&amp;"Template Flat Instância Dados"),[8]BENEFICIOS!$A:$E,5,0)))</f>
        <v/>
      </c>
      <c r="FI17" s="82"/>
      <c r="FJ17" s="83" t="str">
        <f>IF(FI17=0,"",IF(FI17=VLOOKUP("PCS-7171B",[8]ARBOR!$A:$C,3,0),0.0001,IF(FI17&gt;VLOOKUP("PCS-7171B",[8]ARBOR!$A:$C,3,0),"Maior que CAP!",ROUND(-1*(FI17/VLOOKUP("PCS-7171B",[8]ARBOR!$A:$C,3,0)-1),4))))</f>
        <v/>
      </c>
      <c r="FK17" s="84" t="str">
        <f>IF(ISERROR(IF(FJ17="","",VLOOKUP(("Oi Internet Pra Celular 3GB"&amp;FJ17&amp;"Template Flat Instância Dados"),[8]BENEFICIOS!$A:$E,5,0))),"Criar",IF(FJ17="","",VLOOKUP(("Oi Internet Pra Celular 3GB"&amp;FJ17&amp;"Template Flat Instância Dados"),[8]BENEFICIOS!$A:$E,5,0)))</f>
        <v/>
      </c>
      <c r="FL17" s="82"/>
      <c r="FM17" s="83" t="str">
        <f>IF(FL17=0,"",IF(FL17=VLOOKUP("PCS-51793o08",[8]ARBOR!$A:$C,3,0),0.0001,IF(FL17&gt;VLOOKUP("PCS-51793o08",[8]ARBOR!$A:$C,3,0),"Maior que CAP!",ROUND(-1*(FL17/VLOOKUP("PCS-51793o08",[8]ARBOR!$A:$C,3,0)-1),4))))</f>
        <v/>
      </c>
      <c r="FN17" s="84" t="str">
        <f>IF(ISERROR(IF(FM17="","",VLOOKUP(("Oi Internet Pra Celular 5GB"&amp;FM17&amp;"Template Flat Instância Dados"),[8]BENEFICIOS!$A:$E,5,0))),"Criar",IF(FM17="","",VLOOKUP(("Oi Internet Pra Celular 5GB"&amp;FM17&amp;"Template Flat Instância Dados"),[8]BENEFICIOS!$A:$E,5,0)))</f>
        <v/>
      </c>
      <c r="FO17" s="82"/>
      <c r="FP17" s="83" t="str">
        <f>IF(FO17=0,"",IF(FO17=VLOOKUP("PCS-7171A",[8]ARBOR!$A:$C,3,0),0.0001,IF(FO17&gt;VLOOKUP("PCS-7171A",[8]ARBOR!$A:$C,3,0),"Maior que CAP!",ROUND(-1*(FO17/VLOOKUP("PCS-7171A",[8]ARBOR!$A:$C,3,0)-1),4))))</f>
        <v/>
      </c>
      <c r="FQ17" s="84" t="str">
        <f>IF(ISERROR(IF(FP17="","",VLOOKUP(("Oi Internet Pra Celular 10GB"&amp;FP17&amp;"Template Flat Instância Dados"),[8]BENEFICIOS!$A:$E,5,0))),"Criar",IF(FP17="","",VLOOKUP(("Oi Internet Pra Celular 10GB"&amp;FP17&amp;"Template Flat Instância Dados"),[8]BENEFICIOS!$A:$E,5,0)))</f>
        <v/>
      </c>
      <c r="FR17" s="85">
        <v>0.74219999999999997</v>
      </c>
      <c r="FS17" s="86" t="s">
        <v>246</v>
      </c>
      <c r="FT17" s="48"/>
      <c r="FU17" s="87"/>
      <c r="FV17" s="88" t="s">
        <v>221</v>
      </c>
      <c r="FW17" s="49" t="s">
        <v>226</v>
      </c>
      <c r="FX17" s="89">
        <v>999</v>
      </c>
      <c r="FY17" s="49">
        <v>12</v>
      </c>
      <c r="FZ17" s="90" t="s">
        <v>227</v>
      </c>
      <c r="GA17" s="91" t="str">
        <f t="shared" si="1"/>
        <v>PCS-Fk83324</v>
      </c>
      <c r="GB17" s="92" t="str">
        <f t="shared" si="2"/>
        <v>PCS-SBL553142</v>
      </c>
      <c r="GC17" s="93" t="s">
        <v>228</v>
      </c>
      <c r="GD17" s="90" t="s">
        <v>229</v>
      </c>
      <c r="GE17" s="92" t="s">
        <v>230</v>
      </c>
      <c r="GF17" s="93" t="s">
        <v>231</v>
      </c>
      <c r="GG17" s="90" t="s">
        <v>232</v>
      </c>
      <c r="GH17" s="92" t="s">
        <v>233</v>
      </c>
      <c r="GI17" s="94" t="s">
        <v>234</v>
      </c>
      <c r="GJ17" s="95">
        <f>FC17+EL17+DW17+BJ17</f>
        <v>219.9</v>
      </c>
      <c r="GK17" s="96"/>
      <c r="GL17" s="97" t="s">
        <v>235</v>
      </c>
      <c r="GM17" s="98" t="s">
        <v>272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277</v>
      </c>
      <c r="GX17" s="44" t="s">
        <v>238</v>
      </c>
    </row>
    <row r="18" spans="1:206" s="44" customFormat="1" x14ac:dyDescent="0.35">
      <c r="A18" s="44" t="str">
        <f t="shared" si="0"/>
        <v>Oi Total Fixo + Pós 800 + Banda LargaN21GBMG</v>
      </c>
      <c r="B18" s="45" t="s">
        <v>211</v>
      </c>
      <c r="C18" s="46" t="s">
        <v>127</v>
      </c>
      <c r="D18" s="46" t="s">
        <v>212</v>
      </c>
      <c r="E18" s="47" t="s">
        <v>213</v>
      </c>
      <c r="F18" s="88" t="s">
        <v>214</v>
      </c>
      <c r="G18" s="49"/>
      <c r="H18" s="49"/>
      <c r="I18" s="49"/>
      <c r="J18" s="49" t="s">
        <v>214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214</v>
      </c>
      <c r="AC18" s="49" t="s">
        <v>214</v>
      </c>
      <c r="AD18" s="49" t="s">
        <v>214</v>
      </c>
      <c r="AE18" s="49" t="s">
        <v>214</v>
      </c>
      <c r="AF18" s="49" t="s">
        <v>214</v>
      </c>
      <c r="AG18" s="49" t="s">
        <v>214</v>
      </c>
      <c r="AH18" s="50"/>
      <c r="AI18" s="49" t="s">
        <v>214</v>
      </c>
      <c r="AJ18" s="49" t="s">
        <v>214</v>
      </c>
      <c r="AK18" s="49" t="s">
        <v>214</v>
      </c>
      <c r="AL18" s="49" t="s">
        <v>214</v>
      </c>
      <c r="AM18" s="49" t="s">
        <v>214</v>
      </c>
      <c r="AN18" s="49" t="s">
        <v>214</v>
      </c>
      <c r="AO18" s="49" t="s">
        <v>214</v>
      </c>
      <c r="AP18" s="49"/>
      <c r="AQ18" s="51"/>
      <c r="AR18" s="52" t="s">
        <v>278</v>
      </c>
      <c r="AS18" s="46" t="s">
        <v>216</v>
      </c>
      <c r="AT18" s="53" t="s">
        <v>217</v>
      </c>
      <c r="AU18" s="54">
        <v>42972</v>
      </c>
      <c r="AV18" s="105">
        <v>43097</v>
      </c>
      <c r="AW18" s="56" t="s">
        <v>218</v>
      </c>
      <c r="AX18" s="57" t="s">
        <v>218</v>
      </c>
      <c r="AY18" s="58"/>
      <c r="AZ18" s="58" t="s">
        <v>219</v>
      </c>
      <c r="BA18" s="58">
        <v>20</v>
      </c>
      <c r="BB18" s="58">
        <v>10000</v>
      </c>
      <c r="BC18" s="59" t="s">
        <v>220</v>
      </c>
      <c r="BD18" s="60" t="s">
        <v>221</v>
      </c>
      <c r="BE18" s="58" t="s">
        <v>213</v>
      </c>
      <c r="BF18" s="51" t="s">
        <v>213</v>
      </c>
      <c r="BG18" s="45" t="s">
        <v>278</v>
      </c>
      <c r="BH18" s="61" t="s">
        <v>222</v>
      </c>
      <c r="BI18" s="62" t="str">
        <f>IF(ISERROR(VLOOKUP(BH18,[8]PLANOS!B:C,2,0)),"",VLOOKUP(BH18,[8]PLANOS!B:C,2,0))</f>
        <v>PCS-4P6pi</v>
      </c>
      <c r="BJ18" s="63">
        <v>50.1</v>
      </c>
      <c r="BK18" s="64">
        <f>IF(BJ18=0,"",IF(BJ18=VLOOKUP("FIXO",[8]ARBOR!$A:$C,3,0),0.0001,IF(BJ18&gt;VLOOKUP("FIXO",[8]ARBOR!$A:$C,3,0),"Maior que CAP!",IF((DOLLAR(BJ18+(VLOOKUP("FIXO",[8]ARBOR!$A:$C,3,0)*-TRUNC(BJ18/VLOOKUP("FIXO",[8]ARBOR!$A:$C,3,0)-1,4)),6))&lt;&gt;(DOLLAR(VLOOKUP("FIXO",[8]ARBOR!$A:$C,3,0),6)),-TRUNC(BJ18/VLOOKUP("FIXO",[8]ARBOR!$A:$C,3,0)-1,4)+0.0001,-TRUNC(BJ18/VLOOKUP("FIXO",[8]ARBOR!$A:$C,3,0)-1,4)))))</f>
        <v>0.33939999999999998</v>
      </c>
      <c r="BL18" s="65" t="str">
        <f>IF(ISERROR(IF(BK18="","",VLOOKUP(($BH18&amp;BK18&amp;"Template de desconto FLAT bundle - Fixo - Varejo - Ganho Tributário Cross"),[8]BENEFICIOS!$A:$E,5,0))),"Criar",IF(BK18="","",VLOOKUP(($BH18&amp;BK18&amp;"Template de desconto FLAT bundle - Fixo - Varejo - Ganho Tributário Cross"),[8]BENEFICIOS!$A:$E,5,0)))</f>
        <v>MKT-1-9856472058</v>
      </c>
      <c r="BM18" s="66"/>
      <c r="BN18" s="67"/>
      <c r="BO18" s="104" t="s">
        <v>240</v>
      </c>
      <c r="BP18" s="69">
        <v>44.9</v>
      </c>
      <c r="BQ18" s="64">
        <f>IF(BP18=0,"",IF(BP18=VLOOKUP("PCS-30874g",[8]ARBOR!$A:$C,3,0),0.0001,IF(BP18&gt;VLOOKUP("PCS-30874g",[8]ARBOR!$A:$C,3,0),"Maior que CAP!",IF((DOLLAR(BP18+(VLOOKUP("PCS-30874g",[8]ARBOR!$A:$C,3,0)*-TRUNC(BP18/VLOOKUP("PCS-30874g",[8]ARBOR!$A:$C,3,0)-1,4)),6))&lt;&gt;(DOLLAR(VLOOKUP("PCS-30874g",[8]ARBOR!$A:$C,3,0),6)),-TRUNC(BP18/VLOOKUP("PCS-30874g",[8]ARBOR!$A:$C,3,0)-1,4)+0.0001,-TRUNC(BP18/VLOOKUP("PCS-30874g",[8]ARBOR!$A:$C,3,0)-1,4)))))</f>
        <v>0.53679999999999994</v>
      </c>
      <c r="BR18" s="65" t="str">
        <f>IF(ISERROR(IF(BQ18="","",VLOOKUP(($BH18&amp;BQ18&amp;"Template de desconto FLAT bundle - Velox XDSL - Varejo"),[8]BENEFICIOS!$A:$E,5,0))),"Criar",IF(BQ18="","",VLOOKUP(($BH18&amp;BQ18&amp;"Template de desconto FLAT bundle - Velox XDSL - Varejo"),[8]BENEFICIOS!$A:$E,5,0)))</f>
        <v>MKT-1-9865126733</v>
      </c>
      <c r="BS18" s="104" t="s">
        <v>240</v>
      </c>
      <c r="BT18" s="69">
        <v>44.9</v>
      </c>
      <c r="BU18" s="64">
        <f>IF(BT18=0,"",IF(BT18=VLOOKUP("PCS-30577g",[8]ARBOR!$A:$C,3,0),0.0001,IF(BT18&gt;VLOOKUP("PCS-30577g",[8]ARBOR!$A:$C,3,0),"Maior que CAP!",IF((DOLLAR(BT18+(VLOOKUP("PCS-30577g",[8]ARBOR!$A:$C,3,0)*-TRUNC(BT18/VLOOKUP("PCS-30577g",[8]ARBOR!$A:$C,3,0)-1,4)),6))&lt;&gt;(DOLLAR(VLOOKUP("PCS-30577g",[8]ARBOR!$A:$C,3,0),6)),-TRUNC(BT18/VLOOKUP("PCS-30577g",[8]ARBOR!$A:$C,3,0)-1,4)+0.0001,-TRUNC(BT18/VLOOKUP("PCS-30577g",[8]ARBOR!$A:$C,3,0)-1,4)))))</f>
        <v>0.53679999999999994</v>
      </c>
      <c r="BV18" s="65" t="str">
        <f>IF(ISERROR(IF(BU18="","",VLOOKUP(($BH18&amp;BU18&amp;"Template de desconto FLAT bundle - Velox XDSL - Varejo"),[8]BENEFICIOS!$A:$E,5,0))),"Criar",IF(BU18="","",VLOOKUP(($BH18&amp;BU18&amp;"Template de desconto FLAT bundle - Velox XDSL - Varejo"),[8]BENEFICIOS!$A:$E,5,0)))</f>
        <v>MKT-1-9865126733</v>
      </c>
      <c r="BW18" s="104" t="s">
        <v>240</v>
      </c>
      <c r="BX18" s="69">
        <v>44.9</v>
      </c>
      <c r="BY18" s="64">
        <f>IF(BX18=0,"",IF(BX18=VLOOKUP("PCS-30604g",[8]ARBOR!$A:$C,3,0),0.0001,IF(BX18&gt;VLOOKUP("PCS-30604g",[8]ARBOR!$A:$C,3,0),"Maior que CAP!",IF((DOLLAR(BX18+(VLOOKUP("PCS-30604g",[8]ARBOR!$A:$C,3,0)*-TRUNC(BX18/VLOOKUP("PCS-30604g",[8]ARBOR!$A:$C,3,0)-1,4)),6))&lt;&gt;(DOLLAR(VLOOKUP("PCS-30604g",[8]ARBOR!$A:$C,3,0),6)),-TRUNC(BX18/VLOOKUP("PCS-30604g",[8]ARBOR!$A:$C,3,0)-1,4)+0.0001,-TRUNC(BX18/VLOOKUP("PCS-30604g",[8]ARBOR!$A:$C,3,0)-1,4)))))</f>
        <v>0.53679999999999994</v>
      </c>
      <c r="BZ18" s="65" t="str">
        <f>IF(ISERROR(IF(BY18="","",VLOOKUP(($BH18&amp;BY18&amp;"Template de desconto FLAT bundle - Velox XDSL - Varejo"),[8]BENEFICIOS!$A:$E,5,0))),"Criar",IF(BY18="","",VLOOKUP(($BH18&amp;BY18&amp;"Template de desconto FLAT bundle - Velox XDSL - Varejo"),[8]BENEFICIOS!$A:$E,5,0)))</f>
        <v>MKT-1-9865126733</v>
      </c>
      <c r="CA18" s="104" t="s">
        <v>240</v>
      </c>
      <c r="CB18" s="69">
        <v>44.9</v>
      </c>
      <c r="CC18" s="64">
        <f>IF(CB18=0,"",IF(CB18=VLOOKUP("PCS-30631g",[8]ARBOR!$A:$C,3,0),0.0001,IF(CB18&gt;VLOOKUP("PCS-30631g",[8]ARBOR!$A:$C,3,0),"Maior que CAP!",IF((DOLLAR(CB18+(VLOOKUP("PCS-30631g",[8]ARBOR!$A:$C,3,0)*-TRUNC(CB18/VLOOKUP("PCS-30631g",[8]ARBOR!$A:$C,3,0)-1,4)),6))&lt;&gt;(DOLLAR(VLOOKUP("PCS-30631g",[8]ARBOR!$A:$C,3,0),6)),-TRUNC(CB18/VLOOKUP("PCS-30631g",[8]ARBOR!$A:$C,3,0)-1,4)+0.0001,-TRUNC(CB18/VLOOKUP("PCS-30631g",[8]ARBOR!$A:$C,3,0)-1,4)))))</f>
        <v>0.54310000000000003</v>
      </c>
      <c r="CD18" s="65" t="str">
        <f>IF(ISERROR(IF(CC18="","",VLOOKUP(($BH18&amp;CC18&amp;"Template de desconto FLAT bundle - Velox XDSL - Varejo"),[8]BENEFICIOS!$A:$E,5,0))),"Criar",IF(CC18="","",VLOOKUP(($BH18&amp;CC18&amp;"Template de desconto FLAT bundle - Velox XDSL - Varejo"),[8]BENEFICIOS!$A:$E,5,0)))</f>
        <v>MKT-1-9865126826</v>
      </c>
      <c r="CE18" s="68" t="s">
        <v>161</v>
      </c>
      <c r="CF18" s="69">
        <v>49.9</v>
      </c>
      <c r="CG18" s="64">
        <f>IF(CF18=0,"",IF(CF18=VLOOKUP("PCS-30658g",[8]ARBOR!$A:$C,3,0),0.0001,IF(CF18&gt;VLOOKUP("PCS-30658g",[8]ARBOR!$A:$C,3,0),"Maior que CAP!",IF((DOLLAR(CF18+(VLOOKUP("PCS-30658g",[8]ARBOR!$A:$C,3,0)*-TRUNC(CF18/VLOOKUP("PCS-30658g",[8]ARBOR!$A:$C,3,0)-1,4)),6))&lt;&gt;(DOLLAR(VLOOKUP("PCS-30658g",[8]ARBOR!$A:$C,3,0),6)),-TRUNC(CF18/VLOOKUP("PCS-30658g",[8]ARBOR!$A:$C,3,0)-1,4)+0.0001,-TRUNC(CF18/VLOOKUP("PCS-30658g",[8]ARBOR!$A:$C,3,0)-1,4)))))</f>
        <v>0.55569999999999997</v>
      </c>
      <c r="CH18" s="65" t="str">
        <f>IF(ISERROR(IF(CG18="","",VLOOKUP(($BH18&amp;CG18&amp;"Template de desconto FLAT bundle - Velox XDSL - Varejo"),[8]BENEFICIOS!$A:$E,5,0))),"Criar",IF(CG18="","",VLOOKUP(($BH18&amp;CG18&amp;"Template de desconto FLAT bundle - Velox XDSL - Varejo"),[8]BENEFICIOS!$A:$E,5,0)))</f>
        <v>MKT-1-9865126919</v>
      </c>
      <c r="CI18" s="68" t="s">
        <v>161</v>
      </c>
      <c r="CJ18" s="69">
        <v>49.9</v>
      </c>
      <c r="CK18" s="64">
        <f>IF(CJ18=0,"",IF(CJ18=VLOOKUP("PCS-30685g",[8]ARBOR!$A:$C,3,0),0.0001,IF(CJ18&gt;VLOOKUP("PCS-30685g",[8]ARBOR!$A:$C,3,0),"Maior que CAP!",IF((DOLLAR(CJ18+(VLOOKUP("PCS-30685g",[8]ARBOR!$A:$C,3,0)*-TRUNC(CJ18/VLOOKUP("PCS-30685g",[8]ARBOR!$A:$C,3,0)-1,4)),6))&lt;&gt;(DOLLAR(VLOOKUP("PCS-30685g",[8]ARBOR!$A:$C,3,0),6)),-TRUNC(CJ18/VLOOKUP("PCS-30685g",[8]ARBOR!$A:$C,3,0)-1,4)+0.0001,-TRUNC(CJ18/VLOOKUP("PCS-30685g",[8]ARBOR!$A:$C,3,0)-1,4)))))</f>
        <v>0.60509999999999997</v>
      </c>
      <c r="CL18" s="65" t="str">
        <f>IF(ISERROR(IF(CK18="","",VLOOKUP(($BH18&amp;CK18&amp;"Template de desconto FLAT bundle - Velox XDSL - Varejo"),[8]BENEFICIOS!$A:$E,5,0))),"Criar",IF(CK18="","",VLOOKUP(($BH18&amp;CK18&amp;"Template de desconto FLAT bundle - Velox XDSL - Varejo"),[8]BENEFICIOS!$A:$E,5,0)))</f>
        <v>MKT-1-9865694381</v>
      </c>
      <c r="CM18" s="68" t="s">
        <v>161</v>
      </c>
      <c r="CN18" s="69">
        <v>49.9</v>
      </c>
      <c r="CO18" s="64">
        <f>IF(CN18=0,"",IF(CN18=VLOOKUP("PCS-30712g",[8]ARBOR!$A:$C,3,0),0.0001,IF(CN18&gt;VLOOKUP("PCS-30712g",[8]ARBOR!$A:$C,3,0),"Maior que CAP!",IF((DOLLAR(CN18+(VLOOKUP("PCS-30712g",[8]ARBOR!$A:$C,3,0)*-TRUNC(CN18/VLOOKUP("PCS-30712g",[8]ARBOR!$A:$C,3,0)-1,4)),6))&lt;&gt;(DOLLAR(VLOOKUP("PCS-30712g",[8]ARBOR!$A:$C,3,0),6)),-TRUNC(CN18/VLOOKUP("PCS-30712g",[8]ARBOR!$A:$C,3,0)-1,4)+0.0001,-TRUNC(CN18/VLOOKUP("PCS-30712g",[8]ARBOR!$A:$C,3,0)-1,4)))))</f>
        <v>0.64459999999999995</v>
      </c>
      <c r="CP18" s="65" t="str">
        <f>IF(ISERROR(IF(CO18="","",VLOOKUP(($BH18&amp;CO18&amp;"Template de desconto FLAT bundle - Velox XDSL - Varejo"),[8]BENEFICIOS!$A:$E,5,0))),"Criar",IF(CO18="","",VLOOKUP(($BH18&amp;CO18&amp;"Template de desconto FLAT bundle - Velox XDSL - Varejo"),[8]BENEFICIOS!$A:$E,5,0)))</f>
        <v>MKT-1-9865191105</v>
      </c>
      <c r="CQ18" s="68" t="s">
        <v>161</v>
      </c>
      <c r="CR18" s="69">
        <v>59.9</v>
      </c>
      <c r="CS18" s="64">
        <f>IF(CR18=0,"",IF(CR18=VLOOKUP("PCS-30739g",[8]ARBOR!$A:$C,3,0),0.0001,IF(CR18&gt;VLOOKUP("PCS-30739g",[8]ARBOR!$A:$C,3,0),"Maior que CAP!",IF((DOLLAR(CR18+(VLOOKUP("PCS-30739g",[8]ARBOR!$A:$C,3,0)*-TRUNC(CR18/VLOOKUP("PCS-30739g",[8]ARBOR!$A:$C,3,0)-1,4)),6))&lt;&gt;(DOLLAR(VLOOKUP("PCS-30739g",[8]ARBOR!$A:$C,3,0),6)),-TRUNC(CR18/VLOOKUP("PCS-30739g",[8]ARBOR!$A:$C,3,0)-1,4)+0.0001,-TRUNC(CR18/VLOOKUP("PCS-30739g",[8]ARBOR!$A:$C,3,0)-1,4)))))</f>
        <v>0.71560000000000001</v>
      </c>
      <c r="CT18" s="65" t="str">
        <f>IF(ISERROR(IF(CS18="","",VLOOKUP(($BH18&amp;CS18&amp;"Template de desconto FLAT bundle - Velox XDSL - Varejo"),[8]BENEFICIOS!$A:$E,5,0))),"Criar",IF(CS18="","",VLOOKUP(($BH18&amp;CS18&amp;"Template de desconto FLAT bundle - Velox XDSL - Varejo"),[8]BENEFICIOS!$A:$E,5,0)))</f>
        <v>MKT-1-9865191198</v>
      </c>
      <c r="CU18" s="69"/>
      <c r="CV18" s="70"/>
      <c r="CW18" s="64"/>
      <c r="CX18" s="65"/>
      <c r="CY18" s="68" t="s">
        <v>161</v>
      </c>
      <c r="CZ18" s="69">
        <v>59.9</v>
      </c>
      <c r="DA18" s="64">
        <f>IF(CZ18=0,"",IF(CZ18=VLOOKUP("PCS-30766g",[8]ARBOR!$A:$C,3,0),0.0001,IF(CZ18&gt;VLOOKUP("PCS-30766g",[8]ARBOR!$A:$C,3,0),"Maior que CAP!",IF((DOLLAR(CZ18+(VLOOKUP("PCS-30766g",[8]ARBOR!$A:$C,3,0)*-TRUNC(CZ18/VLOOKUP("PCS-30766g",[8]ARBOR!$A:$C,3,0)-1,4)),6))&lt;&gt;(DOLLAR(VLOOKUP("PCS-30766g",[8]ARBOR!$A:$C,3,0),6)),-TRUNC(CZ18/VLOOKUP("PCS-30766g",[8]ARBOR!$A:$C,3,0)-1,4)+0.0001,-TRUNC(CZ18/VLOOKUP("PCS-30766g",[8]ARBOR!$A:$C,3,0)-1,4)))))</f>
        <v>0.78669999999999995</v>
      </c>
      <c r="DB18" s="65" t="str">
        <f>IF(ISERROR(IF(DA18="","",VLOOKUP(($BH18&amp;DA18&amp;"Template de desconto FLAT bundle - Velox XDSL - Varejo"),[8]BENEFICIOS!$A:$E,5,0))),"Criar",IF(DA18="","",VLOOKUP(($BH18&amp;DA18&amp;"Template de desconto FLAT bundle - Velox XDSL - Varejo"),[8]BENEFICIOS!$A:$E,5,0)))</f>
        <v>MKT-1-9865191291</v>
      </c>
      <c r="DC18" s="69"/>
      <c r="DD18" s="70"/>
      <c r="DE18" s="64"/>
      <c r="DF18" s="65"/>
      <c r="DG18" s="68" t="s">
        <v>240</v>
      </c>
      <c r="DH18" s="69">
        <v>69.900000000000006</v>
      </c>
      <c r="DI18" s="64">
        <f>IF(DH18=0,"",IF(DH18=VLOOKUP("PCS-30793g",[8]ARBOR!$A:$C,3,0),0.0001,IF(DH18&gt;VLOOKUP("PCS-30793g",[8]ARBOR!$A:$C,3,0),"Maior que CAP!",IF((DOLLAR(DH18+(VLOOKUP("PCS-30793g",[8]ARBOR!$A:$C,3,0)*-TRUNC(DH18/VLOOKUP("PCS-30793g",[8]ARBOR!$A:$C,3,0)-1,4)),6))&lt;&gt;(DOLLAR(VLOOKUP("PCS-30793g",[8]ARBOR!$A:$C,3,0),6)),-TRUNC(DH18/VLOOKUP("PCS-30793g",[8]ARBOR!$A:$C,3,0)-1,4)+0.0001,-TRUNC(DH18/VLOOKUP("PCS-30793g",[8]ARBOR!$A:$C,3,0)-1,4)))))</f>
        <v>0.75109999999999999</v>
      </c>
      <c r="DJ18" s="65" t="str">
        <f>IF(ISERROR(IF(DI18="","",VLOOKUP(($BH18&amp;DI18&amp;"Template de desconto FLAT bundle - Velox XDSL - Varejo"),[8]BENEFICIOS!$A:$E,5,0))),"Criar",IF(DI18="","",VLOOKUP(($BH18&amp;DI18&amp;"Template de desconto FLAT bundle - Velox XDSL - Varejo"),[8]BENEFICIOS!$A:$E,5,0)))</f>
        <v>MKT-1-9865191384</v>
      </c>
      <c r="DK18" s="69"/>
      <c r="DL18" s="70"/>
      <c r="DM18" s="64"/>
      <c r="DN18" s="65"/>
      <c r="DO18" s="68" t="s">
        <v>161</v>
      </c>
      <c r="DP18" s="69">
        <v>69.900000000000006</v>
      </c>
      <c r="DQ18" s="64">
        <f>IF(DP18=0,"",IF(DP18=VLOOKUP("PCS-30820g",[8]ARBOR!$A:$C,3,0),0.0001,IF(DP18&gt;VLOOKUP("PCS-30820g",[8]ARBOR!$A:$C,3,0),"Maior que CAP!",IF((DOLLAR(DP18+(VLOOKUP("PCS-30820g",[8]ARBOR!$A:$C,3,0)*-TRUNC(DP18/VLOOKUP("PCS-30820g",[8]ARBOR!$A:$C,3,0)-1,4)),6))&lt;&gt;(DOLLAR(VLOOKUP("PCS-30820g",[8]ARBOR!$A:$C,3,0),6)),-TRUNC(DP18/VLOOKUP("PCS-30820g",[8]ARBOR!$A:$C,3,0)-1,4)+0.0001,-TRUNC(DP18/VLOOKUP("PCS-30820g",[8]ARBOR!$A:$C,3,0)-1,4)))))</f>
        <v>0.75109999999999999</v>
      </c>
      <c r="DR18" s="65" t="str">
        <f>IF(ISERROR(IF(DQ18="","",VLOOKUP(($BH18&amp;DQ18&amp;"Template de desconto FLAT bundle - Velox XDSL - Varejo"),[8]BENEFICIOS!$A:$E,5,0))),"Criar",IF(DQ18="","",VLOOKUP(($BH18&amp;DQ18&amp;"Template de desconto FLAT bundle - Velox XDSL - Varejo"),[8]BENEFICIOS!$A:$E,5,0)))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IF(DW18=0,"",IF(DW18=VLOOKUP("PCS-21448p2",[8]ARBOR!$A:$C,3,0),0.0001,IF(DW18&gt;VLOOKUP("PCS-21448p2",[8]ARBOR!$A:$C,3,0),"Maior que CAP!",IF((DOLLAR(DW18+(VLOOKUP("PCS-21448p2",[8]ARBOR!$A:$C,3,0)*-TRUNC(DW18/VLOOKUP("PCS-21448p2",[8]ARBOR!$A:$C,3,0)-1,4)),6))&lt;&gt;(DOLLAR(VLOOKUP("PCS-21448p2",[8]ARBOR!$A:$C,3,0),6)),-TRUNC(DW18/VLOOKUP("PCS-21448p2",[8]ARBOR!$A:$C,3,0)-1,4)+0.0001,-TRUNC(DW18/VLOOKUP("PCS-21448p2",[8]ARBOR!$A:$C,3,0)-1,4)))))</f>
        <v/>
      </c>
      <c r="DY18" s="65" t="str">
        <f>IF(ISERROR(IF(DX18="","",VLOOKUP(("Oi Conta Total Plug 10GB Downgrade"&amp;DX18&amp;"Template de desconto percentual BL Móvel - Internet Total - Varejo"),[8]BENEFICIOS!$A:$E,5,0))),"Criar",IF(DX18="","",VLOOKUP(("Oi Conta Total Plug 10GB Downgrade"&amp;DX18&amp;"Template de desconto percentual BL Móvel - Internet Total - Varejo"),[8]BENEFICIOS!$A:$E,5,0)))</f>
        <v/>
      </c>
      <c r="DZ18" s="71">
        <v>19.899999999999999</v>
      </c>
      <c r="EA18" s="72">
        <f>IF(DZ18=0,"",IF(DZ18=VLOOKUP("SVA",[8]ARBOR!$A:$C,3,0),0.0001,IF(DZ18&gt;VLOOKUP("SVA",[8]ARBOR!$A:$C,3,0),"Maior que CAP!",IF((DOLLAR(DZ18+(VLOOKUP("SVA",[8]ARBOR!$A:$C,3,0)*-TRUNC(DZ18/VLOOKUP("SVA",[8]ARBOR!$A:$C,3,0)-1,4)),6))&lt;&gt;(DOLLAR(VLOOKUP("SVA",[8]ARBOR!$A:$C,3,0),6)),-TRUNC(DZ18/VLOOKUP("SVA",[8]ARBOR!$A:$C,3,0)-1,4)+0.0001,-TRUNC(DZ18/VLOOKUP("SVA",[8]ARBOR!$A:$C,3,0)-1,4)))))</f>
        <v>7.1400000000000005E-2</v>
      </c>
      <c r="EB18" s="65" t="s">
        <v>241</v>
      </c>
      <c r="EC18" s="69"/>
      <c r="ED18" s="73"/>
      <c r="EE18" s="74"/>
      <c r="EF18" s="65"/>
      <c r="EG18" s="75">
        <f>IF(BI18="","",VLOOKUP(BI18,[8]ARBOR!A:C,3,0))</f>
        <v>479.46</v>
      </c>
      <c r="EH18" s="69">
        <v>15</v>
      </c>
      <c r="EI18" s="76">
        <f>IF(EH18="","",1-(EH18/VLOOKUP(BI18&amp;"ASS",[8]ARBOR!A:C,3,0)))</f>
        <v>0.34725848563968664</v>
      </c>
      <c r="EJ18" s="77" t="s">
        <v>224</v>
      </c>
      <c r="EK18" s="78" t="s">
        <v>225</v>
      </c>
      <c r="EL18" s="69">
        <v>116.16000000000001</v>
      </c>
      <c r="EM18" s="64">
        <f>IF(EL18=0,"",IF(EL18=EG18,0.0001,ROUND(1-((EL18+(VLOOKUP(BI18&amp;"ASS",[8]ARBOR!A:C,3,0)-EH18))/EG18),4)))</f>
        <v>0.74109999999999998</v>
      </c>
      <c r="EN18" s="65" t="str">
        <f>IF(ISERROR(IF(EM18="","",VLOOKUP(($BH18&amp;EM18&amp;"Template de desconto percentual FLAT Móvel - Conta Total - Varejo - Ganho Tributário Cross"),[8]BENEFICIOS!$A:$E,5,0))),"Criar",IF(EM18="","",VLOOKUP(($BH18&amp;EM18&amp;"Template de desconto percentual FLAT Móvel - Conta Total - Varejo - Ganho Tributário Cross"),[8]BENEFICIOS!$A:$E,5,0)))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244</v>
      </c>
      <c r="EV18" s="81" t="s">
        <v>245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IF(FC18=0,"",IF(FC18=VLOOKUP("PCS-10357",[8]ARBOR!$A:$C,3,0),0.0001,IF(FC18&gt;VLOOKUP("PCS-10357",[8]ARBOR!$A:$C,3,0),"Maior que CAP!",ROUND(-1*(FC18/VLOOKUP("PCS-10357",[8]ARBOR!$A:$C,3,0)-1),4))))</f>
        <v>0.8669</v>
      </c>
      <c r="FE18" s="84" t="str">
        <f>IF(ISERROR(IF(FD18="","",VLOOKUP(("Oi Internet Pra Celular 1GB"&amp;FD18&amp;"Template Flat Instância Dados"),[8]BENEFICIOS!$A:$E,5,0))),"Criar",IF(FD18="","",VLOOKUP(("Oi Internet Pra Celular 1GB"&amp;FD18&amp;"Template Flat Instância Dados"),[8]BENEFICIOS!$A:$E,5,0)))</f>
        <v>MKT-1-9869952543</v>
      </c>
      <c r="FF18" s="82"/>
      <c r="FG18" s="83" t="str">
        <f>IF(FF18=0,"",IF(FF18=VLOOKUP("PCS-813565",[8]ARBOR!$A:$C,3,0),0.0001,IF(FF18&gt;VLOOKUP("PCS-813565",[8]ARBOR!$A:$C,3,0),"Maior que CAP!",ROUND(-1*(FF18/VLOOKUP("PCS-813565",[8]ARBOR!$A:$C,3,0)-1),4))))</f>
        <v/>
      </c>
      <c r="FH18" s="84" t="str">
        <f>IF(ISERROR(IF(FG18="","",VLOOKUP(("Oi Internet Pra Celular 2GB"&amp;FG18&amp;"Template Flat Instância Dados"),[8]BENEFICIOS!$A:$E,5,0))),"Criar",IF(FG18="","",VLOOKUP(("Oi Internet Pra Celular 2GB"&amp;FG18&amp;"Template Flat Instância Dados"),[8]BENEFICIOS!$A:$E,5,0)))</f>
        <v/>
      </c>
      <c r="FI18" s="82"/>
      <c r="FJ18" s="83" t="str">
        <f>IF(FI18=0,"",IF(FI18=VLOOKUP("PCS-7171B",[8]ARBOR!$A:$C,3,0),0.0001,IF(FI18&gt;VLOOKUP("PCS-7171B",[8]ARBOR!$A:$C,3,0),"Maior que CAP!",ROUND(-1*(FI18/VLOOKUP("PCS-7171B",[8]ARBOR!$A:$C,3,0)-1),4))))</f>
        <v/>
      </c>
      <c r="FK18" s="84" t="str">
        <f>IF(ISERROR(IF(FJ18="","",VLOOKUP(("Oi Internet Pra Celular 3GB"&amp;FJ18&amp;"Template Flat Instância Dados"),[8]BENEFICIOS!$A:$E,5,0))),"Criar",IF(FJ18="","",VLOOKUP(("Oi Internet Pra Celular 3GB"&amp;FJ18&amp;"Template Flat Instância Dados"),[8]BENEFICIOS!$A:$E,5,0)))</f>
        <v/>
      </c>
      <c r="FL18" s="82"/>
      <c r="FM18" s="83" t="str">
        <f>IF(FL18=0,"",IF(FL18=VLOOKUP("PCS-51793o08",[8]ARBOR!$A:$C,3,0),0.0001,IF(FL18&gt;VLOOKUP("PCS-51793o08",[8]ARBOR!$A:$C,3,0),"Maior que CAP!",ROUND(-1*(FL18/VLOOKUP("PCS-51793o08",[8]ARBOR!$A:$C,3,0)-1),4))))</f>
        <v/>
      </c>
      <c r="FN18" s="84" t="str">
        <f>IF(ISERROR(IF(FM18="","",VLOOKUP(("Oi Internet Pra Celular 5GB"&amp;FM18&amp;"Template Flat Instância Dados"),[8]BENEFICIOS!$A:$E,5,0))),"Criar",IF(FM18="","",VLOOKUP(("Oi Internet Pra Celular 5GB"&amp;FM18&amp;"Template Flat Instância Dados"),[8]BENEFICIOS!$A:$E,5,0)))</f>
        <v/>
      </c>
      <c r="FO18" s="82"/>
      <c r="FP18" s="83" t="str">
        <f>IF(FO18=0,"",IF(FO18=VLOOKUP("PCS-7171A",[8]ARBOR!$A:$C,3,0),0.0001,IF(FO18&gt;VLOOKUP("PCS-7171A",[8]ARBOR!$A:$C,3,0),"Maior que CAP!",ROUND(-1*(FO18/VLOOKUP("PCS-7171A",[8]ARBOR!$A:$C,3,0)-1),4))))</f>
        <v/>
      </c>
      <c r="FQ18" s="84" t="str">
        <f>IF(ISERROR(IF(FP18="","",VLOOKUP(("Oi Internet Pra Celular 10GB"&amp;FP18&amp;"Template Flat Instância Dados"),[8]BENEFICIOS!$A:$E,5,0))),"Criar",IF(FP18="","",VLOOKUP(("Oi Internet Pra Celular 10GB"&amp;FP18&amp;"Template Flat Instância Dados"),[8]BENEFICIOS!$A:$E,5,0)))</f>
        <v/>
      </c>
      <c r="FR18" s="85">
        <v>0.74219999999999997</v>
      </c>
      <c r="FS18" s="86" t="s">
        <v>246</v>
      </c>
      <c r="FT18" s="48"/>
      <c r="FU18" s="87"/>
      <c r="FV18" s="88" t="s">
        <v>221</v>
      </c>
      <c r="FW18" s="49" t="s">
        <v>226</v>
      </c>
      <c r="FX18" s="89">
        <v>999</v>
      </c>
      <c r="FY18" s="49">
        <v>12</v>
      </c>
      <c r="FZ18" s="90" t="s">
        <v>227</v>
      </c>
      <c r="GA18" s="91" t="str">
        <f t="shared" si="1"/>
        <v>PCS-Fk83324</v>
      </c>
      <c r="GB18" s="92" t="str">
        <f t="shared" si="2"/>
        <v>PCS-SBL553142</v>
      </c>
      <c r="GC18" s="93" t="s">
        <v>228</v>
      </c>
      <c r="GD18" s="90" t="s">
        <v>229</v>
      </c>
      <c r="GE18" s="92" t="s">
        <v>230</v>
      </c>
      <c r="GF18" s="93" t="s">
        <v>231</v>
      </c>
      <c r="GG18" s="90" t="s">
        <v>232</v>
      </c>
      <c r="GH18" s="92" t="s">
        <v>233</v>
      </c>
      <c r="GI18" s="94" t="s">
        <v>234</v>
      </c>
      <c r="GJ18" s="95">
        <f>FC18+EL18+CN18+BJ18</f>
        <v>224.9</v>
      </c>
      <c r="GK18" s="96"/>
      <c r="GL18" s="97" t="s">
        <v>235</v>
      </c>
      <c r="GM18" s="98" t="s">
        <v>272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279</v>
      </c>
      <c r="GX18" s="44" t="s">
        <v>238</v>
      </c>
    </row>
    <row r="19" spans="1:206" s="44" customFormat="1" x14ac:dyDescent="0.35">
      <c r="A19" s="44" t="str">
        <f t="shared" si="0"/>
        <v>Oi Total Fixo + Pós 800 + Banda LargaN22GBMG</v>
      </c>
      <c r="B19" s="45" t="s">
        <v>211</v>
      </c>
      <c r="C19" s="46" t="s">
        <v>127</v>
      </c>
      <c r="D19" s="46" t="s">
        <v>212</v>
      </c>
      <c r="E19" s="47" t="s">
        <v>213</v>
      </c>
      <c r="F19" s="88" t="s">
        <v>214</v>
      </c>
      <c r="G19" s="49"/>
      <c r="H19" s="49"/>
      <c r="I19" s="49"/>
      <c r="J19" s="49" t="s">
        <v>214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214</v>
      </c>
      <c r="AC19" s="49" t="s">
        <v>214</v>
      </c>
      <c r="AD19" s="49" t="s">
        <v>214</v>
      </c>
      <c r="AE19" s="49" t="s">
        <v>214</v>
      </c>
      <c r="AF19" s="49" t="s">
        <v>214</v>
      </c>
      <c r="AG19" s="49" t="s">
        <v>214</v>
      </c>
      <c r="AH19" s="50"/>
      <c r="AI19" s="49" t="s">
        <v>214</v>
      </c>
      <c r="AJ19" s="49" t="s">
        <v>214</v>
      </c>
      <c r="AK19" s="49" t="s">
        <v>214</v>
      </c>
      <c r="AL19" s="49" t="s">
        <v>214</v>
      </c>
      <c r="AM19" s="49" t="s">
        <v>214</v>
      </c>
      <c r="AN19" s="49" t="s">
        <v>214</v>
      </c>
      <c r="AO19" s="49" t="s">
        <v>214</v>
      </c>
      <c r="AP19" s="49"/>
      <c r="AQ19" s="51"/>
      <c r="AR19" s="52" t="s">
        <v>280</v>
      </c>
      <c r="AS19" s="46" t="s">
        <v>216</v>
      </c>
      <c r="AT19" s="53" t="s">
        <v>217</v>
      </c>
      <c r="AU19" s="54">
        <v>42972</v>
      </c>
      <c r="AV19" s="105">
        <v>43097</v>
      </c>
      <c r="AW19" s="56" t="s">
        <v>218</v>
      </c>
      <c r="AX19" s="57" t="s">
        <v>218</v>
      </c>
      <c r="AY19" s="58"/>
      <c r="AZ19" s="58" t="s">
        <v>219</v>
      </c>
      <c r="BA19" s="58">
        <v>20</v>
      </c>
      <c r="BB19" s="58">
        <v>10000</v>
      </c>
      <c r="BC19" s="59" t="s">
        <v>220</v>
      </c>
      <c r="BD19" s="60" t="s">
        <v>221</v>
      </c>
      <c r="BE19" s="58" t="s">
        <v>213</v>
      </c>
      <c r="BF19" s="51" t="s">
        <v>213</v>
      </c>
      <c r="BG19" s="45" t="s">
        <v>280</v>
      </c>
      <c r="BH19" s="61" t="s">
        <v>222</v>
      </c>
      <c r="BI19" s="62" t="str">
        <f>IF(ISERROR(VLOOKUP(BH19,[8]PLANOS!B:C,2,0)),"",VLOOKUP(BH19,[8]PLANOS!B:C,2,0))</f>
        <v>PCS-4P6pi</v>
      </c>
      <c r="BJ19" s="63">
        <v>50.1</v>
      </c>
      <c r="BK19" s="64">
        <f>IF(BJ19=0,"",IF(BJ19=VLOOKUP("FIXO",[8]ARBOR!$A:$C,3,0),0.0001,IF(BJ19&gt;VLOOKUP("FIXO",[8]ARBOR!$A:$C,3,0),"Maior que CAP!",IF((DOLLAR(BJ19+(VLOOKUP("FIXO",[8]ARBOR!$A:$C,3,0)*-TRUNC(BJ19/VLOOKUP("FIXO",[8]ARBOR!$A:$C,3,0)-1,4)),6))&lt;&gt;(DOLLAR(VLOOKUP("FIXO",[8]ARBOR!$A:$C,3,0),6)),-TRUNC(BJ19/VLOOKUP("FIXO",[8]ARBOR!$A:$C,3,0)-1,4)+0.0001,-TRUNC(BJ19/VLOOKUP("FIXO",[8]ARBOR!$A:$C,3,0)-1,4)))))</f>
        <v>0.33939999999999998</v>
      </c>
      <c r="BL19" s="65" t="str">
        <f>IF(ISERROR(IF(BK19="","",VLOOKUP(($BH19&amp;BK19&amp;"Template de desconto FLAT bundle - Fixo - Varejo - Ganho Tributário Cross"),[8]BENEFICIOS!$A:$E,5,0))),"Criar",IF(BK19="","",VLOOKUP(($BH19&amp;BK19&amp;"Template de desconto FLAT bundle - Fixo - Varejo - Ganho Tributário Cross"),[8]BENEFICIOS!$A:$E,5,0)))</f>
        <v>MKT-1-9856472058</v>
      </c>
      <c r="BM19" s="66"/>
      <c r="BN19" s="67"/>
      <c r="BO19" s="68" t="s">
        <v>161</v>
      </c>
      <c r="BP19" s="69">
        <v>44.9</v>
      </c>
      <c r="BQ19" s="64">
        <f>IF(BP19=0,"",IF(BP19=VLOOKUP("PCS-30874g",[8]ARBOR!$A:$C,3,0),0.0001,IF(BP19&gt;VLOOKUP("PCS-30874g",[8]ARBOR!$A:$C,3,0),"Maior que CAP!",IF((DOLLAR(BP19+(VLOOKUP("PCS-30874g",[8]ARBOR!$A:$C,3,0)*-TRUNC(BP19/VLOOKUP("PCS-30874g",[8]ARBOR!$A:$C,3,0)-1,4)),6))&lt;&gt;(DOLLAR(VLOOKUP("PCS-30874g",[8]ARBOR!$A:$C,3,0),6)),-TRUNC(BP19/VLOOKUP("PCS-30874g",[8]ARBOR!$A:$C,3,0)-1,4)+0.0001,-TRUNC(BP19/VLOOKUP("PCS-30874g",[8]ARBOR!$A:$C,3,0)-1,4)))))</f>
        <v>0.53679999999999994</v>
      </c>
      <c r="BR19" s="65" t="str">
        <f>IF(ISERROR(IF(BQ19="","",VLOOKUP(($BH19&amp;BQ19&amp;"Template de desconto FLAT bundle - Velox XDSL - Varejo"),[8]BENEFICIOS!$A:$E,5,0))),"Criar",IF(BQ19="","",VLOOKUP(($BH19&amp;BQ19&amp;"Template de desconto FLAT bundle - Velox XDSL - Varejo"),[8]BENEFICIOS!$A:$E,5,0)))</f>
        <v>MKT-1-9865126733</v>
      </c>
      <c r="BS19" s="68" t="s">
        <v>161</v>
      </c>
      <c r="BT19" s="69">
        <v>44.9</v>
      </c>
      <c r="BU19" s="64">
        <f>IF(BT19=0,"",IF(BT19=VLOOKUP("PCS-30577g",[8]ARBOR!$A:$C,3,0),0.0001,IF(BT19&gt;VLOOKUP("PCS-30577g",[8]ARBOR!$A:$C,3,0),"Maior que CAP!",IF((DOLLAR(BT19+(VLOOKUP("PCS-30577g",[8]ARBOR!$A:$C,3,0)*-TRUNC(BT19/VLOOKUP("PCS-30577g",[8]ARBOR!$A:$C,3,0)-1,4)),6))&lt;&gt;(DOLLAR(VLOOKUP("PCS-30577g",[8]ARBOR!$A:$C,3,0),6)),-TRUNC(BT19/VLOOKUP("PCS-30577g",[8]ARBOR!$A:$C,3,0)-1,4)+0.0001,-TRUNC(BT19/VLOOKUP("PCS-30577g",[8]ARBOR!$A:$C,3,0)-1,4)))))</f>
        <v>0.53679999999999994</v>
      </c>
      <c r="BV19" s="65" t="str">
        <f>IF(ISERROR(IF(BU19="","",VLOOKUP(($BH19&amp;BU19&amp;"Template de desconto FLAT bundle - Velox XDSL - Varejo"),[8]BENEFICIOS!$A:$E,5,0))),"Criar",IF(BU19="","",VLOOKUP(($BH19&amp;BU19&amp;"Template de desconto FLAT bundle - Velox XDSL - Varejo"),[8]BENEFICIOS!$A:$E,5,0)))</f>
        <v>MKT-1-9865126733</v>
      </c>
      <c r="BW19" s="68" t="s">
        <v>161</v>
      </c>
      <c r="BX19" s="69">
        <v>44.9</v>
      </c>
      <c r="BY19" s="64">
        <f>IF(BX19=0,"",IF(BX19=VLOOKUP("PCS-30604g",[8]ARBOR!$A:$C,3,0),0.0001,IF(BX19&gt;VLOOKUP("PCS-30604g",[8]ARBOR!$A:$C,3,0),"Maior que CAP!",IF((DOLLAR(BX19+(VLOOKUP("PCS-30604g",[8]ARBOR!$A:$C,3,0)*-TRUNC(BX19/VLOOKUP("PCS-30604g",[8]ARBOR!$A:$C,3,0)-1,4)),6))&lt;&gt;(DOLLAR(VLOOKUP("PCS-30604g",[8]ARBOR!$A:$C,3,0),6)),-TRUNC(BX19/VLOOKUP("PCS-30604g",[8]ARBOR!$A:$C,3,0)-1,4)+0.0001,-TRUNC(BX19/VLOOKUP("PCS-30604g",[8]ARBOR!$A:$C,3,0)-1,4)))))</f>
        <v>0.53679999999999994</v>
      </c>
      <c r="BZ19" s="65" t="str">
        <f>IF(ISERROR(IF(BY19="","",VLOOKUP(($BH19&amp;BY19&amp;"Template de desconto FLAT bundle - Velox XDSL - Varejo"),[8]BENEFICIOS!$A:$E,5,0))),"Criar",IF(BY19="","",VLOOKUP(($BH19&amp;BY19&amp;"Template de desconto FLAT bundle - Velox XDSL - Varejo"),[8]BENEFICIOS!$A:$E,5,0)))</f>
        <v>MKT-1-9865126733</v>
      </c>
      <c r="CA19" s="68" t="s">
        <v>161</v>
      </c>
      <c r="CB19" s="69">
        <v>44.9</v>
      </c>
      <c r="CC19" s="64">
        <f>IF(CB19=0,"",IF(CB19=VLOOKUP("PCS-30631g",[8]ARBOR!$A:$C,3,0),0.0001,IF(CB19&gt;VLOOKUP("PCS-30631g",[8]ARBOR!$A:$C,3,0),"Maior que CAP!",IF((DOLLAR(CB19+(VLOOKUP("PCS-30631g",[8]ARBOR!$A:$C,3,0)*-TRUNC(CB19/VLOOKUP("PCS-30631g",[8]ARBOR!$A:$C,3,0)-1,4)),6))&lt;&gt;(DOLLAR(VLOOKUP("PCS-30631g",[8]ARBOR!$A:$C,3,0),6)),-TRUNC(CB19/VLOOKUP("PCS-30631g",[8]ARBOR!$A:$C,3,0)-1,4)+0.0001,-TRUNC(CB19/VLOOKUP("PCS-30631g",[8]ARBOR!$A:$C,3,0)-1,4)))))</f>
        <v>0.54310000000000003</v>
      </c>
      <c r="CD19" s="65" t="str">
        <f>IF(ISERROR(IF(CC19="","",VLOOKUP(($BH19&amp;CC19&amp;"Template de desconto FLAT bundle - Velox XDSL - Varejo"),[8]BENEFICIOS!$A:$E,5,0))),"Criar",IF(CC19="","",VLOOKUP(($BH19&amp;CC19&amp;"Template de desconto FLAT bundle - Velox XDSL - Varejo"),[8]BENEFICIOS!$A:$E,5,0)))</f>
        <v>MKT-1-9865126826</v>
      </c>
      <c r="CE19" s="68"/>
      <c r="CF19" s="69"/>
      <c r="CG19" s="64" t="str">
        <f>IF(CF19=0,"",IF(CF19=VLOOKUP("PCS-30658g",[8]ARBOR!$A:$C,3,0),0.0001,IF(CF19&gt;VLOOKUP("PCS-30658g",[8]ARBOR!$A:$C,3,0),"Maior que CAP!",IF((DOLLAR(CF19+(VLOOKUP("PCS-30658g",[8]ARBOR!$A:$C,3,0)*-TRUNC(CF19/VLOOKUP("PCS-30658g",[8]ARBOR!$A:$C,3,0)-1,4)),6))&lt;&gt;(DOLLAR(VLOOKUP("PCS-30658g",[8]ARBOR!$A:$C,3,0),6)),-TRUNC(CF19/VLOOKUP("PCS-30658g",[8]ARBOR!$A:$C,3,0)-1,4)+0.0001,-TRUNC(CF19/VLOOKUP("PCS-30658g",[8]ARBOR!$A:$C,3,0)-1,4)))))</f>
        <v/>
      </c>
      <c r="CH19" s="65" t="str">
        <f>IF(ISERROR(IF(CG19="","",VLOOKUP(($BH19&amp;CG19&amp;"Template de desconto FLAT bundle - Velox XDSL - Varejo"),[8]BENEFICIOS!$A:$E,5,0))),"Criar",IF(CG19="","",VLOOKUP(($BH19&amp;CG19&amp;"Template de desconto FLAT bundle - Velox XDSL - Varejo"),[8]BENEFICIOS!$A:$E,5,0)))</f>
        <v/>
      </c>
      <c r="CI19" s="68"/>
      <c r="CJ19" s="69"/>
      <c r="CK19" s="64" t="str">
        <f>IF(CJ19=0,"",IF(CJ19=VLOOKUP("PCS-30685g",[8]ARBOR!$A:$C,3,0),0.0001,IF(CJ19&gt;VLOOKUP("PCS-30685g",[8]ARBOR!$A:$C,3,0),"Maior que CAP!",IF((DOLLAR(CJ19+(VLOOKUP("PCS-30685g",[8]ARBOR!$A:$C,3,0)*-TRUNC(CJ19/VLOOKUP("PCS-30685g",[8]ARBOR!$A:$C,3,0)-1,4)),6))&lt;&gt;(DOLLAR(VLOOKUP("PCS-30685g",[8]ARBOR!$A:$C,3,0),6)),-TRUNC(CJ19/VLOOKUP("PCS-30685g",[8]ARBOR!$A:$C,3,0)-1,4)+0.0001,-TRUNC(CJ19/VLOOKUP("PCS-30685g",[8]ARBOR!$A:$C,3,0)-1,4)))))</f>
        <v/>
      </c>
      <c r="CL19" s="65" t="str">
        <f>IF(ISERROR(IF(CK19="","",VLOOKUP(($BH19&amp;CK19&amp;"Template de desconto FLAT bundle - Velox XDSL - Varejo"),[8]BENEFICIOS!$A:$E,5,0))),"Criar",IF(CK19="","",VLOOKUP(($BH19&amp;CK19&amp;"Template de desconto FLAT bundle - Velox XDSL - Varejo"),[8]BENEFICIOS!$A:$E,5,0)))</f>
        <v/>
      </c>
      <c r="CM19" s="68"/>
      <c r="CN19" s="69"/>
      <c r="CO19" s="64" t="str">
        <f>IF(CN19=0,"",IF(CN19=VLOOKUP("PCS-30712g",[8]ARBOR!$A:$C,3,0),0.0001,IF(CN19&gt;VLOOKUP("PCS-30712g",[8]ARBOR!$A:$C,3,0),"Maior que CAP!",IF((DOLLAR(CN19+(VLOOKUP("PCS-30712g",[8]ARBOR!$A:$C,3,0)*-TRUNC(CN19/VLOOKUP("PCS-30712g",[8]ARBOR!$A:$C,3,0)-1,4)),6))&lt;&gt;(DOLLAR(VLOOKUP("PCS-30712g",[8]ARBOR!$A:$C,3,0),6)),-TRUNC(CN19/VLOOKUP("PCS-30712g",[8]ARBOR!$A:$C,3,0)-1,4)+0.0001,-TRUNC(CN19/VLOOKUP("PCS-30712g",[8]ARBOR!$A:$C,3,0)-1,4)))))</f>
        <v/>
      </c>
      <c r="CP19" s="65" t="str">
        <f>IF(ISERROR(IF(CO19="","",VLOOKUP(($BH19&amp;CO19&amp;"Template de desconto FLAT bundle - Velox XDSL - Varejo"),[8]BENEFICIOS!$A:$E,5,0))),"Criar",IF(CO19="","",VLOOKUP(($BH19&amp;CO19&amp;"Template de desconto FLAT bundle - Velox XDSL - Varejo"),[8]BENEFICIOS!$A:$E,5,0)))</f>
        <v/>
      </c>
      <c r="CQ19" s="68"/>
      <c r="CR19" s="69"/>
      <c r="CS19" s="64" t="str">
        <f>IF(CR19=0,"",IF(CR19=VLOOKUP("PCS-30739g",[8]ARBOR!$A:$C,3,0),0.0001,IF(CR19&gt;VLOOKUP("PCS-30739g",[8]ARBOR!$A:$C,3,0),"Maior que CAP!",IF((DOLLAR(CR19+(VLOOKUP("PCS-30739g",[8]ARBOR!$A:$C,3,0)*-TRUNC(CR19/VLOOKUP("PCS-30739g",[8]ARBOR!$A:$C,3,0)-1,4)),6))&lt;&gt;(DOLLAR(VLOOKUP("PCS-30739g",[8]ARBOR!$A:$C,3,0),6)),-TRUNC(CR19/VLOOKUP("PCS-30739g",[8]ARBOR!$A:$C,3,0)-1,4)+0.0001,-TRUNC(CR19/VLOOKUP("PCS-30739g",[8]ARBOR!$A:$C,3,0)-1,4)))))</f>
        <v/>
      </c>
      <c r="CT19" s="65" t="str">
        <f>IF(ISERROR(IF(CS19="","",VLOOKUP(($BH19&amp;CS19&amp;"Template de desconto FLAT bundle - Velox XDSL - Varejo"),[8]BENEFICIOS!$A:$E,5,0))),"Criar",IF(CS19="","",VLOOKUP(($BH19&amp;CS19&amp;"Template de desconto FLAT bundle - Velox XDSL - Varejo"),[8]BENEFICIOS!$A:$E,5,0)))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IF(CZ19=0,"",IF(CZ19=VLOOKUP("PCS-30766g",[8]ARBOR!$A:$C,3,0),0.0001,IF(CZ19&gt;VLOOKUP("PCS-30766g",[8]ARBOR!$A:$C,3,0),"Maior que CAP!",IF((DOLLAR(CZ19+(VLOOKUP("PCS-30766g",[8]ARBOR!$A:$C,3,0)*-TRUNC(CZ19/VLOOKUP("PCS-30766g",[8]ARBOR!$A:$C,3,0)-1,4)),6))&lt;&gt;(DOLLAR(VLOOKUP("PCS-30766g",[8]ARBOR!$A:$C,3,0),6)),-TRUNC(CZ19/VLOOKUP("PCS-30766g",[8]ARBOR!$A:$C,3,0)-1,4)+0.0001,-TRUNC(CZ19/VLOOKUP("PCS-30766g",[8]ARBOR!$A:$C,3,0)-1,4)))))</f>
        <v/>
      </c>
      <c r="DB19" s="65" t="str">
        <f>IF(ISERROR(IF(DA19="","",VLOOKUP(($BH19&amp;DA19&amp;"Template de desconto FLAT bundle - Velox XDSL - Varejo"),[8]BENEFICIOS!$A:$E,5,0))),"Criar",IF(DA19="","",VLOOKUP(($BH19&amp;DA19&amp;"Template de desconto FLAT bundle - Velox XDSL - Varejo"),[8]BENEFICIOS!$A:$E,5,0)))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IF(DH19=0,"",IF(DH19=VLOOKUP("PCS-30793g",[8]ARBOR!$A:$C,3,0),0.0001,IF(DH19&gt;VLOOKUP("PCS-30793g",[8]ARBOR!$A:$C,3,0),"Maior que CAP!",IF((DOLLAR(DH19+(VLOOKUP("PCS-30793g",[8]ARBOR!$A:$C,3,0)*-TRUNC(DH19/VLOOKUP("PCS-30793g",[8]ARBOR!$A:$C,3,0)-1,4)),6))&lt;&gt;(DOLLAR(VLOOKUP("PCS-30793g",[8]ARBOR!$A:$C,3,0),6)),-TRUNC(DH19/VLOOKUP("PCS-30793g",[8]ARBOR!$A:$C,3,0)-1,4)+0.0001,-TRUNC(DH19/VLOOKUP("PCS-30793g",[8]ARBOR!$A:$C,3,0)-1,4)))))</f>
        <v/>
      </c>
      <c r="DJ19" s="65" t="str">
        <f>IF(ISERROR(IF(DI19="","",VLOOKUP(($BH19&amp;DI19&amp;"Template de desconto FLAT bundle - Velox XDSL - Varejo"),[8]BENEFICIOS!$A:$E,5,0))),"Criar",IF(DI19="","",VLOOKUP(($BH19&amp;DI19&amp;"Template de desconto FLAT bundle - Velox XDSL - Varejo"),[8]BENEFICIOS!$A:$E,5,0)))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IF(DP19=0,"",IF(DP19=VLOOKUP("PCS-30820g",[8]ARBOR!$A:$C,3,0),0.0001,IF(DP19&gt;VLOOKUP("PCS-30820g",[8]ARBOR!$A:$C,3,0),"Maior que CAP!",IF((DOLLAR(DP19+(VLOOKUP("PCS-30820g",[8]ARBOR!$A:$C,3,0)*-TRUNC(DP19/VLOOKUP("PCS-30820g",[8]ARBOR!$A:$C,3,0)-1,4)),6))&lt;&gt;(DOLLAR(VLOOKUP("PCS-30820g",[8]ARBOR!$A:$C,3,0),6)),-TRUNC(DP19/VLOOKUP("PCS-30820g",[8]ARBOR!$A:$C,3,0)-1,4)+0.0001,-TRUNC(DP19/VLOOKUP("PCS-30820g",[8]ARBOR!$A:$C,3,0)-1,4)))))</f>
        <v/>
      </c>
      <c r="DR19" s="65" t="str">
        <f>IF(ISERROR(IF(DQ19="","",VLOOKUP(($BH19&amp;DQ19&amp;"Template de desconto FLAT bundle - Velox XDSL - Varejo"),[8]BENEFICIOS!$A:$E,5,0))),"Criar",IF(DQ19="","",VLOOKUP(($BH19&amp;DQ19&amp;"Template de desconto FLAT bundle - Velox XDSL - Varejo"),[8]BENEFICIOS!$A:$E,5,0)))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IF(DW19=0,"",IF(DW19=VLOOKUP("PCS-21448p2",[8]ARBOR!$A:$C,3,0),0.0001,IF(DW19&gt;VLOOKUP("PCS-21448p2",[8]ARBOR!$A:$C,3,0),"Maior que CAP!",IF((DOLLAR(DW19+(VLOOKUP("PCS-21448p2",[8]ARBOR!$A:$C,3,0)*-TRUNC(DW19/VLOOKUP("PCS-21448p2",[8]ARBOR!$A:$C,3,0)-1,4)),6))&lt;&gt;(DOLLAR(VLOOKUP("PCS-21448p2",[8]ARBOR!$A:$C,3,0),6)),-TRUNC(DW19/VLOOKUP("PCS-21448p2",[8]ARBOR!$A:$C,3,0)-1,4)+0.0001,-TRUNC(DW19/VLOOKUP("PCS-21448p2",[8]ARBOR!$A:$C,3,0)-1,4)))))</f>
        <v>0.64900000000000002</v>
      </c>
      <c r="DY19" s="65" t="str">
        <f>IF(ISERROR(IF(DX19="","",VLOOKUP(("Oi Conta Total Plug 10GB Downgrade"&amp;DX19&amp;"Template de desconto percentual BL Móvel - Internet Total - Varejo"),[8]BENEFICIOS!$A:$E,5,0))),"Criar",IF(DX19="","",VLOOKUP(("Oi Conta Total Plug 10GB Downgrade"&amp;DX19&amp;"Template de desconto percentual BL Móvel - Internet Total - Varejo"),[8]BENEFICIOS!$A:$E,5,0)))</f>
        <v>MKT-1-9825544790</v>
      </c>
      <c r="DZ19" s="71">
        <v>16.5</v>
      </c>
      <c r="EA19" s="72">
        <f>IF(DZ19=0,"",IF(DZ19=VLOOKUP("SVA",[8]ARBOR!$A:$C,3,0),0.0001,IF(DZ19&gt;VLOOKUP("SVA",[8]ARBOR!$A:$C,3,0),"Maior que CAP!",IF((DOLLAR(DZ19+(VLOOKUP("SVA",[8]ARBOR!$A:$C,3,0)*-TRUNC(DZ19/VLOOKUP("SVA",[8]ARBOR!$A:$C,3,0)-1,4)),6))&lt;&gt;(DOLLAR(VLOOKUP("SVA",[8]ARBOR!$A:$C,3,0),6)),-TRUNC(DZ19/VLOOKUP("SVA",[8]ARBOR!$A:$C,3,0)-1,4)+0.0001,-TRUNC(DZ19/VLOOKUP("SVA",[8]ARBOR!$A:$C,3,0)-1,4)))))</f>
        <v>0.2301</v>
      </c>
      <c r="EB19" s="65" t="s">
        <v>223</v>
      </c>
      <c r="EC19" s="69"/>
      <c r="ED19" s="73"/>
      <c r="EE19" s="74"/>
      <c r="EF19" s="65"/>
      <c r="EG19" s="75">
        <f>IF(BI19="","",VLOOKUP(BI19,[8]ARBOR!A:C,3,0))</f>
        <v>479.46</v>
      </c>
      <c r="EH19" s="69">
        <v>15</v>
      </c>
      <c r="EI19" s="76">
        <f>IF(EH19="","",1-(EH19/VLOOKUP(BI19&amp;"ASS",[8]ARBOR!A:C,3,0)))</f>
        <v>0.34725848563968664</v>
      </c>
      <c r="EJ19" s="77" t="s">
        <v>224</v>
      </c>
      <c r="EK19" s="78" t="s">
        <v>225</v>
      </c>
      <c r="EL19" s="69">
        <v>125.13000000000001</v>
      </c>
      <c r="EM19" s="64">
        <f>IF(EL19=0,"",IF(EL19=EG19,0.0001,ROUND(1-((EL19+(VLOOKUP(BI19&amp;"ASS",[8]ARBOR!A:C,3,0)-EH19))/EG19),4)))</f>
        <v>0.72240000000000004</v>
      </c>
      <c r="EN19" s="65" t="str">
        <f>IF(ISERROR(IF(EM19="","",VLOOKUP(($BH19&amp;EM19&amp;"Template de desconto percentual FLAT Móvel - Conta Total - Varejo - Ganho Tributário Cross"),[8]BENEFICIOS!$A:$E,5,0))),"Criar",IF(EM19="","",VLOOKUP(($BH19&amp;EM19&amp;"Template de desconto percentual FLAT Móvel - Conta Total - Varejo - Ganho Tributário Cross"),[8]BENEFICIOS!$A:$E,5,0)))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244</v>
      </c>
      <c r="EV19" s="81" t="s">
        <v>251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IF(FC19=0,"",IF(FC19=VLOOKUP("PCS-10357",[8]ARBOR!$A:$C,3,0),0.0001,IF(FC19&gt;VLOOKUP("PCS-10357",[8]ARBOR!$A:$C,3,0),"Maior que CAP!",ROUND(-1*(FC19/VLOOKUP("PCS-10357",[8]ARBOR!$A:$C,3,0)-1),4))))</f>
        <v/>
      </c>
      <c r="FE19" s="84" t="str">
        <f>IF(ISERROR(IF(FD19="","",VLOOKUP(("Oi Internet Pra Celular 1GB"&amp;FD19&amp;"Template Flat Instância Dados"),[8]BENEFICIOS!$A:$E,5,0))),"Criar",IF(FD19="","",VLOOKUP(("Oi Internet Pra Celular 1GB"&amp;FD19&amp;"Template Flat Instância Dados"),[8]BENEFICIOS!$A:$E,5,0)))</f>
        <v/>
      </c>
      <c r="FF19" s="82">
        <v>9.77</v>
      </c>
      <c r="FG19" s="83">
        <f>IF(FF19=0,"",IF(FF19=VLOOKUP("PCS-813565",[8]ARBOR!$A:$C,3,0),0.0001,IF(FF19&gt;VLOOKUP("PCS-813565",[8]ARBOR!$A:$C,3,0),"Maior que CAP!",ROUND(-1*(FF19/VLOOKUP("PCS-813565",[8]ARBOR!$A:$C,3,0)-1),4))))</f>
        <v>0.74260000000000004</v>
      </c>
      <c r="FH19" s="84" t="str">
        <f>IF(ISERROR(IF(FG19="","",VLOOKUP(("Oi Internet Pra Celular 2GB"&amp;FG19&amp;"Template Flat Instância Dados"),[8]BENEFICIOS!$A:$E,5,0))),"Criar",IF(FG19="","",VLOOKUP(("Oi Internet Pra Celular 2GB"&amp;FG19&amp;"Template Flat Instância Dados"),[8]BENEFICIOS!$A:$E,5,0)))</f>
        <v>MKT-1-9870023571</v>
      </c>
      <c r="FI19" s="82"/>
      <c r="FJ19" s="83" t="str">
        <f>IF(FI19=0,"",IF(FI19=VLOOKUP("PCS-7171B",[8]ARBOR!$A:$C,3,0),0.0001,IF(FI19&gt;VLOOKUP("PCS-7171B",[8]ARBOR!$A:$C,3,0),"Maior que CAP!",ROUND(-1*(FI19/VLOOKUP("PCS-7171B",[8]ARBOR!$A:$C,3,0)-1),4))))</f>
        <v/>
      </c>
      <c r="FK19" s="84" t="str">
        <f>IF(ISERROR(IF(FJ19="","",VLOOKUP(("Oi Internet Pra Celular 3GB"&amp;FJ19&amp;"Template Flat Instância Dados"),[8]BENEFICIOS!$A:$E,5,0))),"Criar",IF(FJ19="","",VLOOKUP(("Oi Internet Pra Celular 3GB"&amp;FJ19&amp;"Template Flat Instância Dados"),[8]BENEFICIOS!$A:$E,5,0)))</f>
        <v/>
      </c>
      <c r="FL19" s="82"/>
      <c r="FM19" s="83" t="str">
        <f>IF(FL19=0,"",IF(FL19=VLOOKUP("PCS-51793o08",[8]ARBOR!$A:$C,3,0),0.0001,IF(FL19&gt;VLOOKUP("PCS-51793o08",[8]ARBOR!$A:$C,3,0),"Maior que CAP!",ROUND(-1*(FL19/VLOOKUP("PCS-51793o08",[8]ARBOR!$A:$C,3,0)-1),4))))</f>
        <v/>
      </c>
      <c r="FN19" s="84" t="str">
        <f>IF(ISERROR(IF(FM19="","",VLOOKUP(("Oi Internet Pra Celular 5GB"&amp;FM19&amp;"Template Flat Instância Dados"),[8]BENEFICIOS!$A:$E,5,0))),"Criar",IF(FM19="","",VLOOKUP(("Oi Internet Pra Celular 5GB"&amp;FM19&amp;"Template Flat Instância Dados"),[8]BENEFICIOS!$A:$E,5,0)))</f>
        <v/>
      </c>
      <c r="FO19" s="82"/>
      <c r="FP19" s="83" t="str">
        <f>IF(FO19=0,"",IF(FO19=VLOOKUP("PCS-7171A",[8]ARBOR!$A:$C,3,0),0.0001,IF(FO19&gt;VLOOKUP("PCS-7171A",[8]ARBOR!$A:$C,3,0),"Maior que CAP!",ROUND(-1*(FO19/VLOOKUP("PCS-7171A",[8]ARBOR!$A:$C,3,0)-1),4))))</f>
        <v/>
      </c>
      <c r="FQ19" s="84" t="str">
        <f>IF(ISERROR(IF(FP19="","",VLOOKUP(("Oi Internet Pra Celular 10GB"&amp;FP19&amp;"Template Flat Instância Dados"),[8]BENEFICIOS!$A:$E,5,0))),"Criar",IF(FP19="","",VLOOKUP(("Oi Internet Pra Celular 10GB"&amp;FP19&amp;"Template Flat Instância Dados"),[8]BENEFICIOS!$A:$E,5,0)))</f>
        <v/>
      </c>
      <c r="FR19" s="85">
        <v>0.74219999999999997</v>
      </c>
      <c r="FS19" s="86" t="s">
        <v>246</v>
      </c>
      <c r="FT19" s="48"/>
      <c r="FU19" s="87"/>
      <c r="FV19" s="88" t="s">
        <v>221</v>
      </c>
      <c r="FW19" s="49" t="s">
        <v>226</v>
      </c>
      <c r="FX19" s="89">
        <v>999</v>
      </c>
      <c r="FY19" s="49">
        <v>12</v>
      </c>
      <c r="FZ19" s="90" t="s">
        <v>227</v>
      </c>
      <c r="GA19" s="91" t="str">
        <f t="shared" si="1"/>
        <v>PCS-Fk83324</v>
      </c>
      <c r="GB19" s="92" t="str">
        <f t="shared" si="2"/>
        <v>PCS-SBL553142</v>
      </c>
      <c r="GC19" s="93" t="s">
        <v>228</v>
      </c>
      <c r="GD19" s="90" t="s">
        <v>229</v>
      </c>
      <c r="GE19" s="92" t="s">
        <v>230</v>
      </c>
      <c r="GF19" s="93" t="s">
        <v>231</v>
      </c>
      <c r="GG19" s="90" t="s">
        <v>232</v>
      </c>
      <c r="GH19" s="92" t="s">
        <v>233</v>
      </c>
      <c r="GI19" s="94" t="s">
        <v>234</v>
      </c>
      <c r="GJ19" s="95">
        <f>FF19+EL19+CB19+BJ19</f>
        <v>229.9</v>
      </c>
      <c r="GK19" s="96"/>
      <c r="GL19" s="97" t="s">
        <v>235</v>
      </c>
      <c r="GM19" s="98" t="s">
        <v>272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281</v>
      </c>
      <c r="GX19" s="44" t="s">
        <v>238</v>
      </c>
    </row>
    <row r="20" spans="1:206" s="44" customFormat="1" x14ac:dyDescent="0.35">
      <c r="A20" s="44" t="str">
        <f t="shared" si="0"/>
        <v>Oi Total Fixo + Pós 800 + Banda LargaN22GBMG</v>
      </c>
      <c r="B20" s="45" t="s">
        <v>211</v>
      </c>
      <c r="C20" s="46" t="s">
        <v>127</v>
      </c>
      <c r="D20" s="46" t="s">
        <v>212</v>
      </c>
      <c r="E20" s="47" t="s">
        <v>213</v>
      </c>
      <c r="F20" s="88" t="s">
        <v>214</v>
      </c>
      <c r="G20" s="49"/>
      <c r="H20" s="49"/>
      <c r="I20" s="49"/>
      <c r="J20" s="49" t="s">
        <v>214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214</v>
      </c>
      <c r="AC20" s="49" t="s">
        <v>214</v>
      </c>
      <c r="AD20" s="49" t="s">
        <v>214</v>
      </c>
      <c r="AE20" s="49" t="s">
        <v>214</v>
      </c>
      <c r="AF20" s="49" t="s">
        <v>214</v>
      </c>
      <c r="AG20" s="49" t="s">
        <v>214</v>
      </c>
      <c r="AH20" s="50"/>
      <c r="AI20" s="49" t="s">
        <v>214</v>
      </c>
      <c r="AJ20" s="49" t="s">
        <v>214</v>
      </c>
      <c r="AK20" s="49" t="s">
        <v>214</v>
      </c>
      <c r="AL20" s="49" t="s">
        <v>214</v>
      </c>
      <c r="AM20" s="49" t="s">
        <v>214</v>
      </c>
      <c r="AN20" s="49" t="s">
        <v>214</v>
      </c>
      <c r="AO20" s="49" t="s">
        <v>214</v>
      </c>
      <c r="AP20" s="49"/>
      <c r="AQ20" s="51"/>
      <c r="AR20" s="52" t="s">
        <v>282</v>
      </c>
      <c r="AS20" s="46" t="s">
        <v>216</v>
      </c>
      <c r="AT20" s="53" t="s">
        <v>217</v>
      </c>
      <c r="AU20" s="54">
        <v>42972</v>
      </c>
      <c r="AV20" s="105">
        <v>43097</v>
      </c>
      <c r="AW20" s="56" t="s">
        <v>218</v>
      </c>
      <c r="AX20" s="57" t="s">
        <v>218</v>
      </c>
      <c r="AY20" s="58"/>
      <c r="AZ20" s="58" t="s">
        <v>219</v>
      </c>
      <c r="BA20" s="58">
        <v>20</v>
      </c>
      <c r="BB20" s="58">
        <v>10000</v>
      </c>
      <c r="BC20" s="59" t="s">
        <v>220</v>
      </c>
      <c r="BD20" s="60" t="s">
        <v>221</v>
      </c>
      <c r="BE20" s="58" t="s">
        <v>213</v>
      </c>
      <c r="BF20" s="51" t="s">
        <v>213</v>
      </c>
      <c r="BG20" s="45" t="s">
        <v>282</v>
      </c>
      <c r="BH20" s="61" t="s">
        <v>222</v>
      </c>
      <c r="BI20" s="62" t="str">
        <f>IF(ISERROR(VLOOKUP(BH20,[8]PLANOS!B:C,2,0)),"",VLOOKUP(BH20,[8]PLANOS!B:C,2,0))</f>
        <v>PCS-4P6pi</v>
      </c>
      <c r="BJ20" s="63">
        <v>50.1</v>
      </c>
      <c r="BK20" s="64">
        <f>IF(BJ20=0,"",IF(BJ20=VLOOKUP("FIXO",[8]ARBOR!$A:$C,3,0),0.0001,IF(BJ20&gt;VLOOKUP("FIXO",[8]ARBOR!$A:$C,3,0),"Maior que CAP!",IF((DOLLAR(BJ20+(VLOOKUP("FIXO",[8]ARBOR!$A:$C,3,0)*-TRUNC(BJ20/VLOOKUP("FIXO",[8]ARBOR!$A:$C,3,0)-1,4)),6))&lt;&gt;(DOLLAR(VLOOKUP("FIXO",[8]ARBOR!$A:$C,3,0),6)),-TRUNC(BJ20/VLOOKUP("FIXO",[8]ARBOR!$A:$C,3,0)-1,4)+0.0001,-TRUNC(BJ20/VLOOKUP("FIXO",[8]ARBOR!$A:$C,3,0)-1,4)))))</f>
        <v>0.33939999999999998</v>
      </c>
      <c r="BL20" s="65" t="str">
        <f>IF(ISERROR(IF(BK20="","",VLOOKUP(($BH20&amp;BK20&amp;"Template de desconto FLAT bundle - Fixo - Varejo - Ganho Tributário Cross"),[8]BENEFICIOS!$A:$E,5,0))),"Criar",IF(BK20="","",VLOOKUP(($BH20&amp;BK20&amp;"Template de desconto FLAT bundle - Fixo - Varejo - Ganho Tributário Cross"),[8]BENEFICIOS!$A:$E,5,0)))</f>
        <v>MKT-1-9856472058</v>
      </c>
      <c r="BM20" s="66"/>
      <c r="BN20" s="67"/>
      <c r="BO20" s="104" t="s">
        <v>240</v>
      </c>
      <c r="BP20" s="69">
        <v>44.9</v>
      </c>
      <c r="BQ20" s="64">
        <f>IF(BP20=0,"",IF(BP20=VLOOKUP("PCS-30874g",[8]ARBOR!$A:$C,3,0),0.0001,IF(BP20&gt;VLOOKUP("PCS-30874g",[8]ARBOR!$A:$C,3,0),"Maior que CAP!",IF((DOLLAR(BP20+(VLOOKUP("PCS-30874g",[8]ARBOR!$A:$C,3,0)*-TRUNC(BP20/VLOOKUP("PCS-30874g",[8]ARBOR!$A:$C,3,0)-1,4)),6))&lt;&gt;(DOLLAR(VLOOKUP("PCS-30874g",[8]ARBOR!$A:$C,3,0),6)),-TRUNC(BP20/VLOOKUP("PCS-30874g",[8]ARBOR!$A:$C,3,0)-1,4)+0.0001,-TRUNC(BP20/VLOOKUP("PCS-30874g",[8]ARBOR!$A:$C,3,0)-1,4)))))</f>
        <v>0.53679999999999994</v>
      </c>
      <c r="BR20" s="65" t="str">
        <f>IF(ISERROR(IF(BQ20="","",VLOOKUP(($BH20&amp;BQ20&amp;"Template de desconto FLAT bundle - Velox XDSL - Varejo"),[8]BENEFICIOS!$A:$E,5,0))),"Criar",IF(BQ20="","",VLOOKUP(($BH20&amp;BQ20&amp;"Template de desconto FLAT bundle - Velox XDSL - Varejo"),[8]BENEFICIOS!$A:$E,5,0)))</f>
        <v>MKT-1-9865126733</v>
      </c>
      <c r="BS20" s="104" t="s">
        <v>240</v>
      </c>
      <c r="BT20" s="69">
        <v>44.9</v>
      </c>
      <c r="BU20" s="64">
        <f>IF(BT20=0,"",IF(BT20=VLOOKUP("PCS-30577g",[8]ARBOR!$A:$C,3,0),0.0001,IF(BT20&gt;VLOOKUP("PCS-30577g",[8]ARBOR!$A:$C,3,0),"Maior que CAP!",IF((DOLLAR(BT20+(VLOOKUP("PCS-30577g",[8]ARBOR!$A:$C,3,0)*-TRUNC(BT20/VLOOKUP("PCS-30577g",[8]ARBOR!$A:$C,3,0)-1,4)),6))&lt;&gt;(DOLLAR(VLOOKUP("PCS-30577g",[8]ARBOR!$A:$C,3,0),6)),-TRUNC(BT20/VLOOKUP("PCS-30577g",[8]ARBOR!$A:$C,3,0)-1,4)+0.0001,-TRUNC(BT20/VLOOKUP("PCS-30577g",[8]ARBOR!$A:$C,3,0)-1,4)))))</f>
        <v>0.53679999999999994</v>
      </c>
      <c r="BV20" s="65" t="str">
        <f>IF(ISERROR(IF(BU20="","",VLOOKUP(($BH20&amp;BU20&amp;"Template de desconto FLAT bundle - Velox XDSL - Varejo"),[8]BENEFICIOS!$A:$E,5,0))),"Criar",IF(BU20="","",VLOOKUP(($BH20&amp;BU20&amp;"Template de desconto FLAT bundle - Velox XDSL - Varejo"),[8]BENEFICIOS!$A:$E,5,0)))</f>
        <v>MKT-1-9865126733</v>
      </c>
      <c r="BW20" s="104" t="s">
        <v>240</v>
      </c>
      <c r="BX20" s="69">
        <v>44.9</v>
      </c>
      <c r="BY20" s="64">
        <f>IF(BX20=0,"",IF(BX20=VLOOKUP("PCS-30604g",[8]ARBOR!$A:$C,3,0),0.0001,IF(BX20&gt;VLOOKUP("PCS-30604g",[8]ARBOR!$A:$C,3,0),"Maior que CAP!",IF((DOLLAR(BX20+(VLOOKUP("PCS-30604g",[8]ARBOR!$A:$C,3,0)*-TRUNC(BX20/VLOOKUP("PCS-30604g",[8]ARBOR!$A:$C,3,0)-1,4)),6))&lt;&gt;(DOLLAR(VLOOKUP("PCS-30604g",[8]ARBOR!$A:$C,3,0),6)),-TRUNC(BX20/VLOOKUP("PCS-30604g",[8]ARBOR!$A:$C,3,0)-1,4)+0.0001,-TRUNC(BX20/VLOOKUP("PCS-30604g",[8]ARBOR!$A:$C,3,0)-1,4)))))</f>
        <v>0.53679999999999994</v>
      </c>
      <c r="BZ20" s="65" t="str">
        <f>IF(ISERROR(IF(BY20="","",VLOOKUP(($BH20&amp;BY20&amp;"Template de desconto FLAT bundle - Velox XDSL - Varejo"),[8]BENEFICIOS!$A:$E,5,0))),"Criar",IF(BY20="","",VLOOKUP(($BH20&amp;BY20&amp;"Template de desconto FLAT bundle - Velox XDSL - Varejo"),[8]BENEFICIOS!$A:$E,5,0)))</f>
        <v>MKT-1-9865126733</v>
      </c>
      <c r="CA20" s="104" t="s">
        <v>240</v>
      </c>
      <c r="CB20" s="69">
        <v>44.9</v>
      </c>
      <c r="CC20" s="64">
        <f>IF(CB20=0,"",IF(CB20=VLOOKUP("PCS-30631g",[8]ARBOR!$A:$C,3,0),0.0001,IF(CB20&gt;VLOOKUP("PCS-30631g",[8]ARBOR!$A:$C,3,0),"Maior que CAP!",IF((DOLLAR(CB20+(VLOOKUP("PCS-30631g",[8]ARBOR!$A:$C,3,0)*-TRUNC(CB20/VLOOKUP("PCS-30631g",[8]ARBOR!$A:$C,3,0)-1,4)),6))&lt;&gt;(DOLLAR(VLOOKUP("PCS-30631g",[8]ARBOR!$A:$C,3,0),6)),-TRUNC(CB20/VLOOKUP("PCS-30631g",[8]ARBOR!$A:$C,3,0)-1,4)+0.0001,-TRUNC(CB20/VLOOKUP("PCS-30631g",[8]ARBOR!$A:$C,3,0)-1,4)))))</f>
        <v>0.54310000000000003</v>
      </c>
      <c r="CD20" s="65" t="str">
        <f>IF(ISERROR(IF(CC20="","",VLOOKUP(($BH20&amp;CC20&amp;"Template de desconto FLAT bundle - Velox XDSL - Varejo"),[8]BENEFICIOS!$A:$E,5,0))),"Criar",IF(CC20="","",VLOOKUP(($BH20&amp;CC20&amp;"Template de desconto FLAT bundle - Velox XDSL - Varejo"),[8]BENEFICIOS!$A:$E,5,0)))</f>
        <v>MKT-1-9865126826</v>
      </c>
      <c r="CE20" s="68" t="s">
        <v>161</v>
      </c>
      <c r="CF20" s="69">
        <v>49.9</v>
      </c>
      <c r="CG20" s="64">
        <f>IF(CF20=0,"",IF(CF20=VLOOKUP("PCS-30658g",[8]ARBOR!$A:$C,3,0),0.0001,IF(CF20&gt;VLOOKUP("PCS-30658g",[8]ARBOR!$A:$C,3,0),"Maior que CAP!",IF((DOLLAR(CF20+(VLOOKUP("PCS-30658g",[8]ARBOR!$A:$C,3,0)*-TRUNC(CF20/VLOOKUP("PCS-30658g",[8]ARBOR!$A:$C,3,0)-1,4)),6))&lt;&gt;(DOLLAR(VLOOKUP("PCS-30658g",[8]ARBOR!$A:$C,3,0),6)),-TRUNC(CF20/VLOOKUP("PCS-30658g",[8]ARBOR!$A:$C,3,0)-1,4)+0.0001,-TRUNC(CF20/VLOOKUP("PCS-30658g",[8]ARBOR!$A:$C,3,0)-1,4)))))</f>
        <v>0.55569999999999997</v>
      </c>
      <c r="CH20" s="65" t="str">
        <f>IF(ISERROR(IF(CG20="","",VLOOKUP(($BH20&amp;CG20&amp;"Template de desconto FLAT bundle - Velox XDSL - Varejo"),[8]BENEFICIOS!$A:$E,5,0))),"Criar",IF(CG20="","",VLOOKUP(($BH20&amp;CG20&amp;"Template de desconto FLAT bundle - Velox XDSL - Varejo"),[8]BENEFICIOS!$A:$E,5,0)))</f>
        <v>MKT-1-9865126919</v>
      </c>
      <c r="CI20" s="68" t="s">
        <v>161</v>
      </c>
      <c r="CJ20" s="69">
        <v>49.9</v>
      </c>
      <c r="CK20" s="64">
        <f>IF(CJ20=0,"",IF(CJ20=VLOOKUP("PCS-30685g",[8]ARBOR!$A:$C,3,0),0.0001,IF(CJ20&gt;VLOOKUP("PCS-30685g",[8]ARBOR!$A:$C,3,0),"Maior que CAP!",IF((DOLLAR(CJ20+(VLOOKUP("PCS-30685g",[8]ARBOR!$A:$C,3,0)*-TRUNC(CJ20/VLOOKUP("PCS-30685g",[8]ARBOR!$A:$C,3,0)-1,4)),6))&lt;&gt;(DOLLAR(VLOOKUP("PCS-30685g",[8]ARBOR!$A:$C,3,0),6)),-TRUNC(CJ20/VLOOKUP("PCS-30685g",[8]ARBOR!$A:$C,3,0)-1,4)+0.0001,-TRUNC(CJ20/VLOOKUP("PCS-30685g",[8]ARBOR!$A:$C,3,0)-1,4)))))</f>
        <v>0.60509999999999997</v>
      </c>
      <c r="CL20" s="65" t="str">
        <f>IF(ISERROR(IF(CK20="","",VLOOKUP(($BH20&amp;CK20&amp;"Template de desconto FLAT bundle - Velox XDSL - Varejo"),[8]BENEFICIOS!$A:$E,5,0))),"Criar",IF(CK20="","",VLOOKUP(($BH20&amp;CK20&amp;"Template de desconto FLAT bundle - Velox XDSL - Varejo"),[8]BENEFICIOS!$A:$E,5,0)))</f>
        <v>MKT-1-9865694381</v>
      </c>
      <c r="CM20" s="68" t="s">
        <v>161</v>
      </c>
      <c r="CN20" s="69">
        <v>49.9</v>
      </c>
      <c r="CO20" s="64">
        <f>IF(CN20=0,"",IF(CN20=VLOOKUP("PCS-30712g",[8]ARBOR!$A:$C,3,0),0.0001,IF(CN20&gt;VLOOKUP("PCS-30712g",[8]ARBOR!$A:$C,3,0),"Maior que CAP!",IF((DOLLAR(CN20+(VLOOKUP("PCS-30712g",[8]ARBOR!$A:$C,3,0)*-TRUNC(CN20/VLOOKUP("PCS-30712g",[8]ARBOR!$A:$C,3,0)-1,4)),6))&lt;&gt;(DOLLAR(VLOOKUP("PCS-30712g",[8]ARBOR!$A:$C,3,0),6)),-TRUNC(CN20/VLOOKUP("PCS-30712g",[8]ARBOR!$A:$C,3,0)-1,4)+0.0001,-TRUNC(CN20/VLOOKUP("PCS-30712g",[8]ARBOR!$A:$C,3,0)-1,4)))))</f>
        <v>0.64459999999999995</v>
      </c>
      <c r="CP20" s="65" t="str">
        <f>IF(ISERROR(IF(CO20="","",VLOOKUP(($BH20&amp;CO20&amp;"Template de desconto FLAT bundle - Velox XDSL - Varejo"),[8]BENEFICIOS!$A:$E,5,0))),"Criar",IF(CO20="","",VLOOKUP(($BH20&amp;CO20&amp;"Template de desconto FLAT bundle - Velox XDSL - Varejo"),[8]BENEFICIOS!$A:$E,5,0)))</f>
        <v>MKT-1-9865191105</v>
      </c>
      <c r="CQ20" s="68" t="s">
        <v>161</v>
      </c>
      <c r="CR20" s="69">
        <v>59.9</v>
      </c>
      <c r="CS20" s="64">
        <f>IF(CR20=0,"",IF(CR20=VLOOKUP("PCS-30739g",[8]ARBOR!$A:$C,3,0),0.0001,IF(CR20&gt;VLOOKUP("PCS-30739g",[8]ARBOR!$A:$C,3,0),"Maior que CAP!",IF((DOLLAR(CR20+(VLOOKUP("PCS-30739g",[8]ARBOR!$A:$C,3,0)*-TRUNC(CR20/VLOOKUP("PCS-30739g",[8]ARBOR!$A:$C,3,0)-1,4)),6))&lt;&gt;(DOLLAR(VLOOKUP("PCS-30739g",[8]ARBOR!$A:$C,3,0),6)),-TRUNC(CR20/VLOOKUP("PCS-30739g",[8]ARBOR!$A:$C,3,0)-1,4)+0.0001,-TRUNC(CR20/VLOOKUP("PCS-30739g",[8]ARBOR!$A:$C,3,0)-1,4)))))</f>
        <v>0.71560000000000001</v>
      </c>
      <c r="CT20" s="65" t="str">
        <f>IF(ISERROR(IF(CS20="","",VLOOKUP(($BH20&amp;CS20&amp;"Template de desconto FLAT bundle - Velox XDSL - Varejo"),[8]BENEFICIOS!$A:$E,5,0))),"Criar",IF(CS20="","",VLOOKUP(($BH20&amp;CS20&amp;"Template de desconto FLAT bundle - Velox XDSL - Varejo"),[8]BENEFICIOS!$A:$E,5,0)))</f>
        <v>MKT-1-9865191198</v>
      </c>
      <c r="CU20" s="69"/>
      <c r="CV20" s="70"/>
      <c r="CW20" s="64"/>
      <c r="CX20" s="65"/>
      <c r="CY20" s="68" t="s">
        <v>161</v>
      </c>
      <c r="CZ20" s="69">
        <v>59.9</v>
      </c>
      <c r="DA20" s="64">
        <f>IF(CZ20=0,"",IF(CZ20=VLOOKUP("PCS-30766g",[8]ARBOR!$A:$C,3,0),0.0001,IF(CZ20&gt;VLOOKUP("PCS-30766g",[8]ARBOR!$A:$C,3,0),"Maior que CAP!",IF((DOLLAR(CZ20+(VLOOKUP("PCS-30766g",[8]ARBOR!$A:$C,3,0)*-TRUNC(CZ20/VLOOKUP("PCS-30766g",[8]ARBOR!$A:$C,3,0)-1,4)),6))&lt;&gt;(DOLLAR(VLOOKUP("PCS-30766g",[8]ARBOR!$A:$C,3,0),6)),-TRUNC(CZ20/VLOOKUP("PCS-30766g",[8]ARBOR!$A:$C,3,0)-1,4)+0.0001,-TRUNC(CZ20/VLOOKUP("PCS-30766g",[8]ARBOR!$A:$C,3,0)-1,4)))))</f>
        <v>0.78669999999999995</v>
      </c>
      <c r="DB20" s="65" t="str">
        <f>IF(ISERROR(IF(DA20="","",VLOOKUP(($BH20&amp;DA20&amp;"Template de desconto FLAT bundle - Velox XDSL - Varejo"),[8]BENEFICIOS!$A:$E,5,0))),"Criar",IF(DA20="","",VLOOKUP(($BH20&amp;DA20&amp;"Template de desconto FLAT bundle - Velox XDSL - Varejo"),[8]BENEFICIOS!$A:$E,5,0)))</f>
        <v>MKT-1-9865191291</v>
      </c>
      <c r="DC20" s="69"/>
      <c r="DD20" s="70"/>
      <c r="DE20" s="64"/>
      <c r="DF20" s="65"/>
      <c r="DG20" s="68" t="s">
        <v>240</v>
      </c>
      <c r="DH20" s="69">
        <v>69.900000000000006</v>
      </c>
      <c r="DI20" s="64">
        <f>IF(DH20=0,"",IF(DH20=VLOOKUP("PCS-30793g",[8]ARBOR!$A:$C,3,0),0.0001,IF(DH20&gt;VLOOKUP("PCS-30793g",[8]ARBOR!$A:$C,3,0),"Maior que CAP!",IF((DOLLAR(DH20+(VLOOKUP("PCS-30793g",[8]ARBOR!$A:$C,3,0)*-TRUNC(DH20/VLOOKUP("PCS-30793g",[8]ARBOR!$A:$C,3,0)-1,4)),6))&lt;&gt;(DOLLAR(VLOOKUP("PCS-30793g",[8]ARBOR!$A:$C,3,0),6)),-TRUNC(DH20/VLOOKUP("PCS-30793g",[8]ARBOR!$A:$C,3,0)-1,4)+0.0001,-TRUNC(DH20/VLOOKUP("PCS-30793g",[8]ARBOR!$A:$C,3,0)-1,4)))))</f>
        <v>0.75109999999999999</v>
      </c>
      <c r="DJ20" s="65" t="str">
        <f>IF(ISERROR(IF(DI20="","",VLOOKUP(($BH20&amp;DI20&amp;"Template de desconto FLAT bundle - Velox XDSL - Varejo"),[8]BENEFICIOS!$A:$E,5,0))),"Criar",IF(DI20="","",VLOOKUP(($BH20&amp;DI20&amp;"Template de desconto FLAT bundle - Velox XDSL - Varejo"),[8]BENEFICIOS!$A:$E,5,0)))</f>
        <v>MKT-1-9865191384</v>
      </c>
      <c r="DK20" s="69"/>
      <c r="DL20" s="70"/>
      <c r="DM20" s="64"/>
      <c r="DN20" s="65"/>
      <c r="DO20" s="68" t="s">
        <v>161</v>
      </c>
      <c r="DP20" s="69">
        <v>69.900000000000006</v>
      </c>
      <c r="DQ20" s="64">
        <f>IF(DP20=0,"",IF(DP20=VLOOKUP("PCS-30820g",[8]ARBOR!$A:$C,3,0),0.0001,IF(DP20&gt;VLOOKUP("PCS-30820g",[8]ARBOR!$A:$C,3,0),"Maior que CAP!",IF((DOLLAR(DP20+(VLOOKUP("PCS-30820g",[8]ARBOR!$A:$C,3,0)*-TRUNC(DP20/VLOOKUP("PCS-30820g",[8]ARBOR!$A:$C,3,0)-1,4)),6))&lt;&gt;(DOLLAR(VLOOKUP("PCS-30820g",[8]ARBOR!$A:$C,3,0),6)),-TRUNC(DP20/VLOOKUP("PCS-30820g",[8]ARBOR!$A:$C,3,0)-1,4)+0.0001,-TRUNC(DP20/VLOOKUP("PCS-30820g",[8]ARBOR!$A:$C,3,0)-1,4)))))</f>
        <v>0.75109999999999999</v>
      </c>
      <c r="DR20" s="65" t="str">
        <f>IF(ISERROR(IF(DQ20="","",VLOOKUP(($BH20&amp;DQ20&amp;"Template de desconto FLAT bundle - Velox XDSL - Varejo"),[8]BENEFICIOS!$A:$E,5,0))),"Criar",IF(DQ20="","",VLOOKUP(($BH20&amp;DQ20&amp;"Template de desconto FLAT bundle - Velox XDSL - Varejo"),[8]BENEFICIOS!$A:$E,5,0)))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IF(DW20=0,"",IF(DW20=VLOOKUP("PCS-21448p2",[8]ARBOR!$A:$C,3,0),0.0001,IF(DW20&gt;VLOOKUP("PCS-21448p2",[8]ARBOR!$A:$C,3,0),"Maior que CAP!",IF((DOLLAR(DW20+(VLOOKUP("PCS-21448p2",[8]ARBOR!$A:$C,3,0)*-TRUNC(DW20/VLOOKUP("PCS-21448p2",[8]ARBOR!$A:$C,3,0)-1,4)),6))&lt;&gt;(DOLLAR(VLOOKUP("PCS-21448p2",[8]ARBOR!$A:$C,3,0),6)),-TRUNC(DW20/VLOOKUP("PCS-21448p2",[8]ARBOR!$A:$C,3,0)-1,4)+0.0001,-TRUNC(DW20/VLOOKUP("PCS-21448p2",[8]ARBOR!$A:$C,3,0)-1,4)))))</f>
        <v/>
      </c>
      <c r="DY20" s="65" t="str">
        <f>IF(ISERROR(IF(DX20="","",VLOOKUP(("Oi Conta Total Plug 10GB Downgrade"&amp;DX20&amp;"Template de desconto percentual BL Móvel - Internet Total - Varejo"),[8]BENEFICIOS!$A:$E,5,0))),"Criar",IF(DX20="","",VLOOKUP(("Oi Conta Total Plug 10GB Downgrade"&amp;DX20&amp;"Template de desconto percentual BL Móvel - Internet Total - Varejo"),[8]BENEFICIOS!$A:$E,5,0)))</f>
        <v/>
      </c>
      <c r="DZ20" s="71">
        <v>19.899999999999999</v>
      </c>
      <c r="EA20" s="72">
        <f>IF(DZ20=0,"",IF(DZ20=VLOOKUP("SVA",[8]ARBOR!$A:$C,3,0),0.0001,IF(DZ20&gt;VLOOKUP("SVA",[8]ARBOR!$A:$C,3,0),"Maior que CAP!",IF((DOLLAR(DZ20+(VLOOKUP("SVA",[8]ARBOR!$A:$C,3,0)*-TRUNC(DZ20/VLOOKUP("SVA",[8]ARBOR!$A:$C,3,0)-1,4)),6))&lt;&gt;(DOLLAR(VLOOKUP("SVA",[8]ARBOR!$A:$C,3,0),6)),-TRUNC(DZ20/VLOOKUP("SVA",[8]ARBOR!$A:$C,3,0)-1,4)+0.0001,-TRUNC(DZ20/VLOOKUP("SVA",[8]ARBOR!$A:$C,3,0)-1,4)))))</f>
        <v>7.1400000000000005E-2</v>
      </c>
      <c r="EB20" s="65" t="s">
        <v>241</v>
      </c>
      <c r="EC20" s="69"/>
      <c r="ED20" s="73"/>
      <c r="EE20" s="74"/>
      <c r="EF20" s="65"/>
      <c r="EG20" s="75">
        <f>IF(BI20="","",VLOOKUP(BI20,[8]ARBOR!A:C,3,0))</f>
        <v>479.46</v>
      </c>
      <c r="EH20" s="69">
        <v>15</v>
      </c>
      <c r="EI20" s="76">
        <f>IF(EH20="","",1-(EH20/VLOOKUP(BI20&amp;"ASS",[8]ARBOR!A:C,3,0)))</f>
        <v>0.34725848563968664</v>
      </c>
      <c r="EJ20" s="77" t="s">
        <v>224</v>
      </c>
      <c r="EK20" s="78" t="s">
        <v>225</v>
      </c>
      <c r="EL20" s="69">
        <v>125.13000000000001</v>
      </c>
      <c r="EM20" s="64">
        <f>IF(EL20=0,"",IF(EL20=EG20,0.0001,ROUND(1-((EL20+(VLOOKUP(BI20&amp;"ASS",[8]ARBOR!A:C,3,0)-EH20))/EG20),4)))</f>
        <v>0.72240000000000004</v>
      </c>
      <c r="EN20" s="65" t="str">
        <f>IF(ISERROR(IF(EM20="","",VLOOKUP(($BH20&amp;EM20&amp;"Template de desconto percentual FLAT Móvel - Conta Total - Varejo - Ganho Tributário Cross"),[8]BENEFICIOS!$A:$E,5,0))),"Criar",IF(EM20="","",VLOOKUP(($BH20&amp;EM20&amp;"Template de desconto percentual FLAT Móvel - Conta Total - Varejo - Ganho Tributário Cross"),[8]BENEFICIOS!$A:$E,5,0)))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244</v>
      </c>
      <c r="EV20" s="81" t="s">
        <v>251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IF(FC20=0,"",IF(FC20=VLOOKUP("PCS-10357",[8]ARBOR!$A:$C,3,0),0.0001,IF(FC20&gt;VLOOKUP("PCS-10357",[8]ARBOR!$A:$C,3,0),"Maior que CAP!",ROUND(-1*(FC20/VLOOKUP("PCS-10357",[8]ARBOR!$A:$C,3,0)-1),4))))</f>
        <v/>
      </c>
      <c r="FE20" s="84" t="str">
        <f>IF(ISERROR(IF(FD20="","",VLOOKUP(("Oi Internet Pra Celular 1GB"&amp;FD20&amp;"Template Flat Instância Dados"),[8]BENEFICIOS!$A:$E,5,0))),"Criar",IF(FD20="","",VLOOKUP(("Oi Internet Pra Celular 1GB"&amp;FD20&amp;"Template Flat Instância Dados"),[8]BENEFICIOS!$A:$E,5,0)))</f>
        <v/>
      </c>
      <c r="FF20" s="82">
        <v>9.77</v>
      </c>
      <c r="FG20" s="83">
        <f>IF(FF20=0,"",IF(FF20=VLOOKUP("PCS-813565",[8]ARBOR!$A:$C,3,0),0.0001,IF(FF20&gt;VLOOKUP("PCS-813565",[8]ARBOR!$A:$C,3,0),"Maior que CAP!",ROUND(-1*(FF20/VLOOKUP("PCS-813565",[8]ARBOR!$A:$C,3,0)-1),4))))</f>
        <v>0.74260000000000004</v>
      </c>
      <c r="FH20" s="84" t="str">
        <f>IF(ISERROR(IF(FG20="","",VLOOKUP(("Oi Internet Pra Celular 2GB"&amp;FG20&amp;"Template Flat Instância Dados"),[8]BENEFICIOS!$A:$E,5,0))),"Criar",IF(FG20="","",VLOOKUP(("Oi Internet Pra Celular 2GB"&amp;FG20&amp;"Template Flat Instância Dados"),[8]BENEFICIOS!$A:$E,5,0)))</f>
        <v>MKT-1-9870023571</v>
      </c>
      <c r="FI20" s="82"/>
      <c r="FJ20" s="83" t="str">
        <f>IF(FI20=0,"",IF(FI20=VLOOKUP("PCS-7171B",[8]ARBOR!$A:$C,3,0),0.0001,IF(FI20&gt;VLOOKUP("PCS-7171B",[8]ARBOR!$A:$C,3,0),"Maior que CAP!",ROUND(-1*(FI20/VLOOKUP("PCS-7171B",[8]ARBOR!$A:$C,3,0)-1),4))))</f>
        <v/>
      </c>
      <c r="FK20" s="84" t="str">
        <f>IF(ISERROR(IF(FJ20="","",VLOOKUP(("Oi Internet Pra Celular 3GB"&amp;FJ20&amp;"Template Flat Instância Dados"),[8]BENEFICIOS!$A:$E,5,0))),"Criar",IF(FJ20="","",VLOOKUP(("Oi Internet Pra Celular 3GB"&amp;FJ20&amp;"Template Flat Instância Dados"),[8]BENEFICIOS!$A:$E,5,0)))</f>
        <v/>
      </c>
      <c r="FL20" s="82"/>
      <c r="FM20" s="83" t="str">
        <f>IF(FL20=0,"",IF(FL20=VLOOKUP("PCS-51793o08",[8]ARBOR!$A:$C,3,0),0.0001,IF(FL20&gt;VLOOKUP("PCS-51793o08",[8]ARBOR!$A:$C,3,0),"Maior que CAP!",ROUND(-1*(FL20/VLOOKUP("PCS-51793o08",[8]ARBOR!$A:$C,3,0)-1),4))))</f>
        <v/>
      </c>
      <c r="FN20" s="84" t="str">
        <f>IF(ISERROR(IF(FM20="","",VLOOKUP(("Oi Internet Pra Celular 5GB"&amp;FM20&amp;"Template Flat Instância Dados"),[8]BENEFICIOS!$A:$E,5,0))),"Criar",IF(FM20="","",VLOOKUP(("Oi Internet Pra Celular 5GB"&amp;FM20&amp;"Template Flat Instância Dados"),[8]BENEFICIOS!$A:$E,5,0)))</f>
        <v/>
      </c>
      <c r="FO20" s="82"/>
      <c r="FP20" s="83" t="str">
        <f>IF(FO20=0,"",IF(FO20=VLOOKUP("PCS-7171A",[8]ARBOR!$A:$C,3,0),0.0001,IF(FO20&gt;VLOOKUP("PCS-7171A",[8]ARBOR!$A:$C,3,0),"Maior que CAP!",ROUND(-1*(FO20/VLOOKUP("PCS-7171A",[8]ARBOR!$A:$C,3,0)-1),4))))</f>
        <v/>
      </c>
      <c r="FQ20" s="84" t="str">
        <f>IF(ISERROR(IF(FP20="","",VLOOKUP(("Oi Internet Pra Celular 10GB"&amp;FP20&amp;"Template Flat Instância Dados"),[8]BENEFICIOS!$A:$E,5,0))),"Criar",IF(FP20="","",VLOOKUP(("Oi Internet Pra Celular 10GB"&amp;FP20&amp;"Template Flat Instância Dados"),[8]BENEFICIOS!$A:$E,5,0)))</f>
        <v/>
      </c>
      <c r="FR20" s="85">
        <v>0.74219999999999997</v>
      </c>
      <c r="FS20" s="86" t="s">
        <v>246</v>
      </c>
      <c r="FT20" s="48"/>
      <c r="FU20" s="87"/>
      <c r="FV20" s="88" t="s">
        <v>221</v>
      </c>
      <c r="FW20" s="49" t="s">
        <v>226</v>
      </c>
      <c r="FX20" s="89">
        <v>999</v>
      </c>
      <c r="FY20" s="49">
        <v>12</v>
      </c>
      <c r="FZ20" s="90" t="s">
        <v>227</v>
      </c>
      <c r="GA20" s="91" t="str">
        <f t="shared" si="1"/>
        <v>PCS-Fk83324</v>
      </c>
      <c r="GB20" s="92" t="str">
        <f t="shared" si="2"/>
        <v>PCS-SBL553142</v>
      </c>
      <c r="GC20" s="93" t="s">
        <v>228</v>
      </c>
      <c r="GD20" s="90" t="s">
        <v>229</v>
      </c>
      <c r="GE20" s="92" t="s">
        <v>230</v>
      </c>
      <c r="GF20" s="93" t="s">
        <v>231</v>
      </c>
      <c r="GG20" s="90" t="s">
        <v>232</v>
      </c>
      <c r="GH20" s="92" t="s">
        <v>233</v>
      </c>
      <c r="GI20" s="94" t="s">
        <v>234</v>
      </c>
      <c r="GJ20" s="95">
        <f>FF20+EL20+CN20+BJ20</f>
        <v>234.9</v>
      </c>
      <c r="GK20" s="96"/>
      <c r="GL20" s="97" t="s">
        <v>235</v>
      </c>
      <c r="GM20" s="98" t="s">
        <v>272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283</v>
      </c>
      <c r="GX20" s="44" t="s">
        <v>238</v>
      </c>
    </row>
    <row r="21" spans="1:206" s="44" customFormat="1" x14ac:dyDescent="0.35">
      <c r="A21" s="44" t="str">
        <f t="shared" si="0"/>
        <v>Oi Total Fixo + Pós 800 + Banda LargaN23GBMG</v>
      </c>
      <c r="B21" s="45" t="s">
        <v>211</v>
      </c>
      <c r="C21" s="46" t="s">
        <v>127</v>
      </c>
      <c r="D21" s="46" t="s">
        <v>212</v>
      </c>
      <c r="E21" s="47" t="s">
        <v>213</v>
      </c>
      <c r="F21" s="88" t="s">
        <v>214</v>
      </c>
      <c r="G21" s="49"/>
      <c r="H21" s="49"/>
      <c r="I21" s="49"/>
      <c r="J21" s="49" t="s">
        <v>214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214</v>
      </c>
      <c r="AC21" s="49" t="s">
        <v>214</v>
      </c>
      <c r="AD21" s="49" t="s">
        <v>214</v>
      </c>
      <c r="AE21" s="49" t="s">
        <v>214</v>
      </c>
      <c r="AF21" s="49" t="s">
        <v>214</v>
      </c>
      <c r="AG21" s="49" t="s">
        <v>214</v>
      </c>
      <c r="AH21" s="50"/>
      <c r="AI21" s="49" t="s">
        <v>214</v>
      </c>
      <c r="AJ21" s="49" t="s">
        <v>214</v>
      </c>
      <c r="AK21" s="49" t="s">
        <v>214</v>
      </c>
      <c r="AL21" s="49" t="s">
        <v>214</v>
      </c>
      <c r="AM21" s="49" t="s">
        <v>214</v>
      </c>
      <c r="AN21" s="49" t="s">
        <v>214</v>
      </c>
      <c r="AO21" s="49" t="s">
        <v>214</v>
      </c>
      <c r="AP21" s="49"/>
      <c r="AQ21" s="51"/>
      <c r="AR21" s="52" t="s">
        <v>284</v>
      </c>
      <c r="AS21" s="46" t="s">
        <v>216</v>
      </c>
      <c r="AT21" s="53" t="s">
        <v>217</v>
      </c>
      <c r="AU21" s="54">
        <v>42972</v>
      </c>
      <c r="AV21" s="105">
        <v>43097</v>
      </c>
      <c r="AW21" s="56" t="s">
        <v>218</v>
      </c>
      <c r="AX21" s="57" t="s">
        <v>218</v>
      </c>
      <c r="AY21" s="58"/>
      <c r="AZ21" s="58" t="s">
        <v>219</v>
      </c>
      <c r="BA21" s="58">
        <v>20</v>
      </c>
      <c r="BB21" s="58">
        <v>10000</v>
      </c>
      <c r="BC21" s="59" t="s">
        <v>220</v>
      </c>
      <c r="BD21" s="60" t="s">
        <v>221</v>
      </c>
      <c r="BE21" s="58" t="s">
        <v>213</v>
      </c>
      <c r="BF21" s="51" t="s">
        <v>213</v>
      </c>
      <c r="BG21" s="45" t="s">
        <v>284</v>
      </c>
      <c r="BH21" s="61" t="s">
        <v>222</v>
      </c>
      <c r="BI21" s="62" t="str">
        <f>IF(ISERROR(VLOOKUP(BH21,[8]PLANOS!B:C,2,0)),"",VLOOKUP(BH21,[8]PLANOS!B:C,2,0))</f>
        <v>PCS-4P6pi</v>
      </c>
      <c r="BJ21" s="63">
        <v>50.1</v>
      </c>
      <c r="BK21" s="64">
        <f>IF(BJ21=0,"",IF(BJ21=VLOOKUP("FIXO",[8]ARBOR!$A:$C,3,0),0.0001,IF(BJ21&gt;VLOOKUP("FIXO",[8]ARBOR!$A:$C,3,0),"Maior que CAP!",IF((DOLLAR(BJ21+(VLOOKUP("FIXO",[8]ARBOR!$A:$C,3,0)*-TRUNC(BJ21/VLOOKUP("FIXO",[8]ARBOR!$A:$C,3,0)-1,4)),6))&lt;&gt;(DOLLAR(VLOOKUP("FIXO",[8]ARBOR!$A:$C,3,0),6)),-TRUNC(BJ21/VLOOKUP("FIXO",[8]ARBOR!$A:$C,3,0)-1,4)+0.0001,-TRUNC(BJ21/VLOOKUP("FIXO",[8]ARBOR!$A:$C,3,0)-1,4)))))</f>
        <v>0.33939999999999998</v>
      </c>
      <c r="BL21" s="65" t="str">
        <f>IF(ISERROR(IF(BK21="","",VLOOKUP(($BH21&amp;BK21&amp;"Template de desconto FLAT bundle - Fixo - Varejo - Ganho Tributário Cross"),[8]BENEFICIOS!$A:$E,5,0))),"Criar",IF(BK21="","",VLOOKUP(($BH21&amp;BK21&amp;"Template de desconto FLAT bundle - Fixo - Varejo - Ganho Tributário Cross"),[8]BENEFICIOS!$A:$E,5,0)))</f>
        <v>MKT-1-9856472058</v>
      </c>
      <c r="BM21" s="66"/>
      <c r="BN21" s="67"/>
      <c r="BO21" s="68" t="s">
        <v>161</v>
      </c>
      <c r="BP21" s="69">
        <v>44.9</v>
      </c>
      <c r="BQ21" s="64">
        <f>IF(BP21=0,"",IF(BP21=VLOOKUP("PCS-30874g",[8]ARBOR!$A:$C,3,0),0.0001,IF(BP21&gt;VLOOKUP("PCS-30874g",[8]ARBOR!$A:$C,3,0),"Maior que CAP!",IF((DOLLAR(BP21+(VLOOKUP("PCS-30874g",[8]ARBOR!$A:$C,3,0)*-TRUNC(BP21/VLOOKUP("PCS-30874g",[8]ARBOR!$A:$C,3,0)-1,4)),6))&lt;&gt;(DOLLAR(VLOOKUP("PCS-30874g",[8]ARBOR!$A:$C,3,0),6)),-TRUNC(BP21/VLOOKUP("PCS-30874g",[8]ARBOR!$A:$C,3,0)-1,4)+0.0001,-TRUNC(BP21/VLOOKUP("PCS-30874g",[8]ARBOR!$A:$C,3,0)-1,4)))))</f>
        <v>0.53679999999999994</v>
      </c>
      <c r="BR21" s="65" t="str">
        <f>IF(ISERROR(IF(BQ21="","",VLOOKUP(($BH21&amp;BQ21&amp;"Template de desconto FLAT bundle - Velox XDSL - Varejo"),[8]BENEFICIOS!$A:$E,5,0))),"Criar",IF(BQ21="","",VLOOKUP(($BH21&amp;BQ21&amp;"Template de desconto FLAT bundle - Velox XDSL - Varejo"),[8]BENEFICIOS!$A:$E,5,0)))</f>
        <v>MKT-1-9865126733</v>
      </c>
      <c r="BS21" s="68" t="s">
        <v>161</v>
      </c>
      <c r="BT21" s="69">
        <v>44.9</v>
      </c>
      <c r="BU21" s="64">
        <f>IF(BT21=0,"",IF(BT21=VLOOKUP("PCS-30577g",[8]ARBOR!$A:$C,3,0),0.0001,IF(BT21&gt;VLOOKUP("PCS-30577g",[8]ARBOR!$A:$C,3,0),"Maior que CAP!",IF((DOLLAR(BT21+(VLOOKUP("PCS-30577g",[8]ARBOR!$A:$C,3,0)*-TRUNC(BT21/VLOOKUP("PCS-30577g",[8]ARBOR!$A:$C,3,0)-1,4)),6))&lt;&gt;(DOLLAR(VLOOKUP("PCS-30577g",[8]ARBOR!$A:$C,3,0),6)),-TRUNC(BT21/VLOOKUP("PCS-30577g",[8]ARBOR!$A:$C,3,0)-1,4)+0.0001,-TRUNC(BT21/VLOOKUP("PCS-30577g",[8]ARBOR!$A:$C,3,0)-1,4)))))</f>
        <v>0.53679999999999994</v>
      </c>
      <c r="BV21" s="65" t="str">
        <f>IF(ISERROR(IF(BU21="","",VLOOKUP(($BH21&amp;BU21&amp;"Template de desconto FLAT bundle - Velox XDSL - Varejo"),[8]BENEFICIOS!$A:$E,5,0))),"Criar",IF(BU21="","",VLOOKUP(($BH21&amp;BU21&amp;"Template de desconto FLAT bundle - Velox XDSL - Varejo"),[8]BENEFICIOS!$A:$E,5,0)))</f>
        <v>MKT-1-9865126733</v>
      </c>
      <c r="BW21" s="68" t="s">
        <v>161</v>
      </c>
      <c r="BX21" s="69">
        <v>44.9</v>
      </c>
      <c r="BY21" s="64">
        <f>IF(BX21=0,"",IF(BX21=VLOOKUP("PCS-30604g",[8]ARBOR!$A:$C,3,0),0.0001,IF(BX21&gt;VLOOKUP("PCS-30604g",[8]ARBOR!$A:$C,3,0),"Maior que CAP!",IF((DOLLAR(BX21+(VLOOKUP("PCS-30604g",[8]ARBOR!$A:$C,3,0)*-TRUNC(BX21/VLOOKUP("PCS-30604g",[8]ARBOR!$A:$C,3,0)-1,4)),6))&lt;&gt;(DOLLAR(VLOOKUP("PCS-30604g",[8]ARBOR!$A:$C,3,0),6)),-TRUNC(BX21/VLOOKUP("PCS-30604g",[8]ARBOR!$A:$C,3,0)-1,4)+0.0001,-TRUNC(BX21/VLOOKUP("PCS-30604g",[8]ARBOR!$A:$C,3,0)-1,4)))))</f>
        <v>0.53679999999999994</v>
      </c>
      <c r="BZ21" s="65" t="str">
        <f>IF(ISERROR(IF(BY21="","",VLOOKUP(($BH21&amp;BY21&amp;"Template de desconto FLAT bundle - Velox XDSL - Varejo"),[8]BENEFICIOS!$A:$E,5,0))),"Criar",IF(BY21="","",VLOOKUP(($BH21&amp;BY21&amp;"Template de desconto FLAT bundle - Velox XDSL - Varejo"),[8]BENEFICIOS!$A:$E,5,0)))</f>
        <v>MKT-1-9865126733</v>
      </c>
      <c r="CA21" s="68" t="s">
        <v>161</v>
      </c>
      <c r="CB21" s="69">
        <v>44.9</v>
      </c>
      <c r="CC21" s="64">
        <f>IF(CB21=0,"",IF(CB21=VLOOKUP("PCS-30631g",[8]ARBOR!$A:$C,3,0),0.0001,IF(CB21&gt;VLOOKUP("PCS-30631g",[8]ARBOR!$A:$C,3,0),"Maior que CAP!",IF((DOLLAR(CB21+(VLOOKUP("PCS-30631g",[8]ARBOR!$A:$C,3,0)*-TRUNC(CB21/VLOOKUP("PCS-30631g",[8]ARBOR!$A:$C,3,0)-1,4)),6))&lt;&gt;(DOLLAR(VLOOKUP("PCS-30631g",[8]ARBOR!$A:$C,3,0),6)),-TRUNC(CB21/VLOOKUP("PCS-30631g",[8]ARBOR!$A:$C,3,0)-1,4)+0.0001,-TRUNC(CB21/VLOOKUP("PCS-30631g",[8]ARBOR!$A:$C,3,0)-1,4)))))</f>
        <v>0.54310000000000003</v>
      </c>
      <c r="CD21" s="65" t="str">
        <f>IF(ISERROR(IF(CC21="","",VLOOKUP(($BH21&amp;CC21&amp;"Template de desconto FLAT bundle - Velox XDSL - Varejo"),[8]BENEFICIOS!$A:$E,5,0))),"Criar",IF(CC21="","",VLOOKUP(($BH21&amp;CC21&amp;"Template de desconto FLAT bundle - Velox XDSL - Varejo"),[8]BENEFICIOS!$A:$E,5,0)))</f>
        <v>MKT-1-9865126826</v>
      </c>
      <c r="CE21" s="68"/>
      <c r="CF21" s="69"/>
      <c r="CG21" s="64" t="str">
        <f>IF(CF21=0,"",IF(CF21=VLOOKUP("PCS-30658g",[8]ARBOR!$A:$C,3,0),0.0001,IF(CF21&gt;VLOOKUP("PCS-30658g",[8]ARBOR!$A:$C,3,0),"Maior que CAP!",IF((DOLLAR(CF21+(VLOOKUP("PCS-30658g",[8]ARBOR!$A:$C,3,0)*-TRUNC(CF21/VLOOKUP("PCS-30658g",[8]ARBOR!$A:$C,3,0)-1,4)),6))&lt;&gt;(DOLLAR(VLOOKUP("PCS-30658g",[8]ARBOR!$A:$C,3,0),6)),-TRUNC(CF21/VLOOKUP("PCS-30658g",[8]ARBOR!$A:$C,3,0)-1,4)+0.0001,-TRUNC(CF21/VLOOKUP("PCS-30658g",[8]ARBOR!$A:$C,3,0)-1,4)))))</f>
        <v/>
      </c>
      <c r="CH21" s="65" t="str">
        <f>IF(ISERROR(IF(CG21="","",VLOOKUP(($BH21&amp;CG21&amp;"Template de desconto FLAT bundle - Velox XDSL - Varejo"),[8]BENEFICIOS!$A:$E,5,0))),"Criar",IF(CG21="","",VLOOKUP(($BH21&amp;CG21&amp;"Template de desconto FLAT bundle - Velox XDSL - Varejo"),[8]BENEFICIOS!$A:$E,5,0)))</f>
        <v/>
      </c>
      <c r="CI21" s="68"/>
      <c r="CJ21" s="69"/>
      <c r="CK21" s="64" t="str">
        <f>IF(CJ21=0,"",IF(CJ21=VLOOKUP("PCS-30685g",[8]ARBOR!$A:$C,3,0),0.0001,IF(CJ21&gt;VLOOKUP("PCS-30685g",[8]ARBOR!$A:$C,3,0),"Maior que CAP!",IF((DOLLAR(CJ21+(VLOOKUP("PCS-30685g",[8]ARBOR!$A:$C,3,0)*-TRUNC(CJ21/VLOOKUP("PCS-30685g",[8]ARBOR!$A:$C,3,0)-1,4)),6))&lt;&gt;(DOLLAR(VLOOKUP("PCS-30685g",[8]ARBOR!$A:$C,3,0),6)),-TRUNC(CJ21/VLOOKUP("PCS-30685g",[8]ARBOR!$A:$C,3,0)-1,4)+0.0001,-TRUNC(CJ21/VLOOKUP("PCS-30685g",[8]ARBOR!$A:$C,3,0)-1,4)))))</f>
        <v/>
      </c>
      <c r="CL21" s="65" t="str">
        <f>IF(ISERROR(IF(CK21="","",VLOOKUP(($BH21&amp;CK21&amp;"Template de desconto FLAT bundle - Velox XDSL - Varejo"),[8]BENEFICIOS!$A:$E,5,0))),"Criar",IF(CK21="","",VLOOKUP(($BH21&amp;CK21&amp;"Template de desconto FLAT bundle - Velox XDSL - Varejo"),[8]BENEFICIOS!$A:$E,5,0)))</f>
        <v/>
      </c>
      <c r="CM21" s="68"/>
      <c r="CN21" s="69"/>
      <c r="CO21" s="64" t="str">
        <f>IF(CN21=0,"",IF(CN21=VLOOKUP("PCS-30712g",[8]ARBOR!$A:$C,3,0),0.0001,IF(CN21&gt;VLOOKUP("PCS-30712g",[8]ARBOR!$A:$C,3,0),"Maior que CAP!",IF((DOLLAR(CN21+(VLOOKUP("PCS-30712g",[8]ARBOR!$A:$C,3,0)*-TRUNC(CN21/VLOOKUP("PCS-30712g",[8]ARBOR!$A:$C,3,0)-1,4)),6))&lt;&gt;(DOLLAR(VLOOKUP("PCS-30712g",[8]ARBOR!$A:$C,3,0),6)),-TRUNC(CN21/VLOOKUP("PCS-30712g",[8]ARBOR!$A:$C,3,0)-1,4)+0.0001,-TRUNC(CN21/VLOOKUP("PCS-30712g",[8]ARBOR!$A:$C,3,0)-1,4)))))</f>
        <v/>
      </c>
      <c r="CP21" s="65" t="str">
        <f>IF(ISERROR(IF(CO21="","",VLOOKUP(($BH21&amp;CO21&amp;"Template de desconto FLAT bundle - Velox XDSL - Varejo"),[8]BENEFICIOS!$A:$E,5,0))),"Criar",IF(CO21="","",VLOOKUP(($BH21&amp;CO21&amp;"Template de desconto FLAT bundle - Velox XDSL - Varejo"),[8]BENEFICIOS!$A:$E,5,0)))</f>
        <v/>
      </c>
      <c r="CQ21" s="68"/>
      <c r="CR21" s="69"/>
      <c r="CS21" s="64" t="str">
        <f>IF(CR21=0,"",IF(CR21=VLOOKUP("PCS-30739g",[8]ARBOR!$A:$C,3,0),0.0001,IF(CR21&gt;VLOOKUP("PCS-30739g",[8]ARBOR!$A:$C,3,0),"Maior que CAP!",IF((DOLLAR(CR21+(VLOOKUP("PCS-30739g",[8]ARBOR!$A:$C,3,0)*-TRUNC(CR21/VLOOKUP("PCS-30739g",[8]ARBOR!$A:$C,3,0)-1,4)),6))&lt;&gt;(DOLLAR(VLOOKUP("PCS-30739g",[8]ARBOR!$A:$C,3,0),6)),-TRUNC(CR21/VLOOKUP("PCS-30739g",[8]ARBOR!$A:$C,3,0)-1,4)+0.0001,-TRUNC(CR21/VLOOKUP("PCS-30739g",[8]ARBOR!$A:$C,3,0)-1,4)))))</f>
        <v/>
      </c>
      <c r="CT21" s="65" t="str">
        <f>IF(ISERROR(IF(CS21="","",VLOOKUP(($BH21&amp;CS21&amp;"Template de desconto FLAT bundle - Velox XDSL - Varejo"),[8]BENEFICIOS!$A:$E,5,0))),"Criar",IF(CS21="","",VLOOKUP(($BH21&amp;CS21&amp;"Template de desconto FLAT bundle - Velox XDSL - Varejo"),[8]BENEFICIOS!$A:$E,5,0)))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IF(CZ21=0,"",IF(CZ21=VLOOKUP("PCS-30766g",[8]ARBOR!$A:$C,3,0),0.0001,IF(CZ21&gt;VLOOKUP("PCS-30766g",[8]ARBOR!$A:$C,3,0),"Maior que CAP!",IF((DOLLAR(CZ21+(VLOOKUP("PCS-30766g",[8]ARBOR!$A:$C,3,0)*-TRUNC(CZ21/VLOOKUP("PCS-30766g",[8]ARBOR!$A:$C,3,0)-1,4)),6))&lt;&gt;(DOLLAR(VLOOKUP("PCS-30766g",[8]ARBOR!$A:$C,3,0),6)),-TRUNC(CZ21/VLOOKUP("PCS-30766g",[8]ARBOR!$A:$C,3,0)-1,4)+0.0001,-TRUNC(CZ21/VLOOKUP("PCS-30766g",[8]ARBOR!$A:$C,3,0)-1,4)))))</f>
        <v/>
      </c>
      <c r="DB21" s="65" t="str">
        <f>IF(ISERROR(IF(DA21="","",VLOOKUP(($BH21&amp;DA21&amp;"Template de desconto FLAT bundle - Velox XDSL - Varejo"),[8]BENEFICIOS!$A:$E,5,0))),"Criar",IF(DA21="","",VLOOKUP(($BH21&amp;DA21&amp;"Template de desconto FLAT bundle - Velox XDSL - Varejo"),[8]BENEFICIOS!$A:$E,5,0)))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IF(DH21=0,"",IF(DH21=VLOOKUP("PCS-30793g",[8]ARBOR!$A:$C,3,0),0.0001,IF(DH21&gt;VLOOKUP("PCS-30793g",[8]ARBOR!$A:$C,3,0),"Maior que CAP!",IF((DOLLAR(DH21+(VLOOKUP("PCS-30793g",[8]ARBOR!$A:$C,3,0)*-TRUNC(DH21/VLOOKUP("PCS-30793g",[8]ARBOR!$A:$C,3,0)-1,4)),6))&lt;&gt;(DOLLAR(VLOOKUP("PCS-30793g",[8]ARBOR!$A:$C,3,0),6)),-TRUNC(DH21/VLOOKUP("PCS-30793g",[8]ARBOR!$A:$C,3,0)-1,4)+0.0001,-TRUNC(DH21/VLOOKUP("PCS-30793g",[8]ARBOR!$A:$C,3,0)-1,4)))))</f>
        <v/>
      </c>
      <c r="DJ21" s="65" t="str">
        <f>IF(ISERROR(IF(DI21="","",VLOOKUP(($BH21&amp;DI21&amp;"Template de desconto FLAT bundle - Velox XDSL - Varejo"),[8]BENEFICIOS!$A:$E,5,0))),"Criar",IF(DI21="","",VLOOKUP(($BH21&amp;DI21&amp;"Template de desconto FLAT bundle - Velox XDSL - Varejo"),[8]BENEFICIOS!$A:$E,5,0)))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IF(DP21=0,"",IF(DP21=VLOOKUP("PCS-30820g",[8]ARBOR!$A:$C,3,0),0.0001,IF(DP21&gt;VLOOKUP("PCS-30820g",[8]ARBOR!$A:$C,3,0),"Maior que CAP!",IF((DOLLAR(DP21+(VLOOKUP("PCS-30820g",[8]ARBOR!$A:$C,3,0)*-TRUNC(DP21/VLOOKUP("PCS-30820g",[8]ARBOR!$A:$C,3,0)-1,4)),6))&lt;&gt;(DOLLAR(VLOOKUP("PCS-30820g",[8]ARBOR!$A:$C,3,0),6)),-TRUNC(DP21/VLOOKUP("PCS-30820g",[8]ARBOR!$A:$C,3,0)-1,4)+0.0001,-TRUNC(DP21/VLOOKUP("PCS-30820g",[8]ARBOR!$A:$C,3,0)-1,4)))))</f>
        <v/>
      </c>
      <c r="DR21" s="65" t="str">
        <f>IF(ISERROR(IF(DQ21="","",VLOOKUP(($BH21&amp;DQ21&amp;"Template de desconto FLAT bundle - Velox XDSL - Varejo"),[8]BENEFICIOS!$A:$E,5,0))),"Criar",IF(DQ21="","",VLOOKUP(($BH21&amp;DQ21&amp;"Template de desconto FLAT bundle - Velox XDSL - Varejo"),[8]BENEFICIOS!$A:$E,5,0)))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IF(DW21=0,"",IF(DW21=VLOOKUP("PCS-21448p2",[8]ARBOR!$A:$C,3,0),0.0001,IF(DW21&gt;VLOOKUP("PCS-21448p2",[8]ARBOR!$A:$C,3,0),"Maior que CAP!",IF((DOLLAR(DW21+(VLOOKUP("PCS-21448p2",[8]ARBOR!$A:$C,3,0)*-TRUNC(DW21/VLOOKUP("PCS-21448p2",[8]ARBOR!$A:$C,3,0)-1,4)),6))&lt;&gt;(DOLLAR(VLOOKUP("PCS-21448p2",[8]ARBOR!$A:$C,3,0),6)),-TRUNC(DW21/VLOOKUP("PCS-21448p2",[8]ARBOR!$A:$C,3,0)-1,4)+0.0001,-TRUNC(DW21/VLOOKUP("PCS-21448p2",[8]ARBOR!$A:$C,3,0)-1,4)))))</f>
        <v>0.64900000000000002</v>
      </c>
      <c r="DY21" s="65" t="str">
        <f>IF(ISERROR(IF(DX21="","",VLOOKUP(("Oi Conta Total Plug 10GB Downgrade"&amp;DX21&amp;"Template de desconto percentual BL Móvel - Internet Total - Varejo"),[8]BENEFICIOS!$A:$E,5,0))),"Criar",IF(DX21="","",VLOOKUP(("Oi Conta Total Plug 10GB Downgrade"&amp;DX21&amp;"Template de desconto percentual BL Móvel - Internet Total - Varejo"),[8]BENEFICIOS!$A:$E,5,0)))</f>
        <v>MKT-1-9825544790</v>
      </c>
      <c r="DZ21" s="71">
        <v>16.5</v>
      </c>
      <c r="EA21" s="72">
        <f>IF(DZ21=0,"",IF(DZ21=VLOOKUP("SVA",[8]ARBOR!$A:$C,3,0),0.0001,IF(DZ21&gt;VLOOKUP("SVA",[8]ARBOR!$A:$C,3,0),"Maior que CAP!",IF((DOLLAR(DZ21+(VLOOKUP("SVA",[8]ARBOR!$A:$C,3,0)*-TRUNC(DZ21/VLOOKUP("SVA",[8]ARBOR!$A:$C,3,0)-1,4)),6))&lt;&gt;(DOLLAR(VLOOKUP("SVA",[8]ARBOR!$A:$C,3,0),6)),-TRUNC(DZ21/VLOOKUP("SVA",[8]ARBOR!$A:$C,3,0)-1,4)+0.0001,-TRUNC(DZ21/VLOOKUP("SVA",[8]ARBOR!$A:$C,3,0)-1,4)))))</f>
        <v>0.2301</v>
      </c>
      <c r="EB21" s="65" t="s">
        <v>223</v>
      </c>
      <c r="EC21" s="69"/>
      <c r="ED21" s="73"/>
      <c r="EE21" s="74"/>
      <c r="EF21" s="65"/>
      <c r="EG21" s="75">
        <f>IF(BI21="","",VLOOKUP(BI21,[8]ARBOR!A:C,3,0))</f>
        <v>479.46</v>
      </c>
      <c r="EH21" s="69">
        <v>15</v>
      </c>
      <c r="EI21" s="76">
        <f>IF(EH21="","",1-(EH21/VLOOKUP(BI21&amp;"ASS",[8]ARBOR!A:C,3,0)))</f>
        <v>0.34725848563968664</v>
      </c>
      <c r="EJ21" s="77" t="s">
        <v>224</v>
      </c>
      <c r="EK21" s="78" t="s">
        <v>225</v>
      </c>
      <c r="EL21" s="69">
        <v>132.55000000000001</v>
      </c>
      <c r="EM21" s="64">
        <f>IF(EL21=0,"",IF(EL21=EG21,0.0001,ROUND(1-((EL21+(VLOOKUP(BI21&amp;"ASS",[8]ARBOR!A:C,3,0)-EH21))/EG21),4)))</f>
        <v>0.70689999999999997</v>
      </c>
      <c r="EN21" s="65" t="str">
        <f>IF(ISERROR(IF(EM21="","",VLOOKUP(($BH21&amp;EM21&amp;"Template de desconto percentual FLAT Móvel - Conta Total - Varejo - Ganho Tributário Cross"),[8]BENEFICIOS!$A:$E,5,0))),"Criar",IF(EM21="","",VLOOKUP(($BH21&amp;EM21&amp;"Template de desconto percentual FLAT Móvel - Conta Total - Varejo - Ganho Tributário Cross"),[8]BENEFICIOS!$A:$E,5,0)))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244</v>
      </c>
      <c r="EV21" s="81" t="s">
        <v>256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IF(FC21=0,"",IF(FC21=VLOOKUP("PCS-10357",[8]ARBOR!$A:$C,3,0),0.0001,IF(FC21&gt;VLOOKUP("PCS-10357",[8]ARBOR!$A:$C,3,0),"Maior que CAP!",ROUND(-1*(FC21/VLOOKUP("PCS-10357",[8]ARBOR!$A:$C,3,0)-1),4))))</f>
        <v/>
      </c>
      <c r="FE21" s="84" t="str">
        <f>IF(ISERROR(IF(FD21="","",VLOOKUP(("Oi Internet Pra Celular 1GB"&amp;FD21&amp;"Template Flat Instância Dados"),[8]BENEFICIOS!$A:$E,5,0))),"Criar",IF(FD21="","",VLOOKUP(("Oi Internet Pra Celular 1GB"&amp;FD21&amp;"Template Flat Instância Dados"),[8]BENEFICIOS!$A:$E,5,0)))</f>
        <v/>
      </c>
      <c r="FF21" s="82"/>
      <c r="FG21" s="83" t="str">
        <f>IF(FF21=0,"",IF(FF21=VLOOKUP("PCS-813565",[8]ARBOR!$A:$C,3,0),0.0001,IF(FF21&gt;VLOOKUP("PCS-813565",[8]ARBOR!$A:$C,3,0),"Maior que CAP!",ROUND(-1*(FF21/VLOOKUP("PCS-813565",[8]ARBOR!$A:$C,3,0)-1),4))))</f>
        <v/>
      </c>
      <c r="FH21" s="84" t="str">
        <f>IF(ISERROR(IF(FG21="","",VLOOKUP(("Oi Internet Pra Celular 2GB"&amp;FG21&amp;"Template Flat Instância Dados"),[8]BENEFICIOS!$A:$E,5,0))),"Criar",IF(FG21="","",VLOOKUP(("Oi Internet Pra Celular 2GB"&amp;FG21&amp;"Template Flat Instância Dados"),[8]BENEFICIOS!$A:$E,5,0)))</f>
        <v/>
      </c>
      <c r="FI21" s="82">
        <v>12.35</v>
      </c>
      <c r="FJ21" s="83">
        <f>IF(FI21=0,"",IF(FI21=VLOOKUP("PCS-7171B",[8]ARBOR!$A:$C,3,0),0.0001,IF(FI21&gt;VLOOKUP("PCS-7171B",[8]ARBOR!$A:$C,3,0),"Maior que CAP!",ROUND(-1*(FI21/VLOOKUP("PCS-7171B",[8]ARBOR!$A:$C,3,0)-1),4))))</f>
        <v>0.87419999999999998</v>
      </c>
      <c r="FK21" s="84" t="str">
        <f>IF(ISERROR(IF(FJ21="","",VLOOKUP(("Oi Internet Pra Celular 3GB"&amp;FJ21&amp;"Template Flat Instância Dados"),[8]BENEFICIOS!$A:$E,5,0))),"Criar",IF(FJ21="","",VLOOKUP(("Oi Internet Pra Celular 3GB"&amp;FJ21&amp;"Template Flat Instância Dados"),[8]BENEFICIOS!$A:$E,5,0)))</f>
        <v>MKT-1-9870092975</v>
      </c>
      <c r="FL21" s="82"/>
      <c r="FM21" s="83" t="str">
        <f>IF(FL21=0,"",IF(FL21=VLOOKUP("PCS-51793o08",[8]ARBOR!$A:$C,3,0),0.0001,IF(FL21&gt;VLOOKUP("PCS-51793o08",[8]ARBOR!$A:$C,3,0),"Maior que CAP!",ROUND(-1*(FL21/VLOOKUP("PCS-51793o08",[8]ARBOR!$A:$C,3,0)-1),4))))</f>
        <v/>
      </c>
      <c r="FN21" s="84" t="str">
        <f>IF(ISERROR(IF(FM21="","",VLOOKUP(("Oi Internet Pra Celular 5GB"&amp;FM21&amp;"Template Flat Instância Dados"),[8]BENEFICIOS!$A:$E,5,0))),"Criar",IF(FM21="","",VLOOKUP(("Oi Internet Pra Celular 5GB"&amp;FM21&amp;"Template Flat Instância Dados"),[8]BENEFICIOS!$A:$E,5,0)))</f>
        <v/>
      </c>
      <c r="FO21" s="82"/>
      <c r="FP21" s="83" t="str">
        <f>IF(FO21=0,"",IF(FO21=VLOOKUP("PCS-7171A",[8]ARBOR!$A:$C,3,0),0.0001,IF(FO21&gt;VLOOKUP("PCS-7171A",[8]ARBOR!$A:$C,3,0),"Maior que CAP!",ROUND(-1*(FO21/VLOOKUP("PCS-7171A",[8]ARBOR!$A:$C,3,0)-1),4))))</f>
        <v/>
      </c>
      <c r="FQ21" s="84" t="str">
        <f>IF(ISERROR(IF(FP21="","",VLOOKUP(("Oi Internet Pra Celular 10GB"&amp;FP21&amp;"Template Flat Instância Dados"),[8]BENEFICIOS!$A:$E,5,0))),"Criar",IF(FP21="","",VLOOKUP(("Oi Internet Pra Celular 10GB"&amp;FP21&amp;"Template Flat Instância Dados"),[8]BENEFICIOS!$A:$E,5,0)))</f>
        <v/>
      </c>
      <c r="FR21" s="85">
        <v>0.74219999999999997</v>
      </c>
      <c r="FS21" s="86" t="s">
        <v>246</v>
      </c>
      <c r="FT21" s="48"/>
      <c r="FU21" s="87"/>
      <c r="FV21" s="88" t="s">
        <v>221</v>
      </c>
      <c r="FW21" s="49" t="s">
        <v>226</v>
      </c>
      <c r="FX21" s="89">
        <v>999</v>
      </c>
      <c r="FY21" s="49">
        <v>12</v>
      </c>
      <c r="FZ21" s="90" t="s">
        <v>227</v>
      </c>
      <c r="GA21" s="91" t="str">
        <f t="shared" si="1"/>
        <v>PCS-Fk83324</v>
      </c>
      <c r="GB21" s="92" t="str">
        <f t="shared" si="2"/>
        <v>PCS-SBL553142</v>
      </c>
      <c r="GC21" s="93" t="s">
        <v>228</v>
      </c>
      <c r="GD21" s="90" t="s">
        <v>229</v>
      </c>
      <c r="GE21" s="92" t="s">
        <v>230</v>
      </c>
      <c r="GF21" s="93" t="s">
        <v>231</v>
      </c>
      <c r="GG21" s="90" t="s">
        <v>232</v>
      </c>
      <c r="GH21" s="92" t="s">
        <v>233</v>
      </c>
      <c r="GI21" s="94" t="s">
        <v>234</v>
      </c>
      <c r="GJ21" s="95">
        <f>FI21+EL21+DW21+BJ21</f>
        <v>239.9</v>
      </c>
      <c r="GK21" s="96"/>
      <c r="GL21" s="97" t="s">
        <v>235</v>
      </c>
      <c r="GM21" s="98" t="s">
        <v>272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285</v>
      </c>
      <c r="GX21" s="44" t="s">
        <v>238</v>
      </c>
    </row>
    <row r="22" spans="1:206" s="44" customFormat="1" x14ac:dyDescent="0.35">
      <c r="A22" s="44" t="str">
        <f t="shared" si="0"/>
        <v>Oi Total Fixo + Pós 800 + Banda LargaN23GBMG</v>
      </c>
      <c r="B22" s="45" t="s">
        <v>211</v>
      </c>
      <c r="C22" s="46" t="s">
        <v>127</v>
      </c>
      <c r="D22" s="46" t="s">
        <v>212</v>
      </c>
      <c r="E22" s="47" t="s">
        <v>213</v>
      </c>
      <c r="F22" s="88" t="s">
        <v>214</v>
      </c>
      <c r="G22" s="49"/>
      <c r="H22" s="49"/>
      <c r="I22" s="49"/>
      <c r="J22" s="49" t="s">
        <v>214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214</v>
      </c>
      <c r="AC22" s="49" t="s">
        <v>214</v>
      </c>
      <c r="AD22" s="49" t="s">
        <v>214</v>
      </c>
      <c r="AE22" s="49" t="s">
        <v>214</v>
      </c>
      <c r="AF22" s="49" t="s">
        <v>214</v>
      </c>
      <c r="AG22" s="49" t="s">
        <v>214</v>
      </c>
      <c r="AH22" s="50"/>
      <c r="AI22" s="49" t="s">
        <v>214</v>
      </c>
      <c r="AJ22" s="49" t="s">
        <v>214</v>
      </c>
      <c r="AK22" s="49" t="s">
        <v>214</v>
      </c>
      <c r="AL22" s="49" t="s">
        <v>214</v>
      </c>
      <c r="AM22" s="49" t="s">
        <v>214</v>
      </c>
      <c r="AN22" s="49" t="s">
        <v>214</v>
      </c>
      <c r="AO22" s="49" t="s">
        <v>214</v>
      </c>
      <c r="AP22" s="49"/>
      <c r="AQ22" s="51"/>
      <c r="AR22" s="52" t="s">
        <v>286</v>
      </c>
      <c r="AS22" s="46" t="s">
        <v>216</v>
      </c>
      <c r="AT22" s="53" t="s">
        <v>217</v>
      </c>
      <c r="AU22" s="54">
        <v>42972</v>
      </c>
      <c r="AV22" s="105">
        <v>43097</v>
      </c>
      <c r="AW22" s="56" t="s">
        <v>218</v>
      </c>
      <c r="AX22" s="57" t="s">
        <v>218</v>
      </c>
      <c r="AY22" s="58"/>
      <c r="AZ22" s="58" t="s">
        <v>219</v>
      </c>
      <c r="BA22" s="58">
        <v>20</v>
      </c>
      <c r="BB22" s="58">
        <v>10000</v>
      </c>
      <c r="BC22" s="59" t="s">
        <v>220</v>
      </c>
      <c r="BD22" s="60" t="s">
        <v>221</v>
      </c>
      <c r="BE22" s="58" t="s">
        <v>213</v>
      </c>
      <c r="BF22" s="51" t="s">
        <v>213</v>
      </c>
      <c r="BG22" s="45" t="s">
        <v>286</v>
      </c>
      <c r="BH22" s="61" t="s">
        <v>222</v>
      </c>
      <c r="BI22" s="62" t="str">
        <f>IF(ISERROR(VLOOKUP(BH22,[8]PLANOS!B:C,2,0)),"",VLOOKUP(BH22,[8]PLANOS!B:C,2,0))</f>
        <v>PCS-4P6pi</v>
      </c>
      <c r="BJ22" s="63">
        <v>50.1</v>
      </c>
      <c r="BK22" s="64">
        <f>IF(BJ22=0,"",IF(BJ22=VLOOKUP("FIXO",[8]ARBOR!$A:$C,3,0),0.0001,IF(BJ22&gt;VLOOKUP("FIXO",[8]ARBOR!$A:$C,3,0),"Maior que CAP!",IF((DOLLAR(BJ22+(VLOOKUP("FIXO",[8]ARBOR!$A:$C,3,0)*-TRUNC(BJ22/VLOOKUP("FIXO",[8]ARBOR!$A:$C,3,0)-1,4)),6))&lt;&gt;(DOLLAR(VLOOKUP("FIXO",[8]ARBOR!$A:$C,3,0),6)),-TRUNC(BJ22/VLOOKUP("FIXO",[8]ARBOR!$A:$C,3,0)-1,4)+0.0001,-TRUNC(BJ22/VLOOKUP("FIXO",[8]ARBOR!$A:$C,3,0)-1,4)))))</f>
        <v>0.33939999999999998</v>
      </c>
      <c r="BL22" s="65" t="str">
        <f>IF(ISERROR(IF(BK22="","",VLOOKUP(($BH22&amp;BK22&amp;"Template de desconto FLAT bundle - Fixo - Varejo - Ganho Tributário Cross"),[8]BENEFICIOS!$A:$E,5,0))),"Criar",IF(BK22="","",VLOOKUP(($BH22&amp;BK22&amp;"Template de desconto FLAT bundle - Fixo - Varejo - Ganho Tributário Cross"),[8]BENEFICIOS!$A:$E,5,0)))</f>
        <v>MKT-1-9856472058</v>
      </c>
      <c r="BM22" s="66"/>
      <c r="BN22" s="67"/>
      <c r="BO22" s="104" t="s">
        <v>240</v>
      </c>
      <c r="BP22" s="69">
        <v>44.9</v>
      </c>
      <c r="BQ22" s="64">
        <f>IF(BP22=0,"",IF(BP22=VLOOKUP("PCS-30874g",[8]ARBOR!$A:$C,3,0),0.0001,IF(BP22&gt;VLOOKUP("PCS-30874g",[8]ARBOR!$A:$C,3,0),"Maior que CAP!",IF((DOLLAR(BP22+(VLOOKUP("PCS-30874g",[8]ARBOR!$A:$C,3,0)*-TRUNC(BP22/VLOOKUP("PCS-30874g",[8]ARBOR!$A:$C,3,0)-1,4)),6))&lt;&gt;(DOLLAR(VLOOKUP("PCS-30874g",[8]ARBOR!$A:$C,3,0),6)),-TRUNC(BP22/VLOOKUP("PCS-30874g",[8]ARBOR!$A:$C,3,0)-1,4)+0.0001,-TRUNC(BP22/VLOOKUP("PCS-30874g",[8]ARBOR!$A:$C,3,0)-1,4)))))</f>
        <v>0.53679999999999994</v>
      </c>
      <c r="BR22" s="65" t="str">
        <f>IF(ISERROR(IF(BQ22="","",VLOOKUP(($BH22&amp;BQ22&amp;"Template de desconto FLAT bundle - Velox XDSL - Varejo"),[8]BENEFICIOS!$A:$E,5,0))),"Criar",IF(BQ22="","",VLOOKUP(($BH22&amp;BQ22&amp;"Template de desconto FLAT bundle - Velox XDSL - Varejo"),[8]BENEFICIOS!$A:$E,5,0)))</f>
        <v>MKT-1-9865126733</v>
      </c>
      <c r="BS22" s="104" t="s">
        <v>240</v>
      </c>
      <c r="BT22" s="69">
        <v>44.9</v>
      </c>
      <c r="BU22" s="64">
        <f>IF(BT22=0,"",IF(BT22=VLOOKUP("PCS-30577g",[8]ARBOR!$A:$C,3,0),0.0001,IF(BT22&gt;VLOOKUP("PCS-30577g",[8]ARBOR!$A:$C,3,0),"Maior que CAP!",IF((DOLLAR(BT22+(VLOOKUP("PCS-30577g",[8]ARBOR!$A:$C,3,0)*-TRUNC(BT22/VLOOKUP("PCS-30577g",[8]ARBOR!$A:$C,3,0)-1,4)),6))&lt;&gt;(DOLLAR(VLOOKUP("PCS-30577g",[8]ARBOR!$A:$C,3,0),6)),-TRUNC(BT22/VLOOKUP("PCS-30577g",[8]ARBOR!$A:$C,3,0)-1,4)+0.0001,-TRUNC(BT22/VLOOKUP("PCS-30577g",[8]ARBOR!$A:$C,3,0)-1,4)))))</f>
        <v>0.53679999999999994</v>
      </c>
      <c r="BV22" s="65" t="str">
        <f>IF(ISERROR(IF(BU22="","",VLOOKUP(($BH22&amp;BU22&amp;"Template de desconto FLAT bundle - Velox XDSL - Varejo"),[8]BENEFICIOS!$A:$E,5,0))),"Criar",IF(BU22="","",VLOOKUP(($BH22&amp;BU22&amp;"Template de desconto FLAT bundle - Velox XDSL - Varejo"),[8]BENEFICIOS!$A:$E,5,0)))</f>
        <v>MKT-1-9865126733</v>
      </c>
      <c r="BW22" s="104" t="s">
        <v>240</v>
      </c>
      <c r="BX22" s="69">
        <v>44.9</v>
      </c>
      <c r="BY22" s="64">
        <f>IF(BX22=0,"",IF(BX22=VLOOKUP("PCS-30604g",[8]ARBOR!$A:$C,3,0),0.0001,IF(BX22&gt;VLOOKUP("PCS-30604g",[8]ARBOR!$A:$C,3,0),"Maior que CAP!",IF((DOLLAR(BX22+(VLOOKUP("PCS-30604g",[8]ARBOR!$A:$C,3,0)*-TRUNC(BX22/VLOOKUP("PCS-30604g",[8]ARBOR!$A:$C,3,0)-1,4)),6))&lt;&gt;(DOLLAR(VLOOKUP("PCS-30604g",[8]ARBOR!$A:$C,3,0),6)),-TRUNC(BX22/VLOOKUP("PCS-30604g",[8]ARBOR!$A:$C,3,0)-1,4)+0.0001,-TRUNC(BX22/VLOOKUP("PCS-30604g",[8]ARBOR!$A:$C,3,0)-1,4)))))</f>
        <v>0.53679999999999994</v>
      </c>
      <c r="BZ22" s="65" t="str">
        <f>IF(ISERROR(IF(BY22="","",VLOOKUP(($BH22&amp;BY22&amp;"Template de desconto FLAT bundle - Velox XDSL - Varejo"),[8]BENEFICIOS!$A:$E,5,0))),"Criar",IF(BY22="","",VLOOKUP(($BH22&amp;BY22&amp;"Template de desconto FLAT bundle - Velox XDSL - Varejo"),[8]BENEFICIOS!$A:$E,5,0)))</f>
        <v>MKT-1-9865126733</v>
      </c>
      <c r="CA22" s="104" t="s">
        <v>240</v>
      </c>
      <c r="CB22" s="69">
        <v>44.9</v>
      </c>
      <c r="CC22" s="64">
        <f>IF(CB22=0,"",IF(CB22=VLOOKUP("PCS-30631g",[8]ARBOR!$A:$C,3,0),0.0001,IF(CB22&gt;VLOOKUP("PCS-30631g",[8]ARBOR!$A:$C,3,0),"Maior que CAP!",IF((DOLLAR(CB22+(VLOOKUP("PCS-30631g",[8]ARBOR!$A:$C,3,0)*-TRUNC(CB22/VLOOKUP("PCS-30631g",[8]ARBOR!$A:$C,3,0)-1,4)),6))&lt;&gt;(DOLLAR(VLOOKUP("PCS-30631g",[8]ARBOR!$A:$C,3,0),6)),-TRUNC(CB22/VLOOKUP("PCS-30631g",[8]ARBOR!$A:$C,3,0)-1,4)+0.0001,-TRUNC(CB22/VLOOKUP("PCS-30631g",[8]ARBOR!$A:$C,3,0)-1,4)))))</f>
        <v>0.54310000000000003</v>
      </c>
      <c r="CD22" s="65" t="str">
        <f>IF(ISERROR(IF(CC22="","",VLOOKUP(($BH22&amp;CC22&amp;"Template de desconto FLAT bundle - Velox XDSL - Varejo"),[8]BENEFICIOS!$A:$E,5,0))),"Criar",IF(CC22="","",VLOOKUP(($BH22&amp;CC22&amp;"Template de desconto FLAT bundle - Velox XDSL - Varejo"),[8]BENEFICIOS!$A:$E,5,0)))</f>
        <v>MKT-1-9865126826</v>
      </c>
      <c r="CE22" s="68" t="s">
        <v>161</v>
      </c>
      <c r="CF22" s="69">
        <v>49.9</v>
      </c>
      <c r="CG22" s="64">
        <f>IF(CF22=0,"",IF(CF22=VLOOKUP("PCS-30658g",[8]ARBOR!$A:$C,3,0),0.0001,IF(CF22&gt;VLOOKUP("PCS-30658g",[8]ARBOR!$A:$C,3,0),"Maior que CAP!",IF((DOLLAR(CF22+(VLOOKUP("PCS-30658g",[8]ARBOR!$A:$C,3,0)*-TRUNC(CF22/VLOOKUP("PCS-30658g",[8]ARBOR!$A:$C,3,0)-1,4)),6))&lt;&gt;(DOLLAR(VLOOKUP("PCS-30658g",[8]ARBOR!$A:$C,3,0),6)),-TRUNC(CF22/VLOOKUP("PCS-30658g",[8]ARBOR!$A:$C,3,0)-1,4)+0.0001,-TRUNC(CF22/VLOOKUP("PCS-30658g",[8]ARBOR!$A:$C,3,0)-1,4)))))</f>
        <v>0.55569999999999997</v>
      </c>
      <c r="CH22" s="65" t="str">
        <f>IF(ISERROR(IF(CG22="","",VLOOKUP(($BH22&amp;CG22&amp;"Template de desconto FLAT bundle - Velox XDSL - Varejo"),[8]BENEFICIOS!$A:$E,5,0))),"Criar",IF(CG22="","",VLOOKUP(($BH22&amp;CG22&amp;"Template de desconto FLAT bundle - Velox XDSL - Varejo"),[8]BENEFICIOS!$A:$E,5,0)))</f>
        <v>MKT-1-9865126919</v>
      </c>
      <c r="CI22" s="68" t="s">
        <v>161</v>
      </c>
      <c r="CJ22" s="69">
        <v>49.9</v>
      </c>
      <c r="CK22" s="64">
        <f>IF(CJ22=0,"",IF(CJ22=VLOOKUP("PCS-30685g",[8]ARBOR!$A:$C,3,0),0.0001,IF(CJ22&gt;VLOOKUP("PCS-30685g",[8]ARBOR!$A:$C,3,0),"Maior que CAP!",IF((DOLLAR(CJ22+(VLOOKUP("PCS-30685g",[8]ARBOR!$A:$C,3,0)*-TRUNC(CJ22/VLOOKUP("PCS-30685g",[8]ARBOR!$A:$C,3,0)-1,4)),6))&lt;&gt;(DOLLAR(VLOOKUP("PCS-30685g",[8]ARBOR!$A:$C,3,0),6)),-TRUNC(CJ22/VLOOKUP("PCS-30685g",[8]ARBOR!$A:$C,3,0)-1,4)+0.0001,-TRUNC(CJ22/VLOOKUP("PCS-30685g",[8]ARBOR!$A:$C,3,0)-1,4)))))</f>
        <v>0.60509999999999997</v>
      </c>
      <c r="CL22" s="65" t="str">
        <f>IF(ISERROR(IF(CK22="","",VLOOKUP(($BH22&amp;CK22&amp;"Template de desconto FLAT bundle - Velox XDSL - Varejo"),[8]BENEFICIOS!$A:$E,5,0))),"Criar",IF(CK22="","",VLOOKUP(($BH22&amp;CK22&amp;"Template de desconto FLAT bundle - Velox XDSL - Varejo"),[8]BENEFICIOS!$A:$E,5,0)))</f>
        <v>MKT-1-9865694381</v>
      </c>
      <c r="CM22" s="68" t="s">
        <v>161</v>
      </c>
      <c r="CN22" s="69">
        <v>49.9</v>
      </c>
      <c r="CO22" s="64">
        <f>IF(CN22=0,"",IF(CN22=VLOOKUP("PCS-30712g",[8]ARBOR!$A:$C,3,0),0.0001,IF(CN22&gt;VLOOKUP("PCS-30712g",[8]ARBOR!$A:$C,3,0),"Maior que CAP!",IF((DOLLAR(CN22+(VLOOKUP("PCS-30712g",[8]ARBOR!$A:$C,3,0)*-TRUNC(CN22/VLOOKUP("PCS-30712g",[8]ARBOR!$A:$C,3,0)-1,4)),6))&lt;&gt;(DOLLAR(VLOOKUP("PCS-30712g",[8]ARBOR!$A:$C,3,0),6)),-TRUNC(CN22/VLOOKUP("PCS-30712g",[8]ARBOR!$A:$C,3,0)-1,4)+0.0001,-TRUNC(CN22/VLOOKUP("PCS-30712g",[8]ARBOR!$A:$C,3,0)-1,4)))))</f>
        <v>0.64459999999999995</v>
      </c>
      <c r="CP22" s="65" t="str">
        <f>IF(ISERROR(IF(CO22="","",VLOOKUP(($BH22&amp;CO22&amp;"Template de desconto FLAT bundle - Velox XDSL - Varejo"),[8]BENEFICIOS!$A:$E,5,0))),"Criar",IF(CO22="","",VLOOKUP(($BH22&amp;CO22&amp;"Template de desconto FLAT bundle - Velox XDSL - Varejo"),[8]BENEFICIOS!$A:$E,5,0)))</f>
        <v>MKT-1-9865191105</v>
      </c>
      <c r="CQ22" s="68" t="s">
        <v>161</v>
      </c>
      <c r="CR22" s="69">
        <v>59.9</v>
      </c>
      <c r="CS22" s="64">
        <f>IF(CR22=0,"",IF(CR22=VLOOKUP("PCS-30739g",[8]ARBOR!$A:$C,3,0),0.0001,IF(CR22&gt;VLOOKUP("PCS-30739g",[8]ARBOR!$A:$C,3,0),"Maior que CAP!",IF((DOLLAR(CR22+(VLOOKUP("PCS-30739g",[8]ARBOR!$A:$C,3,0)*-TRUNC(CR22/VLOOKUP("PCS-30739g",[8]ARBOR!$A:$C,3,0)-1,4)),6))&lt;&gt;(DOLLAR(VLOOKUP("PCS-30739g",[8]ARBOR!$A:$C,3,0),6)),-TRUNC(CR22/VLOOKUP("PCS-30739g",[8]ARBOR!$A:$C,3,0)-1,4)+0.0001,-TRUNC(CR22/VLOOKUP("PCS-30739g",[8]ARBOR!$A:$C,3,0)-1,4)))))</f>
        <v>0.71560000000000001</v>
      </c>
      <c r="CT22" s="65" t="str">
        <f>IF(ISERROR(IF(CS22="","",VLOOKUP(($BH22&amp;CS22&amp;"Template de desconto FLAT bundle - Velox XDSL - Varejo"),[8]BENEFICIOS!$A:$E,5,0))),"Criar",IF(CS22="","",VLOOKUP(($BH22&amp;CS22&amp;"Template de desconto FLAT bundle - Velox XDSL - Varejo"),[8]BENEFICIOS!$A:$E,5,0)))</f>
        <v>MKT-1-9865191198</v>
      </c>
      <c r="CU22" s="69"/>
      <c r="CV22" s="70"/>
      <c r="CW22" s="64"/>
      <c r="CX22" s="65"/>
      <c r="CY22" s="68" t="s">
        <v>161</v>
      </c>
      <c r="CZ22" s="69">
        <v>59.9</v>
      </c>
      <c r="DA22" s="64">
        <f>IF(CZ22=0,"",IF(CZ22=VLOOKUP("PCS-30766g",[8]ARBOR!$A:$C,3,0),0.0001,IF(CZ22&gt;VLOOKUP("PCS-30766g",[8]ARBOR!$A:$C,3,0),"Maior que CAP!",IF((DOLLAR(CZ22+(VLOOKUP("PCS-30766g",[8]ARBOR!$A:$C,3,0)*-TRUNC(CZ22/VLOOKUP("PCS-30766g",[8]ARBOR!$A:$C,3,0)-1,4)),6))&lt;&gt;(DOLLAR(VLOOKUP("PCS-30766g",[8]ARBOR!$A:$C,3,0),6)),-TRUNC(CZ22/VLOOKUP("PCS-30766g",[8]ARBOR!$A:$C,3,0)-1,4)+0.0001,-TRUNC(CZ22/VLOOKUP("PCS-30766g",[8]ARBOR!$A:$C,3,0)-1,4)))))</f>
        <v>0.78669999999999995</v>
      </c>
      <c r="DB22" s="65" t="str">
        <f>IF(ISERROR(IF(DA22="","",VLOOKUP(($BH22&amp;DA22&amp;"Template de desconto FLAT bundle - Velox XDSL - Varejo"),[8]BENEFICIOS!$A:$E,5,0))),"Criar",IF(DA22="","",VLOOKUP(($BH22&amp;DA22&amp;"Template de desconto FLAT bundle - Velox XDSL - Varejo"),[8]BENEFICIOS!$A:$E,5,0)))</f>
        <v>MKT-1-9865191291</v>
      </c>
      <c r="DC22" s="69"/>
      <c r="DD22" s="70"/>
      <c r="DE22" s="64"/>
      <c r="DF22" s="65"/>
      <c r="DG22" s="68" t="s">
        <v>240</v>
      </c>
      <c r="DH22" s="69">
        <v>69.900000000000006</v>
      </c>
      <c r="DI22" s="64">
        <f>IF(DH22=0,"",IF(DH22=VLOOKUP("PCS-30793g",[8]ARBOR!$A:$C,3,0),0.0001,IF(DH22&gt;VLOOKUP("PCS-30793g",[8]ARBOR!$A:$C,3,0),"Maior que CAP!",IF((DOLLAR(DH22+(VLOOKUP("PCS-30793g",[8]ARBOR!$A:$C,3,0)*-TRUNC(DH22/VLOOKUP("PCS-30793g",[8]ARBOR!$A:$C,3,0)-1,4)),6))&lt;&gt;(DOLLAR(VLOOKUP("PCS-30793g",[8]ARBOR!$A:$C,3,0),6)),-TRUNC(DH22/VLOOKUP("PCS-30793g",[8]ARBOR!$A:$C,3,0)-1,4)+0.0001,-TRUNC(DH22/VLOOKUP("PCS-30793g",[8]ARBOR!$A:$C,3,0)-1,4)))))</f>
        <v>0.75109999999999999</v>
      </c>
      <c r="DJ22" s="65" t="str">
        <f>IF(ISERROR(IF(DI22="","",VLOOKUP(($BH22&amp;DI22&amp;"Template de desconto FLAT bundle - Velox XDSL - Varejo"),[8]BENEFICIOS!$A:$E,5,0))),"Criar",IF(DI22="","",VLOOKUP(($BH22&amp;DI22&amp;"Template de desconto FLAT bundle - Velox XDSL - Varejo"),[8]BENEFICIOS!$A:$E,5,0)))</f>
        <v>MKT-1-9865191384</v>
      </c>
      <c r="DK22" s="69"/>
      <c r="DL22" s="70"/>
      <c r="DM22" s="64"/>
      <c r="DN22" s="65"/>
      <c r="DO22" s="68" t="s">
        <v>161</v>
      </c>
      <c r="DP22" s="69">
        <v>69.900000000000006</v>
      </c>
      <c r="DQ22" s="64">
        <f>IF(DP22=0,"",IF(DP22=VLOOKUP("PCS-30820g",[8]ARBOR!$A:$C,3,0),0.0001,IF(DP22&gt;VLOOKUP("PCS-30820g",[8]ARBOR!$A:$C,3,0),"Maior que CAP!",IF((DOLLAR(DP22+(VLOOKUP("PCS-30820g",[8]ARBOR!$A:$C,3,0)*-TRUNC(DP22/VLOOKUP("PCS-30820g",[8]ARBOR!$A:$C,3,0)-1,4)),6))&lt;&gt;(DOLLAR(VLOOKUP("PCS-30820g",[8]ARBOR!$A:$C,3,0),6)),-TRUNC(DP22/VLOOKUP("PCS-30820g",[8]ARBOR!$A:$C,3,0)-1,4)+0.0001,-TRUNC(DP22/VLOOKUP("PCS-30820g",[8]ARBOR!$A:$C,3,0)-1,4)))))</f>
        <v>0.75109999999999999</v>
      </c>
      <c r="DR22" s="65" t="str">
        <f>IF(ISERROR(IF(DQ22="","",VLOOKUP(($BH22&amp;DQ22&amp;"Template de desconto FLAT bundle - Velox XDSL - Varejo"),[8]BENEFICIOS!$A:$E,5,0))),"Criar",IF(DQ22="","",VLOOKUP(($BH22&amp;DQ22&amp;"Template de desconto FLAT bundle - Velox XDSL - Varejo"),[8]BENEFICIOS!$A:$E,5,0)))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IF(DW22=0,"",IF(DW22=VLOOKUP("PCS-21448p2",[8]ARBOR!$A:$C,3,0),0.0001,IF(DW22&gt;VLOOKUP("PCS-21448p2",[8]ARBOR!$A:$C,3,0),"Maior que CAP!",IF((DOLLAR(DW22+(VLOOKUP("PCS-21448p2",[8]ARBOR!$A:$C,3,0)*-TRUNC(DW22/VLOOKUP("PCS-21448p2",[8]ARBOR!$A:$C,3,0)-1,4)),6))&lt;&gt;(DOLLAR(VLOOKUP("PCS-21448p2",[8]ARBOR!$A:$C,3,0),6)),-TRUNC(DW22/VLOOKUP("PCS-21448p2",[8]ARBOR!$A:$C,3,0)-1,4)+0.0001,-TRUNC(DW22/VLOOKUP("PCS-21448p2",[8]ARBOR!$A:$C,3,0)-1,4)))))</f>
        <v/>
      </c>
      <c r="DY22" s="65" t="str">
        <f>IF(ISERROR(IF(DX22="","",VLOOKUP(("Oi Conta Total Plug 10GB Downgrade"&amp;DX22&amp;"Template de desconto percentual BL Móvel - Internet Total - Varejo"),[8]BENEFICIOS!$A:$E,5,0))),"Criar",IF(DX22="","",VLOOKUP(("Oi Conta Total Plug 10GB Downgrade"&amp;DX22&amp;"Template de desconto percentual BL Móvel - Internet Total - Varejo"),[8]BENEFICIOS!$A:$E,5,0)))</f>
        <v/>
      </c>
      <c r="DZ22" s="71">
        <v>19.899999999999999</v>
      </c>
      <c r="EA22" s="72">
        <f>IF(DZ22=0,"",IF(DZ22=VLOOKUP("SVA",[8]ARBOR!$A:$C,3,0),0.0001,IF(DZ22&gt;VLOOKUP("SVA",[8]ARBOR!$A:$C,3,0),"Maior que CAP!",IF((DOLLAR(DZ22+(VLOOKUP("SVA",[8]ARBOR!$A:$C,3,0)*-TRUNC(DZ22/VLOOKUP("SVA",[8]ARBOR!$A:$C,3,0)-1,4)),6))&lt;&gt;(DOLLAR(VLOOKUP("SVA",[8]ARBOR!$A:$C,3,0),6)),-TRUNC(DZ22/VLOOKUP("SVA",[8]ARBOR!$A:$C,3,0)-1,4)+0.0001,-TRUNC(DZ22/VLOOKUP("SVA",[8]ARBOR!$A:$C,3,0)-1,4)))))</f>
        <v>7.1400000000000005E-2</v>
      </c>
      <c r="EB22" s="65" t="s">
        <v>241</v>
      </c>
      <c r="EC22" s="69"/>
      <c r="ED22" s="73"/>
      <c r="EE22" s="74"/>
      <c r="EF22" s="65"/>
      <c r="EG22" s="75">
        <f>IF(BI22="","",VLOOKUP(BI22,[8]ARBOR!A:C,3,0))</f>
        <v>479.46</v>
      </c>
      <c r="EH22" s="69">
        <v>15</v>
      </c>
      <c r="EI22" s="76">
        <f>IF(EH22="","",1-(EH22/VLOOKUP(BI22&amp;"ASS",[8]ARBOR!A:C,3,0)))</f>
        <v>0.34725848563968664</v>
      </c>
      <c r="EJ22" s="77" t="s">
        <v>224</v>
      </c>
      <c r="EK22" s="78" t="s">
        <v>225</v>
      </c>
      <c r="EL22" s="69">
        <v>132.55000000000001</v>
      </c>
      <c r="EM22" s="64">
        <f>IF(EL22=0,"",IF(EL22=EG22,0.0001,ROUND(1-((EL22+(VLOOKUP(BI22&amp;"ASS",[8]ARBOR!A:C,3,0)-EH22))/EG22),4)))</f>
        <v>0.70689999999999997</v>
      </c>
      <c r="EN22" s="65" t="str">
        <f>IF(ISERROR(IF(EM22="","",VLOOKUP(($BH22&amp;EM22&amp;"Template de desconto percentual FLAT Móvel - Conta Total - Varejo - Ganho Tributário Cross"),[8]BENEFICIOS!$A:$E,5,0))),"Criar",IF(EM22="","",VLOOKUP(($BH22&amp;EM22&amp;"Template de desconto percentual FLAT Móvel - Conta Total - Varejo - Ganho Tributário Cross"),[8]BENEFICIOS!$A:$E,5,0)))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244</v>
      </c>
      <c r="EV22" s="81" t="s">
        <v>256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IF(FC22=0,"",IF(FC22=VLOOKUP("PCS-10357",[8]ARBOR!$A:$C,3,0),0.0001,IF(FC22&gt;VLOOKUP("PCS-10357",[8]ARBOR!$A:$C,3,0),"Maior que CAP!",ROUND(-1*(FC22/VLOOKUP("PCS-10357",[8]ARBOR!$A:$C,3,0)-1),4))))</f>
        <v/>
      </c>
      <c r="FE22" s="84" t="str">
        <f>IF(ISERROR(IF(FD22="","",VLOOKUP(("Oi Internet Pra Celular 1GB"&amp;FD22&amp;"Template Flat Instância Dados"),[8]BENEFICIOS!$A:$E,5,0))),"Criar",IF(FD22="","",VLOOKUP(("Oi Internet Pra Celular 1GB"&amp;FD22&amp;"Template Flat Instância Dados"),[8]BENEFICIOS!$A:$E,5,0)))</f>
        <v/>
      </c>
      <c r="FF22" s="82"/>
      <c r="FG22" s="83" t="str">
        <f>IF(FF22=0,"",IF(FF22=VLOOKUP("PCS-813565",[8]ARBOR!$A:$C,3,0),0.0001,IF(FF22&gt;VLOOKUP("PCS-813565",[8]ARBOR!$A:$C,3,0),"Maior que CAP!",ROUND(-1*(FF22/VLOOKUP("PCS-813565",[8]ARBOR!$A:$C,3,0)-1),4))))</f>
        <v/>
      </c>
      <c r="FH22" s="84" t="str">
        <f>IF(ISERROR(IF(FG22="","",VLOOKUP(("Oi Internet Pra Celular 2GB"&amp;FG22&amp;"Template Flat Instância Dados"),[8]BENEFICIOS!$A:$E,5,0))),"Criar",IF(FG22="","",VLOOKUP(("Oi Internet Pra Celular 2GB"&amp;FG22&amp;"Template Flat Instância Dados"),[8]BENEFICIOS!$A:$E,5,0)))</f>
        <v/>
      </c>
      <c r="FI22" s="82">
        <v>12.35</v>
      </c>
      <c r="FJ22" s="83">
        <f>IF(FI22=0,"",IF(FI22=VLOOKUP("PCS-7171B",[8]ARBOR!$A:$C,3,0),0.0001,IF(FI22&gt;VLOOKUP("PCS-7171B",[8]ARBOR!$A:$C,3,0),"Maior que CAP!",ROUND(-1*(FI22/VLOOKUP("PCS-7171B",[8]ARBOR!$A:$C,3,0)-1),4))))</f>
        <v>0.87419999999999998</v>
      </c>
      <c r="FK22" s="84" t="str">
        <f>IF(ISERROR(IF(FJ22="","",VLOOKUP(("Oi Internet Pra Celular 3GB"&amp;FJ22&amp;"Template Flat Instância Dados"),[8]BENEFICIOS!$A:$E,5,0))),"Criar",IF(FJ22="","",VLOOKUP(("Oi Internet Pra Celular 3GB"&amp;FJ22&amp;"Template Flat Instância Dados"),[8]BENEFICIOS!$A:$E,5,0)))</f>
        <v>MKT-1-9870092975</v>
      </c>
      <c r="FL22" s="82"/>
      <c r="FM22" s="83" t="str">
        <f>IF(FL22=0,"",IF(FL22=VLOOKUP("PCS-51793o08",[8]ARBOR!$A:$C,3,0),0.0001,IF(FL22&gt;VLOOKUP("PCS-51793o08",[8]ARBOR!$A:$C,3,0),"Maior que CAP!",ROUND(-1*(FL22/VLOOKUP("PCS-51793o08",[8]ARBOR!$A:$C,3,0)-1),4))))</f>
        <v/>
      </c>
      <c r="FN22" s="84" t="str">
        <f>IF(ISERROR(IF(FM22="","",VLOOKUP(("Oi Internet Pra Celular 5GB"&amp;FM22&amp;"Template Flat Instância Dados"),[8]BENEFICIOS!$A:$E,5,0))),"Criar",IF(FM22="","",VLOOKUP(("Oi Internet Pra Celular 5GB"&amp;FM22&amp;"Template Flat Instância Dados"),[8]BENEFICIOS!$A:$E,5,0)))</f>
        <v/>
      </c>
      <c r="FO22" s="82"/>
      <c r="FP22" s="83" t="str">
        <f>IF(FO22=0,"",IF(FO22=VLOOKUP("PCS-7171A",[8]ARBOR!$A:$C,3,0),0.0001,IF(FO22&gt;VLOOKUP("PCS-7171A",[8]ARBOR!$A:$C,3,0),"Maior que CAP!",ROUND(-1*(FO22/VLOOKUP("PCS-7171A",[8]ARBOR!$A:$C,3,0)-1),4))))</f>
        <v/>
      </c>
      <c r="FQ22" s="84" t="str">
        <f>IF(ISERROR(IF(FP22="","",VLOOKUP(("Oi Internet Pra Celular 10GB"&amp;FP22&amp;"Template Flat Instância Dados"),[8]BENEFICIOS!$A:$E,5,0))),"Criar",IF(FP22="","",VLOOKUP(("Oi Internet Pra Celular 10GB"&amp;FP22&amp;"Template Flat Instância Dados"),[8]BENEFICIOS!$A:$E,5,0)))</f>
        <v/>
      </c>
      <c r="FR22" s="85">
        <v>0.74219999999999997</v>
      </c>
      <c r="FS22" s="86" t="s">
        <v>246</v>
      </c>
      <c r="FT22" s="48"/>
      <c r="FU22" s="87"/>
      <c r="FV22" s="88" t="s">
        <v>221</v>
      </c>
      <c r="FW22" s="49" t="s">
        <v>226</v>
      </c>
      <c r="FX22" s="89">
        <v>999</v>
      </c>
      <c r="FY22" s="49">
        <v>12</v>
      </c>
      <c r="FZ22" s="90" t="s">
        <v>227</v>
      </c>
      <c r="GA22" s="91" t="str">
        <f t="shared" si="1"/>
        <v>PCS-Fk83324</v>
      </c>
      <c r="GB22" s="92" t="str">
        <f t="shared" si="2"/>
        <v>PCS-SBL553142</v>
      </c>
      <c r="GC22" s="93" t="s">
        <v>228</v>
      </c>
      <c r="GD22" s="90" t="s">
        <v>229</v>
      </c>
      <c r="GE22" s="92" t="s">
        <v>230</v>
      </c>
      <c r="GF22" s="93" t="s">
        <v>231</v>
      </c>
      <c r="GG22" s="90" t="s">
        <v>232</v>
      </c>
      <c r="GH22" s="92" t="s">
        <v>233</v>
      </c>
      <c r="GI22" s="94" t="s">
        <v>234</v>
      </c>
      <c r="GJ22" s="95">
        <f>FI22+EL22+CN22+BJ22</f>
        <v>244.9</v>
      </c>
      <c r="GK22" s="96"/>
      <c r="GL22" s="97" t="s">
        <v>235</v>
      </c>
      <c r="GM22" s="98" t="s">
        <v>272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287</v>
      </c>
      <c r="GX22" s="44" t="s">
        <v>238</v>
      </c>
    </row>
    <row r="23" spans="1:206" s="44" customFormat="1" x14ac:dyDescent="0.35">
      <c r="A23" s="44" t="str">
        <f t="shared" si="0"/>
        <v>Oi Total Fixo + Pós 800 + Banda LargaN25GBMG</v>
      </c>
      <c r="B23" s="45" t="s">
        <v>211</v>
      </c>
      <c r="C23" s="46" t="s">
        <v>127</v>
      </c>
      <c r="D23" s="46" t="s">
        <v>212</v>
      </c>
      <c r="E23" s="47" t="s">
        <v>213</v>
      </c>
      <c r="F23" s="88" t="s">
        <v>214</v>
      </c>
      <c r="G23" s="49"/>
      <c r="H23" s="49"/>
      <c r="I23" s="49"/>
      <c r="J23" s="49" t="s">
        <v>214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214</v>
      </c>
      <c r="AC23" s="49" t="s">
        <v>214</v>
      </c>
      <c r="AD23" s="49" t="s">
        <v>214</v>
      </c>
      <c r="AE23" s="49" t="s">
        <v>214</v>
      </c>
      <c r="AF23" s="49" t="s">
        <v>214</v>
      </c>
      <c r="AG23" s="49" t="s">
        <v>214</v>
      </c>
      <c r="AH23" s="50"/>
      <c r="AI23" s="49" t="s">
        <v>214</v>
      </c>
      <c r="AJ23" s="49" t="s">
        <v>214</v>
      </c>
      <c r="AK23" s="49" t="s">
        <v>214</v>
      </c>
      <c r="AL23" s="49" t="s">
        <v>214</v>
      </c>
      <c r="AM23" s="49" t="s">
        <v>214</v>
      </c>
      <c r="AN23" s="49" t="s">
        <v>214</v>
      </c>
      <c r="AO23" s="49" t="s">
        <v>214</v>
      </c>
      <c r="AP23" s="49"/>
      <c r="AQ23" s="51"/>
      <c r="AR23" s="52" t="s">
        <v>288</v>
      </c>
      <c r="AS23" s="46" t="s">
        <v>216</v>
      </c>
      <c r="AT23" s="53" t="s">
        <v>217</v>
      </c>
      <c r="AU23" s="54">
        <v>42972</v>
      </c>
      <c r="AV23" s="105">
        <v>43097</v>
      </c>
      <c r="AW23" s="56" t="s">
        <v>218</v>
      </c>
      <c r="AX23" s="57" t="s">
        <v>218</v>
      </c>
      <c r="AY23" s="58"/>
      <c r="AZ23" s="58" t="s">
        <v>219</v>
      </c>
      <c r="BA23" s="58">
        <v>20</v>
      </c>
      <c r="BB23" s="58">
        <v>10000</v>
      </c>
      <c r="BC23" s="59" t="s">
        <v>220</v>
      </c>
      <c r="BD23" s="60" t="s">
        <v>221</v>
      </c>
      <c r="BE23" s="58" t="s">
        <v>213</v>
      </c>
      <c r="BF23" s="51" t="s">
        <v>213</v>
      </c>
      <c r="BG23" s="45" t="s">
        <v>288</v>
      </c>
      <c r="BH23" s="61" t="s">
        <v>222</v>
      </c>
      <c r="BI23" s="62" t="str">
        <f>IF(ISERROR(VLOOKUP(BH23,[8]PLANOS!B:C,2,0)),"",VLOOKUP(BH23,[8]PLANOS!B:C,2,0))</f>
        <v>PCS-4P6pi</v>
      </c>
      <c r="BJ23" s="63">
        <v>50.1</v>
      </c>
      <c r="BK23" s="64">
        <f>IF(BJ23=0,"",IF(BJ23=VLOOKUP("FIXO",[8]ARBOR!$A:$C,3,0),0.0001,IF(BJ23&gt;VLOOKUP("FIXO",[8]ARBOR!$A:$C,3,0),"Maior que CAP!",IF((DOLLAR(BJ23+(VLOOKUP("FIXO",[8]ARBOR!$A:$C,3,0)*-TRUNC(BJ23/VLOOKUP("FIXO",[8]ARBOR!$A:$C,3,0)-1,4)),6))&lt;&gt;(DOLLAR(VLOOKUP("FIXO",[8]ARBOR!$A:$C,3,0),6)),-TRUNC(BJ23/VLOOKUP("FIXO",[8]ARBOR!$A:$C,3,0)-1,4)+0.0001,-TRUNC(BJ23/VLOOKUP("FIXO",[8]ARBOR!$A:$C,3,0)-1,4)))))</f>
        <v>0.33939999999999998</v>
      </c>
      <c r="BL23" s="65" t="str">
        <f>IF(ISERROR(IF(BK23="","",VLOOKUP(($BH23&amp;BK23&amp;"Template de desconto FLAT bundle - Fixo - Varejo - Ganho Tributário Cross"),[8]BENEFICIOS!$A:$E,5,0))),"Criar",IF(BK23="","",VLOOKUP(($BH23&amp;BK23&amp;"Template de desconto FLAT bundle - Fixo - Varejo - Ganho Tributário Cross"),[8]BENEFICIOS!$A:$E,5,0)))</f>
        <v>MKT-1-9856472058</v>
      </c>
      <c r="BM23" s="66"/>
      <c r="BN23" s="67"/>
      <c r="BO23" s="68" t="s">
        <v>161</v>
      </c>
      <c r="BP23" s="69">
        <v>44.9</v>
      </c>
      <c r="BQ23" s="64">
        <f>IF(BP23=0,"",IF(BP23=VLOOKUP("PCS-30874g",[8]ARBOR!$A:$C,3,0),0.0001,IF(BP23&gt;VLOOKUP("PCS-30874g",[8]ARBOR!$A:$C,3,0),"Maior que CAP!",IF((DOLLAR(BP23+(VLOOKUP("PCS-30874g",[8]ARBOR!$A:$C,3,0)*-TRUNC(BP23/VLOOKUP("PCS-30874g",[8]ARBOR!$A:$C,3,0)-1,4)),6))&lt;&gt;(DOLLAR(VLOOKUP("PCS-30874g",[8]ARBOR!$A:$C,3,0),6)),-TRUNC(BP23/VLOOKUP("PCS-30874g",[8]ARBOR!$A:$C,3,0)-1,4)+0.0001,-TRUNC(BP23/VLOOKUP("PCS-30874g",[8]ARBOR!$A:$C,3,0)-1,4)))))</f>
        <v>0.53679999999999994</v>
      </c>
      <c r="BR23" s="65" t="str">
        <f>IF(ISERROR(IF(BQ23="","",VLOOKUP(($BH23&amp;BQ23&amp;"Template de desconto FLAT bundle - Velox XDSL - Varejo"),[8]BENEFICIOS!$A:$E,5,0))),"Criar",IF(BQ23="","",VLOOKUP(($BH23&amp;BQ23&amp;"Template de desconto FLAT bundle - Velox XDSL - Varejo"),[8]BENEFICIOS!$A:$E,5,0)))</f>
        <v>MKT-1-9865126733</v>
      </c>
      <c r="BS23" s="68" t="s">
        <v>161</v>
      </c>
      <c r="BT23" s="69">
        <v>44.9</v>
      </c>
      <c r="BU23" s="64">
        <f>IF(BT23=0,"",IF(BT23=VLOOKUP("PCS-30577g",[8]ARBOR!$A:$C,3,0),0.0001,IF(BT23&gt;VLOOKUP("PCS-30577g",[8]ARBOR!$A:$C,3,0),"Maior que CAP!",IF((DOLLAR(BT23+(VLOOKUP("PCS-30577g",[8]ARBOR!$A:$C,3,0)*-TRUNC(BT23/VLOOKUP("PCS-30577g",[8]ARBOR!$A:$C,3,0)-1,4)),6))&lt;&gt;(DOLLAR(VLOOKUP("PCS-30577g",[8]ARBOR!$A:$C,3,0),6)),-TRUNC(BT23/VLOOKUP("PCS-30577g",[8]ARBOR!$A:$C,3,0)-1,4)+0.0001,-TRUNC(BT23/VLOOKUP("PCS-30577g",[8]ARBOR!$A:$C,3,0)-1,4)))))</f>
        <v>0.53679999999999994</v>
      </c>
      <c r="BV23" s="65" t="str">
        <f>IF(ISERROR(IF(BU23="","",VLOOKUP(($BH23&amp;BU23&amp;"Template de desconto FLAT bundle - Velox XDSL - Varejo"),[8]BENEFICIOS!$A:$E,5,0))),"Criar",IF(BU23="","",VLOOKUP(($BH23&amp;BU23&amp;"Template de desconto FLAT bundle - Velox XDSL - Varejo"),[8]BENEFICIOS!$A:$E,5,0)))</f>
        <v>MKT-1-9865126733</v>
      </c>
      <c r="BW23" s="68" t="s">
        <v>161</v>
      </c>
      <c r="BX23" s="69">
        <v>44.9</v>
      </c>
      <c r="BY23" s="64">
        <f>IF(BX23=0,"",IF(BX23=VLOOKUP("PCS-30604g",[8]ARBOR!$A:$C,3,0),0.0001,IF(BX23&gt;VLOOKUP("PCS-30604g",[8]ARBOR!$A:$C,3,0),"Maior que CAP!",IF((DOLLAR(BX23+(VLOOKUP("PCS-30604g",[8]ARBOR!$A:$C,3,0)*-TRUNC(BX23/VLOOKUP("PCS-30604g",[8]ARBOR!$A:$C,3,0)-1,4)),6))&lt;&gt;(DOLLAR(VLOOKUP("PCS-30604g",[8]ARBOR!$A:$C,3,0),6)),-TRUNC(BX23/VLOOKUP("PCS-30604g",[8]ARBOR!$A:$C,3,0)-1,4)+0.0001,-TRUNC(BX23/VLOOKUP("PCS-30604g",[8]ARBOR!$A:$C,3,0)-1,4)))))</f>
        <v>0.53679999999999994</v>
      </c>
      <c r="BZ23" s="65" t="str">
        <f>IF(ISERROR(IF(BY23="","",VLOOKUP(($BH23&amp;BY23&amp;"Template de desconto FLAT bundle - Velox XDSL - Varejo"),[8]BENEFICIOS!$A:$E,5,0))),"Criar",IF(BY23="","",VLOOKUP(($BH23&amp;BY23&amp;"Template de desconto FLAT bundle - Velox XDSL - Varejo"),[8]BENEFICIOS!$A:$E,5,0)))</f>
        <v>MKT-1-9865126733</v>
      </c>
      <c r="CA23" s="68" t="s">
        <v>161</v>
      </c>
      <c r="CB23" s="69">
        <v>44.9</v>
      </c>
      <c r="CC23" s="64">
        <f>IF(CB23=0,"",IF(CB23=VLOOKUP("PCS-30631g",[8]ARBOR!$A:$C,3,0),0.0001,IF(CB23&gt;VLOOKUP("PCS-30631g",[8]ARBOR!$A:$C,3,0),"Maior que CAP!",IF((DOLLAR(CB23+(VLOOKUP("PCS-30631g",[8]ARBOR!$A:$C,3,0)*-TRUNC(CB23/VLOOKUP("PCS-30631g",[8]ARBOR!$A:$C,3,0)-1,4)),6))&lt;&gt;(DOLLAR(VLOOKUP("PCS-30631g",[8]ARBOR!$A:$C,3,0),6)),-TRUNC(CB23/VLOOKUP("PCS-30631g",[8]ARBOR!$A:$C,3,0)-1,4)+0.0001,-TRUNC(CB23/VLOOKUP("PCS-30631g",[8]ARBOR!$A:$C,3,0)-1,4)))))</f>
        <v>0.54310000000000003</v>
      </c>
      <c r="CD23" s="65" t="str">
        <f>IF(ISERROR(IF(CC23="","",VLOOKUP(($BH23&amp;CC23&amp;"Template de desconto FLAT bundle - Velox XDSL - Varejo"),[8]BENEFICIOS!$A:$E,5,0))),"Criar",IF(CC23="","",VLOOKUP(($BH23&amp;CC23&amp;"Template de desconto FLAT bundle - Velox XDSL - Varejo"),[8]BENEFICIOS!$A:$E,5,0)))</f>
        <v>MKT-1-9865126826</v>
      </c>
      <c r="CE23" s="68"/>
      <c r="CF23" s="69"/>
      <c r="CG23" s="64" t="str">
        <f>IF(CF23=0,"",IF(CF23=VLOOKUP("PCS-30658g",[8]ARBOR!$A:$C,3,0),0.0001,IF(CF23&gt;VLOOKUP("PCS-30658g",[8]ARBOR!$A:$C,3,0),"Maior que CAP!",IF((DOLLAR(CF23+(VLOOKUP("PCS-30658g",[8]ARBOR!$A:$C,3,0)*-TRUNC(CF23/VLOOKUP("PCS-30658g",[8]ARBOR!$A:$C,3,0)-1,4)),6))&lt;&gt;(DOLLAR(VLOOKUP("PCS-30658g",[8]ARBOR!$A:$C,3,0),6)),-TRUNC(CF23/VLOOKUP("PCS-30658g",[8]ARBOR!$A:$C,3,0)-1,4)+0.0001,-TRUNC(CF23/VLOOKUP("PCS-30658g",[8]ARBOR!$A:$C,3,0)-1,4)))))</f>
        <v/>
      </c>
      <c r="CH23" s="65" t="str">
        <f>IF(ISERROR(IF(CG23="","",VLOOKUP(($BH23&amp;CG23&amp;"Template de desconto FLAT bundle - Velox XDSL - Varejo"),[8]BENEFICIOS!$A:$E,5,0))),"Criar",IF(CG23="","",VLOOKUP(($BH23&amp;CG23&amp;"Template de desconto FLAT bundle - Velox XDSL - Varejo"),[8]BENEFICIOS!$A:$E,5,0)))</f>
        <v/>
      </c>
      <c r="CI23" s="68"/>
      <c r="CJ23" s="69"/>
      <c r="CK23" s="64" t="str">
        <f>IF(CJ23=0,"",IF(CJ23=VLOOKUP("PCS-30685g",[8]ARBOR!$A:$C,3,0),0.0001,IF(CJ23&gt;VLOOKUP("PCS-30685g",[8]ARBOR!$A:$C,3,0),"Maior que CAP!",IF((DOLLAR(CJ23+(VLOOKUP("PCS-30685g",[8]ARBOR!$A:$C,3,0)*-TRUNC(CJ23/VLOOKUP("PCS-30685g",[8]ARBOR!$A:$C,3,0)-1,4)),6))&lt;&gt;(DOLLAR(VLOOKUP("PCS-30685g",[8]ARBOR!$A:$C,3,0),6)),-TRUNC(CJ23/VLOOKUP("PCS-30685g",[8]ARBOR!$A:$C,3,0)-1,4)+0.0001,-TRUNC(CJ23/VLOOKUP("PCS-30685g",[8]ARBOR!$A:$C,3,0)-1,4)))))</f>
        <v/>
      </c>
      <c r="CL23" s="65" t="str">
        <f>IF(ISERROR(IF(CK23="","",VLOOKUP(($BH23&amp;CK23&amp;"Template de desconto FLAT bundle - Velox XDSL - Varejo"),[8]BENEFICIOS!$A:$E,5,0))),"Criar",IF(CK23="","",VLOOKUP(($BH23&amp;CK23&amp;"Template de desconto FLAT bundle - Velox XDSL - Varejo"),[8]BENEFICIOS!$A:$E,5,0)))</f>
        <v/>
      </c>
      <c r="CM23" s="68"/>
      <c r="CN23" s="69"/>
      <c r="CO23" s="64" t="str">
        <f>IF(CN23=0,"",IF(CN23=VLOOKUP("PCS-30712g",[8]ARBOR!$A:$C,3,0),0.0001,IF(CN23&gt;VLOOKUP("PCS-30712g",[8]ARBOR!$A:$C,3,0),"Maior que CAP!",IF((DOLLAR(CN23+(VLOOKUP("PCS-30712g",[8]ARBOR!$A:$C,3,0)*-TRUNC(CN23/VLOOKUP("PCS-30712g",[8]ARBOR!$A:$C,3,0)-1,4)),6))&lt;&gt;(DOLLAR(VLOOKUP("PCS-30712g",[8]ARBOR!$A:$C,3,0),6)),-TRUNC(CN23/VLOOKUP("PCS-30712g",[8]ARBOR!$A:$C,3,0)-1,4)+0.0001,-TRUNC(CN23/VLOOKUP("PCS-30712g",[8]ARBOR!$A:$C,3,0)-1,4)))))</f>
        <v/>
      </c>
      <c r="CP23" s="65" t="str">
        <f>IF(ISERROR(IF(CO23="","",VLOOKUP(($BH23&amp;CO23&amp;"Template de desconto FLAT bundle - Velox XDSL - Varejo"),[8]BENEFICIOS!$A:$E,5,0))),"Criar",IF(CO23="","",VLOOKUP(($BH23&amp;CO23&amp;"Template de desconto FLAT bundle - Velox XDSL - Varejo"),[8]BENEFICIOS!$A:$E,5,0)))</f>
        <v/>
      </c>
      <c r="CQ23" s="68"/>
      <c r="CR23" s="69"/>
      <c r="CS23" s="64" t="str">
        <f>IF(CR23=0,"",IF(CR23=VLOOKUP("PCS-30739g",[8]ARBOR!$A:$C,3,0),0.0001,IF(CR23&gt;VLOOKUP("PCS-30739g",[8]ARBOR!$A:$C,3,0),"Maior que CAP!",IF((DOLLAR(CR23+(VLOOKUP("PCS-30739g",[8]ARBOR!$A:$C,3,0)*-TRUNC(CR23/VLOOKUP("PCS-30739g",[8]ARBOR!$A:$C,3,0)-1,4)),6))&lt;&gt;(DOLLAR(VLOOKUP("PCS-30739g",[8]ARBOR!$A:$C,3,0),6)),-TRUNC(CR23/VLOOKUP("PCS-30739g",[8]ARBOR!$A:$C,3,0)-1,4)+0.0001,-TRUNC(CR23/VLOOKUP("PCS-30739g",[8]ARBOR!$A:$C,3,0)-1,4)))))</f>
        <v/>
      </c>
      <c r="CT23" s="65" t="str">
        <f>IF(ISERROR(IF(CS23="","",VLOOKUP(($BH23&amp;CS23&amp;"Template de desconto FLAT bundle - Velox XDSL - Varejo"),[8]BENEFICIOS!$A:$E,5,0))),"Criar",IF(CS23="","",VLOOKUP(($BH23&amp;CS23&amp;"Template de desconto FLAT bundle - Velox XDSL - Varejo"),[8]BENEFICIOS!$A:$E,5,0)))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IF(CZ23=0,"",IF(CZ23=VLOOKUP("PCS-30766g",[8]ARBOR!$A:$C,3,0),0.0001,IF(CZ23&gt;VLOOKUP("PCS-30766g",[8]ARBOR!$A:$C,3,0),"Maior que CAP!",IF((DOLLAR(CZ23+(VLOOKUP("PCS-30766g",[8]ARBOR!$A:$C,3,0)*-TRUNC(CZ23/VLOOKUP("PCS-30766g",[8]ARBOR!$A:$C,3,0)-1,4)),6))&lt;&gt;(DOLLAR(VLOOKUP("PCS-30766g",[8]ARBOR!$A:$C,3,0),6)),-TRUNC(CZ23/VLOOKUP("PCS-30766g",[8]ARBOR!$A:$C,3,0)-1,4)+0.0001,-TRUNC(CZ23/VLOOKUP("PCS-30766g",[8]ARBOR!$A:$C,3,0)-1,4)))))</f>
        <v/>
      </c>
      <c r="DB23" s="65" t="str">
        <f>IF(ISERROR(IF(DA23="","",VLOOKUP(($BH23&amp;DA23&amp;"Template de desconto FLAT bundle - Velox XDSL - Varejo"),[8]BENEFICIOS!$A:$E,5,0))),"Criar",IF(DA23="","",VLOOKUP(($BH23&amp;DA23&amp;"Template de desconto FLAT bundle - Velox XDSL - Varejo"),[8]BENEFICIOS!$A:$E,5,0)))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IF(DH23=0,"",IF(DH23=VLOOKUP("PCS-30793g",[8]ARBOR!$A:$C,3,0),0.0001,IF(DH23&gt;VLOOKUP("PCS-30793g",[8]ARBOR!$A:$C,3,0),"Maior que CAP!",IF((DOLLAR(DH23+(VLOOKUP("PCS-30793g",[8]ARBOR!$A:$C,3,0)*-TRUNC(DH23/VLOOKUP("PCS-30793g",[8]ARBOR!$A:$C,3,0)-1,4)),6))&lt;&gt;(DOLLAR(VLOOKUP("PCS-30793g",[8]ARBOR!$A:$C,3,0),6)),-TRUNC(DH23/VLOOKUP("PCS-30793g",[8]ARBOR!$A:$C,3,0)-1,4)+0.0001,-TRUNC(DH23/VLOOKUP("PCS-30793g",[8]ARBOR!$A:$C,3,0)-1,4)))))</f>
        <v/>
      </c>
      <c r="DJ23" s="65" t="str">
        <f>IF(ISERROR(IF(DI23="","",VLOOKUP(($BH23&amp;DI23&amp;"Template de desconto FLAT bundle - Velox XDSL - Varejo"),[8]BENEFICIOS!$A:$E,5,0))),"Criar",IF(DI23="","",VLOOKUP(($BH23&amp;DI23&amp;"Template de desconto FLAT bundle - Velox XDSL - Varejo"),[8]BENEFICIOS!$A:$E,5,0)))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IF(DP23=0,"",IF(DP23=VLOOKUP("PCS-30820g",[8]ARBOR!$A:$C,3,0),0.0001,IF(DP23&gt;VLOOKUP("PCS-30820g",[8]ARBOR!$A:$C,3,0),"Maior que CAP!",IF((DOLLAR(DP23+(VLOOKUP("PCS-30820g",[8]ARBOR!$A:$C,3,0)*-TRUNC(DP23/VLOOKUP("PCS-30820g",[8]ARBOR!$A:$C,3,0)-1,4)),6))&lt;&gt;(DOLLAR(VLOOKUP("PCS-30820g",[8]ARBOR!$A:$C,3,0),6)),-TRUNC(DP23/VLOOKUP("PCS-30820g",[8]ARBOR!$A:$C,3,0)-1,4)+0.0001,-TRUNC(DP23/VLOOKUP("PCS-30820g",[8]ARBOR!$A:$C,3,0)-1,4)))))</f>
        <v/>
      </c>
      <c r="DR23" s="65" t="str">
        <f>IF(ISERROR(IF(DQ23="","",VLOOKUP(($BH23&amp;DQ23&amp;"Template de desconto FLAT bundle - Velox XDSL - Varejo"),[8]BENEFICIOS!$A:$E,5,0))),"Criar",IF(DQ23="","",VLOOKUP(($BH23&amp;DQ23&amp;"Template de desconto FLAT bundle - Velox XDSL - Varejo"),[8]BENEFICIOS!$A:$E,5,0)))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IF(DW23=0,"",IF(DW23=VLOOKUP("PCS-21448p2",[8]ARBOR!$A:$C,3,0),0.0001,IF(DW23&gt;VLOOKUP("PCS-21448p2",[8]ARBOR!$A:$C,3,0),"Maior que CAP!",IF((DOLLAR(DW23+(VLOOKUP("PCS-21448p2",[8]ARBOR!$A:$C,3,0)*-TRUNC(DW23/VLOOKUP("PCS-21448p2",[8]ARBOR!$A:$C,3,0)-1,4)),6))&lt;&gt;(DOLLAR(VLOOKUP("PCS-21448p2",[8]ARBOR!$A:$C,3,0),6)),-TRUNC(DW23/VLOOKUP("PCS-21448p2",[8]ARBOR!$A:$C,3,0)-1,4)+0.0001,-TRUNC(DW23/VLOOKUP("PCS-21448p2",[8]ARBOR!$A:$C,3,0)-1,4)))))</f>
        <v>0.64900000000000002</v>
      </c>
      <c r="DY23" s="65" t="str">
        <f>IF(ISERROR(IF(DX23="","",VLOOKUP(("Oi Conta Total Plug 10GB Downgrade"&amp;DX23&amp;"Template de desconto percentual BL Móvel - Internet Total - Varejo"),[8]BENEFICIOS!$A:$E,5,0))),"Criar",IF(DX23="","",VLOOKUP(("Oi Conta Total Plug 10GB Downgrade"&amp;DX23&amp;"Template de desconto percentual BL Móvel - Internet Total - Varejo"),[8]BENEFICIOS!$A:$E,5,0)))</f>
        <v>MKT-1-9825544790</v>
      </c>
      <c r="DZ23" s="71">
        <v>16.5</v>
      </c>
      <c r="EA23" s="72">
        <f>IF(DZ23=0,"",IF(DZ23=VLOOKUP("SVA",[8]ARBOR!$A:$C,3,0),0.0001,IF(DZ23&gt;VLOOKUP("SVA",[8]ARBOR!$A:$C,3,0),"Maior que CAP!",IF((DOLLAR(DZ23+(VLOOKUP("SVA",[8]ARBOR!$A:$C,3,0)*-TRUNC(DZ23/VLOOKUP("SVA",[8]ARBOR!$A:$C,3,0)-1,4)),6))&lt;&gt;(DOLLAR(VLOOKUP("SVA",[8]ARBOR!$A:$C,3,0),6)),-TRUNC(DZ23/VLOOKUP("SVA",[8]ARBOR!$A:$C,3,0)-1,4)+0.0001,-TRUNC(DZ23/VLOOKUP("SVA",[8]ARBOR!$A:$C,3,0)-1,4)))))</f>
        <v>0.2301</v>
      </c>
      <c r="EB23" s="65" t="s">
        <v>223</v>
      </c>
      <c r="EC23" s="69"/>
      <c r="ED23" s="73"/>
      <c r="EE23" s="74"/>
      <c r="EF23" s="65"/>
      <c r="EG23" s="75">
        <f>IF(BI23="","",VLOOKUP(BI23,[8]ARBOR!A:C,3,0))</f>
        <v>479.46</v>
      </c>
      <c r="EH23" s="69">
        <v>15</v>
      </c>
      <c r="EI23" s="76">
        <f>IF(EH23="","",1-(EH23/VLOOKUP(BI23&amp;"ASS",[8]ARBOR!A:C,3,0)))</f>
        <v>0.34725848563968664</v>
      </c>
      <c r="EJ23" s="77" t="s">
        <v>224</v>
      </c>
      <c r="EK23" s="78" t="s">
        <v>225</v>
      </c>
      <c r="EL23" s="69">
        <v>144.97999999999999</v>
      </c>
      <c r="EM23" s="64">
        <f>IF(EL23=0,"",IF(EL23=EG23,0.0001,ROUND(1-((EL23+(VLOOKUP(BI23&amp;"ASS",[8]ARBOR!A:C,3,0)-EH23))/EG23),4)))</f>
        <v>0.68100000000000005</v>
      </c>
      <c r="EN23" s="65" t="str">
        <f>IF(ISERROR(IF(EM23="","",VLOOKUP(($BH23&amp;EM23&amp;"Template de desconto percentual FLAT Móvel - Conta Total - Varejo - Ganho Tributário Cross"),[8]BENEFICIOS!$A:$E,5,0))),"Criar",IF(EM23="","",VLOOKUP(($BH23&amp;EM23&amp;"Template de desconto percentual FLAT Móvel - Conta Total - Varejo - Ganho Tributário Cross"),[8]BENEFICIOS!$A:$E,5,0)))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244</v>
      </c>
      <c r="EV23" s="81" t="s">
        <v>261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IF(FC23=0,"",IF(FC23=VLOOKUP("PCS-10357",[8]ARBOR!$A:$C,3,0),0.0001,IF(FC23&gt;VLOOKUP("PCS-10357",[8]ARBOR!$A:$C,3,0),"Maior que CAP!",ROUND(-1*(FC23/VLOOKUP("PCS-10357",[8]ARBOR!$A:$C,3,0)-1),4))))</f>
        <v/>
      </c>
      <c r="FE23" s="84" t="str">
        <f>IF(ISERROR(IF(FD23="","",VLOOKUP(("Oi Internet Pra Celular 1GB"&amp;FD23&amp;"Template Flat Instância Dados"),[8]BENEFICIOS!$A:$E,5,0))),"Criar",IF(FD23="","",VLOOKUP(("Oi Internet Pra Celular 1GB"&amp;FD23&amp;"Template Flat Instância Dados"),[8]BENEFICIOS!$A:$E,5,0)))</f>
        <v/>
      </c>
      <c r="FF23" s="82"/>
      <c r="FG23" s="83" t="str">
        <f>IF(FF23=0,"",IF(FF23=VLOOKUP("PCS-813565",[8]ARBOR!$A:$C,3,0),0.0001,IF(FF23&gt;VLOOKUP("PCS-813565",[8]ARBOR!$A:$C,3,0),"Maior que CAP!",ROUND(-1*(FF23/VLOOKUP("PCS-813565",[8]ARBOR!$A:$C,3,0)-1),4))))</f>
        <v/>
      </c>
      <c r="FH23" s="84" t="str">
        <f>IF(ISERROR(IF(FG23="","",VLOOKUP(("Oi Internet Pra Celular 2GB"&amp;FG23&amp;"Template Flat Instância Dados"),[8]BENEFICIOS!$A:$E,5,0))),"Criar",IF(FG23="","",VLOOKUP(("Oi Internet Pra Celular 2GB"&amp;FG23&amp;"Template Flat Instância Dados"),[8]BENEFICIOS!$A:$E,5,0)))</f>
        <v/>
      </c>
      <c r="FI23" s="82"/>
      <c r="FJ23" s="83" t="str">
        <f>IF(FI23=0,"",IF(FI23=VLOOKUP("PCS-7171B",[8]ARBOR!$A:$C,3,0),0.0001,IF(FI23&gt;VLOOKUP("PCS-7171B",[8]ARBOR!$A:$C,3,0),"Maior que CAP!",ROUND(-1*(FI23/VLOOKUP("PCS-7171B",[8]ARBOR!$A:$C,3,0)-1),4))))</f>
        <v/>
      </c>
      <c r="FK23" s="84" t="str">
        <f>IF(ISERROR(IF(FJ23="","",VLOOKUP(("Oi Internet Pra Celular 3GB"&amp;FJ23&amp;"Template Flat Instância Dados"),[8]BENEFICIOS!$A:$E,5,0))),"Criar",IF(FJ23="","",VLOOKUP(("Oi Internet Pra Celular 3GB"&amp;FJ23&amp;"Template Flat Instância Dados"),[8]BENEFICIOS!$A:$E,5,0)))</f>
        <v/>
      </c>
      <c r="FL23" s="82">
        <v>14.92</v>
      </c>
      <c r="FM23" s="83">
        <f>IF(FL23=0,"",IF(FL23=VLOOKUP("PCS-51793o08",[8]ARBOR!$A:$C,3,0),0.0001,IF(FL23&gt;VLOOKUP("PCS-51793o08",[8]ARBOR!$A:$C,3,0),"Maior que CAP!",ROUND(-1*(FL23/VLOOKUP("PCS-51793o08",[8]ARBOR!$A:$C,3,0)-1),4))))</f>
        <v>0.89500000000000002</v>
      </c>
      <c r="FN23" s="84" t="str">
        <f>IF(ISERROR(IF(FM23="","",VLOOKUP(("Oi Internet Pra Celular 5GB"&amp;FM23&amp;"Template Flat Instância Dados"),[8]BENEFICIOS!$A:$E,5,0))),"Criar",IF(FM23="","",VLOOKUP(("Oi Internet Pra Celular 5GB"&amp;FM23&amp;"Template Flat Instância Dados"),[8]BENEFICIOS!$A:$E,5,0)))</f>
        <v>MKT-1-9870312709</v>
      </c>
      <c r="FO23" s="82"/>
      <c r="FP23" s="83" t="str">
        <f>IF(FO23=0,"",IF(FO23=VLOOKUP("PCS-7171A",[8]ARBOR!$A:$C,3,0),0.0001,IF(FO23&gt;VLOOKUP("PCS-7171A",[8]ARBOR!$A:$C,3,0),"Maior que CAP!",ROUND(-1*(FO23/VLOOKUP("PCS-7171A",[8]ARBOR!$A:$C,3,0)-1),4))))</f>
        <v/>
      </c>
      <c r="FQ23" s="84" t="str">
        <f>IF(ISERROR(IF(FP23="","",VLOOKUP(("Oi Internet Pra Celular 10GB"&amp;FP23&amp;"Template Flat Instância Dados"),[8]BENEFICIOS!$A:$E,5,0))),"Criar",IF(FP23="","",VLOOKUP(("Oi Internet Pra Celular 10GB"&amp;FP23&amp;"Template Flat Instância Dados"),[8]BENEFICIOS!$A:$E,5,0)))</f>
        <v/>
      </c>
      <c r="FR23" s="85">
        <v>0.74260000000000004</v>
      </c>
      <c r="FS23" s="86" t="s">
        <v>262</v>
      </c>
      <c r="FT23" s="48"/>
      <c r="FU23" s="87"/>
      <c r="FV23" s="88" t="s">
        <v>221</v>
      </c>
      <c r="FW23" s="49" t="s">
        <v>226</v>
      </c>
      <c r="FX23" s="89">
        <v>999</v>
      </c>
      <c r="FY23" s="49">
        <v>12</v>
      </c>
      <c r="FZ23" s="90" t="s">
        <v>227</v>
      </c>
      <c r="GA23" s="91" t="str">
        <f t="shared" si="1"/>
        <v>PCS-Fk83324</v>
      </c>
      <c r="GB23" s="92" t="str">
        <f t="shared" si="2"/>
        <v>PCS-SBL553142</v>
      </c>
      <c r="GC23" s="93" t="s">
        <v>228</v>
      </c>
      <c r="GD23" s="90" t="s">
        <v>229</v>
      </c>
      <c r="GE23" s="92" t="s">
        <v>230</v>
      </c>
      <c r="GF23" s="93" t="s">
        <v>231</v>
      </c>
      <c r="GG23" s="90" t="s">
        <v>232</v>
      </c>
      <c r="GH23" s="92" t="s">
        <v>233</v>
      </c>
      <c r="GI23" s="94" t="s">
        <v>234</v>
      </c>
      <c r="GJ23" s="95">
        <f>FL23+EL23+DW23+BJ23</f>
        <v>254.89999999999998</v>
      </c>
      <c r="GK23" s="96"/>
      <c r="GL23" s="97" t="s">
        <v>235</v>
      </c>
      <c r="GM23" s="98" t="s">
        <v>272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289</v>
      </c>
      <c r="GX23" s="44" t="s">
        <v>238</v>
      </c>
    </row>
    <row r="24" spans="1:206" s="44" customFormat="1" x14ac:dyDescent="0.35">
      <c r="A24" s="44" t="str">
        <f t="shared" si="0"/>
        <v>Oi Total Fixo + Pós 800 + Banda LargaN25GBMG</v>
      </c>
      <c r="B24" s="45" t="s">
        <v>211</v>
      </c>
      <c r="C24" s="46" t="s">
        <v>127</v>
      </c>
      <c r="D24" s="46" t="s">
        <v>212</v>
      </c>
      <c r="E24" s="47" t="s">
        <v>213</v>
      </c>
      <c r="F24" s="88" t="s">
        <v>214</v>
      </c>
      <c r="G24" s="49"/>
      <c r="H24" s="49"/>
      <c r="I24" s="49"/>
      <c r="J24" s="49" t="s">
        <v>214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214</v>
      </c>
      <c r="AC24" s="49" t="s">
        <v>214</v>
      </c>
      <c r="AD24" s="49" t="s">
        <v>214</v>
      </c>
      <c r="AE24" s="49" t="s">
        <v>214</v>
      </c>
      <c r="AF24" s="49" t="s">
        <v>214</v>
      </c>
      <c r="AG24" s="49" t="s">
        <v>214</v>
      </c>
      <c r="AH24" s="50"/>
      <c r="AI24" s="49" t="s">
        <v>214</v>
      </c>
      <c r="AJ24" s="49" t="s">
        <v>214</v>
      </c>
      <c r="AK24" s="49" t="s">
        <v>214</v>
      </c>
      <c r="AL24" s="49" t="s">
        <v>214</v>
      </c>
      <c r="AM24" s="49" t="s">
        <v>214</v>
      </c>
      <c r="AN24" s="49" t="s">
        <v>214</v>
      </c>
      <c r="AO24" s="49" t="s">
        <v>214</v>
      </c>
      <c r="AP24" s="49"/>
      <c r="AQ24" s="51"/>
      <c r="AR24" s="52" t="s">
        <v>290</v>
      </c>
      <c r="AS24" s="46" t="s">
        <v>216</v>
      </c>
      <c r="AT24" s="53" t="s">
        <v>217</v>
      </c>
      <c r="AU24" s="54">
        <v>42972</v>
      </c>
      <c r="AV24" s="105">
        <v>43097</v>
      </c>
      <c r="AW24" s="56" t="s">
        <v>218</v>
      </c>
      <c r="AX24" s="57" t="s">
        <v>218</v>
      </c>
      <c r="AY24" s="58"/>
      <c r="AZ24" s="58" t="s">
        <v>219</v>
      </c>
      <c r="BA24" s="58">
        <v>20</v>
      </c>
      <c r="BB24" s="58">
        <v>10000</v>
      </c>
      <c r="BC24" s="59" t="s">
        <v>220</v>
      </c>
      <c r="BD24" s="60" t="s">
        <v>221</v>
      </c>
      <c r="BE24" s="58" t="s">
        <v>213</v>
      </c>
      <c r="BF24" s="51" t="s">
        <v>213</v>
      </c>
      <c r="BG24" s="45" t="s">
        <v>290</v>
      </c>
      <c r="BH24" s="61" t="s">
        <v>222</v>
      </c>
      <c r="BI24" s="62" t="str">
        <f>IF(ISERROR(VLOOKUP(BH24,[8]PLANOS!B:C,2,0)),"",VLOOKUP(BH24,[8]PLANOS!B:C,2,0))</f>
        <v>PCS-4P6pi</v>
      </c>
      <c r="BJ24" s="63">
        <v>50.1</v>
      </c>
      <c r="BK24" s="64">
        <f>IF(BJ24=0,"",IF(BJ24=VLOOKUP("FIXO",[8]ARBOR!$A:$C,3,0),0.0001,IF(BJ24&gt;VLOOKUP("FIXO",[8]ARBOR!$A:$C,3,0),"Maior que CAP!",IF((DOLLAR(BJ24+(VLOOKUP("FIXO",[8]ARBOR!$A:$C,3,0)*-TRUNC(BJ24/VLOOKUP("FIXO",[8]ARBOR!$A:$C,3,0)-1,4)),6))&lt;&gt;(DOLLAR(VLOOKUP("FIXO",[8]ARBOR!$A:$C,3,0),6)),-TRUNC(BJ24/VLOOKUP("FIXO",[8]ARBOR!$A:$C,3,0)-1,4)+0.0001,-TRUNC(BJ24/VLOOKUP("FIXO",[8]ARBOR!$A:$C,3,0)-1,4)))))</f>
        <v>0.33939999999999998</v>
      </c>
      <c r="BL24" s="65" t="str">
        <f>IF(ISERROR(IF(BK24="","",VLOOKUP(($BH24&amp;BK24&amp;"Template de desconto FLAT bundle - Fixo - Varejo - Ganho Tributário Cross"),[8]BENEFICIOS!$A:$E,5,0))),"Criar",IF(BK24="","",VLOOKUP(($BH24&amp;BK24&amp;"Template de desconto FLAT bundle - Fixo - Varejo - Ganho Tributário Cross"),[8]BENEFICIOS!$A:$E,5,0)))</f>
        <v>MKT-1-9856472058</v>
      </c>
      <c r="BM24" s="66"/>
      <c r="BN24" s="67"/>
      <c r="BO24" s="104" t="s">
        <v>240</v>
      </c>
      <c r="BP24" s="69">
        <v>44.9</v>
      </c>
      <c r="BQ24" s="64">
        <f>IF(BP24=0,"",IF(BP24=VLOOKUP("PCS-30874g",[8]ARBOR!$A:$C,3,0),0.0001,IF(BP24&gt;VLOOKUP("PCS-30874g",[8]ARBOR!$A:$C,3,0),"Maior que CAP!",IF((DOLLAR(BP24+(VLOOKUP("PCS-30874g",[8]ARBOR!$A:$C,3,0)*-TRUNC(BP24/VLOOKUP("PCS-30874g",[8]ARBOR!$A:$C,3,0)-1,4)),6))&lt;&gt;(DOLLAR(VLOOKUP("PCS-30874g",[8]ARBOR!$A:$C,3,0),6)),-TRUNC(BP24/VLOOKUP("PCS-30874g",[8]ARBOR!$A:$C,3,0)-1,4)+0.0001,-TRUNC(BP24/VLOOKUP("PCS-30874g",[8]ARBOR!$A:$C,3,0)-1,4)))))</f>
        <v>0.53679999999999994</v>
      </c>
      <c r="BR24" s="65" t="str">
        <f>IF(ISERROR(IF(BQ24="","",VLOOKUP(($BH24&amp;BQ24&amp;"Template de desconto FLAT bundle - Velox XDSL - Varejo"),[8]BENEFICIOS!$A:$E,5,0))),"Criar",IF(BQ24="","",VLOOKUP(($BH24&amp;BQ24&amp;"Template de desconto FLAT bundle - Velox XDSL - Varejo"),[8]BENEFICIOS!$A:$E,5,0)))</f>
        <v>MKT-1-9865126733</v>
      </c>
      <c r="BS24" s="104" t="s">
        <v>240</v>
      </c>
      <c r="BT24" s="69">
        <v>44.9</v>
      </c>
      <c r="BU24" s="64">
        <f>IF(BT24=0,"",IF(BT24=VLOOKUP("PCS-30577g",[8]ARBOR!$A:$C,3,0),0.0001,IF(BT24&gt;VLOOKUP("PCS-30577g",[8]ARBOR!$A:$C,3,0),"Maior que CAP!",IF((DOLLAR(BT24+(VLOOKUP("PCS-30577g",[8]ARBOR!$A:$C,3,0)*-TRUNC(BT24/VLOOKUP("PCS-30577g",[8]ARBOR!$A:$C,3,0)-1,4)),6))&lt;&gt;(DOLLAR(VLOOKUP("PCS-30577g",[8]ARBOR!$A:$C,3,0),6)),-TRUNC(BT24/VLOOKUP("PCS-30577g",[8]ARBOR!$A:$C,3,0)-1,4)+0.0001,-TRUNC(BT24/VLOOKUP("PCS-30577g",[8]ARBOR!$A:$C,3,0)-1,4)))))</f>
        <v>0.53679999999999994</v>
      </c>
      <c r="BV24" s="65" t="str">
        <f>IF(ISERROR(IF(BU24="","",VLOOKUP(($BH24&amp;BU24&amp;"Template de desconto FLAT bundle - Velox XDSL - Varejo"),[8]BENEFICIOS!$A:$E,5,0))),"Criar",IF(BU24="","",VLOOKUP(($BH24&amp;BU24&amp;"Template de desconto FLAT bundle - Velox XDSL - Varejo"),[8]BENEFICIOS!$A:$E,5,0)))</f>
        <v>MKT-1-9865126733</v>
      </c>
      <c r="BW24" s="104" t="s">
        <v>240</v>
      </c>
      <c r="BX24" s="69">
        <v>44.9</v>
      </c>
      <c r="BY24" s="64">
        <f>IF(BX24=0,"",IF(BX24=VLOOKUP("PCS-30604g",[8]ARBOR!$A:$C,3,0),0.0001,IF(BX24&gt;VLOOKUP("PCS-30604g",[8]ARBOR!$A:$C,3,0),"Maior que CAP!",IF((DOLLAR(BX24+(VLOOKUP("PCS-30604g",[8]ARBOR!$A:$C,3,0)*-TRUNC(BX24/VLOOKUP("PCS-30604g",[8]ARBOR!$A:$C,3,0)-1,4)),6))&lt;&gt;(DOLLAR(VLOOKUP("PCS-30604g",[8]ARBOR!$A:$C,3,0),6)),-TRUNC(BX24/VLOOKUP("PCS-30604g",[8]ARBOR!$A:$C,3,0)-1,4)+0.0001,-TRUNC(BX24/VLOOKUP("PCS-30604g",[8]ARBOR!$A:$C,3,0)-1,4)))))</f>
        <v>0.53679999999999994</v>
      </c>
      <c r="BZ24" s="65" t="str">
        <f>IF(ISERROR(IF(BY24="","",VLOOKUP(($BH24&amp;BY24&amp;"Template de desconto FLAT bundle - Velox XDSL - Varejo"),[8]BENEFICIOS!$A:$E,5,0))),"Criar",IF(BY24="","",VLOOKUP(($BH24&amp;BY24&amp;"Template de desconto FLAT bundle - Velox XDSL - Varejo"),[8]BENEFICIOS!$A:$E,5,0)))</f>
        <v>MKT-1-9865126733</v>
      </c>
      <c r="CA24" s="104" t="s">
        <v>240</v>
      </c>
      <c r="CB24" s="69">
        <v>44.9</v>
      </c>
      <c r="CC24" s="64">
        <f>IF(CB24=0,"",IF(CB24=VLOOKUP("PCS-30631g",[8]ARBOR!$A:$C,3,0),0.0001,IF(CB24&gt;VLOOKUP("PCS-30631g",[8]ARBOR!$A:$C,3,0),"Maior que CAP!",IF((DOLLAR(CB24+(VLOOKUP("PCS-30631g",[8]ARBOR!$A:$C,3,0)*-TRUNC(CB24/VLOOKUP("PCS-30631g",[8]ARBOR!$A:$C,3,0)-1,4)),6))&lt;&gt;(DOLLAR(VLOOKUP("PCS-30631g",[8]ARBOR!$A:$C,3,0),6)),-TRUNC(CB24/VLOOKUP("PCS-30631g",[8]ARBOR!$A:$C,3,0)-1,4)+0.0001,-TRUNC(CB24/VLOOKUP("PCS-30631g",[8]ARBOR!$A:$C,3,0)-1,4)))))</f>
        <v>0.54310000000000003</v>
      </c>
      <c r="CD24" s="65" t="str">
        <f>IF(ISERROR(IF(CC24="","",VLOOKUP(($BH24&amp;CC24&amp;"Template de desconto FLAT bundle - Velox XDSL - Varejo"),[8]BENEFICIOS!$A:$E,5,0))),"Criar",IF(CC24="","",VLOOKUP(($BH24&amp;CC24&amp;"Template de desconto FLAT bundle - Velox XDSL - Varejo"),[8]BENEFICIOS!$A:$E,5,0)))</f>
        <v>MKT-1-9865126826</v>
      </c>
      <c r="CE24" s="68" t="s">
        <v>161</v>
      </c>
      <c r="CF24" s="69">
        <v>49.9</v>
      </c>
      <c r="CG24" s="64">
        <f>IF(CF24=0,"",IF(CF24=VLOOKUP("PCS-30658g",[8]ARBOR!$A:$C,3,0),0.0001,IF(CF24&gt;VLOOKUP("PCS-30658g",[8]ARBOR!$A:$C,3,0),"Maior que CAP!",IF((DOLLAR(CF24+(VLOOKUP("PCS-30658g",[8]ARBOR!$A:$C,3,0)*-TRUNC(CF24/VLOOKUP("PCS-30658g",[8]ARBOR!$A:$C,3,0)-1,4)),6))&lt;&gt;(DOLLAR(VLOOKUP("PCS-30658g",[8]ARBOR!$A:$C,3,0),6)),-TRUNC(CF24/VLOOKUP("PCS-30658g",[8]ARBOR!$A:$C,3,0)-1,4)+0.0001,-TRUNC(CF24/VLOOKUP("PCS-30658g",[8]ARBOR!$A:$C,3,0)-1,4)))))</f>
        <v>0.55569999999999997</v>
      </c>
      <c r="CH24" s="65" t="str">
        <f>IF(ISERROR(IF(CG24="","",VLOOKUP(($BH24&amp;CG24&amp;"Template de desconto FLAT bundle - Velox XDSL - Varejo"),[8]BENEFICIOS!$A:$E,5,0))),"Criar",IF(CG24="","",VLOOKUP(($BH24&amp;CG24&amp;"Template de desconto FLAT bundle - Velox XDSL - Varejo"),[8]BENEFICIOS!$A:$E,5,0)))</f>
        <v>MKT-1-9865126919</v>
      </c>
      <c r="CI24" s="68" t="s">
        <v>161</v>
      </c>
      <c r="CJ24" s="69">
        <v>49.9</v>
      </c>
      <c r="CK24" s="64">
        <f>IF(CJ24=0,"",IF(CJ24=VLOOKUP("PCS-30685g",[8]ARBOR!$A:$C,3,0),0.0001,IF(CJ24&gt;VLOOKUP("PCS-30685g",[8]ARBOR!$A:$C,3,0),"Maior que CAP!",IF((DOLLAR(CJ24+(VLOOKUP("PCS-30685g",[8]ARBOR!$A:$C,3,0)*-TRUNC(CJ24/VLOOKUP("PCS-30685g",[8]ARBOR!$A:$C,3,0)-1,4)),6))&lt;&gt;(DOLLAR(VLOOKUP("PCS-30685g",[8]ARBOR!$A:$C,3,0),6)),-TRUNC(CJ24/VLOOKUP("PCS-30685g",[8]ARBOR!$A:$C,3,0)-1,4)+0.0001,-TRUNC(CJ24/VLOOKUP("PCS-30685g",[8]ARBOR!$A:$C,3,0)-1,4)))))</f>
        <v>0.60509999999999997</v>
      </c>
      <c r="CL24" s="65" t="str">
        <f>IF(ISERROR(IF(CK24="","",VLOOKUP(($BH24&amp;CK24&amp;"Template de desconto FLAT bundle - Velox XDSL - Varejo"),[8]BENEFICIOS!$A:$E,5,0))),"Criar",IF(CK24="","",VLOOKUP(($BH24&amp;CK24&amp;"Template de desconto FLAT bundle - Velox XDSL - Varejo"),[8]BENEFICIOS!$A:$E,5,0)))</f>
        <v>MKT-1-9865694381</v>
      </c>
      <c r="CM24" s="68" t="s">
        <v>161</v>
      </c>
      <c r="CN24" s="69">
        <v>49.9</v>
      </c>
      <c r="CO24" s="64">
        <f>IF(CN24=0,"",IF(CN24=VLOOKUP("PCS-30712g",[8]ARBOR!$A:$C,3,0),0.0001,IF(CN24&gt;VLOOKUP("PCS-30712g",[8]ARBOR!$A:$C,3,0),"Maior que CAP!",IF((DOLLAR(CN24+(VLOOKUP("PCS-30712g",[8]ARBOR!$A:$C,3,0)*-TRUNC(CN24/VLOOKUP("PCS-30712g",[8]ARBOR!$A:$C,3,0)-1,4)),6))&lt;&gt;(DOLLAR(VLOOKUP("PCS-30712g",[8]ARBOR!$A:$C,3,0),6)),-TRUNC(CN24/VLOOKUP("PCS-30712g",[8]ARBOR!$A:$C,3,0)-1,4)+0.0001,-TRUNC(CN24/VLOOKUP("PCS-30712g",[8]ARBOR!$A:$C,3,0)-1,4)))))</f>
        <v>0.64459999999999995</v>
      </c>
      <c r="CP24" s="65" t="str">
        <f>IF(ISERROR(IF(CO24="","",VLOOKUP(($BH24&amp;CO24&amp;"Template de desconto FLAT bundle - Velox XDSL - Varejo"),[8]BENEFICIOS!$A:$E,5,0))),"Criar",IF(CO24="","",VLOOKUP(($BH24&amp;CO24&amp;"Template de desconto FLAT bundle - Velox XDSL - Varejo"),[8]BENEFICIOS!$A:$E,5,0)))</f>
        <v>MKT-1-9865191105</v>
      </c>
      <c r="CQ24" s="68" t="s">
        <v>161</v>
      </c>
      <c r="CR24" s="69">
        <v>59.9</v>
      </c>
      <c r="CS24" s="64">
        <f>IF(CR24=0,"",IF(CR24=VLOOKUP("PCS-30739g",[8]ARBOR!$A:$C,3,0),0.0001,IF(CR24&gt;VLOOKUP("PCS-30739g",[8]ARBOR!$A:$C,3,0),"Maior que CAP!",IF((DOLLAR(CR24+(VLOOKUP("PCS-30739g",[8]ARBOR!$A:$C,3,0)*-TRUNC(CR24/VLOOKUP("PCS-30739g",[8]ARBOR!$A:$C,3,0)-1,4)),6))&lt;&gt;(DOLLAR(VLOOKUP("PCS-30739g",[8]ARBOR!$A:$C,3,0),6)),-TRUNC(CR24/VLOOKUP("PCS-30739g",[8]ARBOR!$A:$C,3,0)-1,4)+0.0001,-TRUNC(CR24/VLOOKUP("PCS-30739g",[8]ARBOR!$A:$C,3,0)-1,4)))))</f>
        <v>0.71560000000000001</v>
      </c>
      <c r="CT24" s="65" t="str">
        <f>IF(ISERROR(IF(CS24="","",VLOOKUP(($BH24&amp;CS24&amp;"Template de desconto FLAT bundle - Velox XDSL - Varejo"),[8]BENEFICIOS!$A:$E,5,0))),"Criar",IF(CS24="","",VLOOKUP(($BH24&amp;CS24&amp;"Template de desconto FLAT bundle - Velox XDSL - Varejo"),[8]BENEFICIOS!$A:$E,5,0)))</f>
        <v>MKT-1-9865191198</v>
      </c>
      <c r="CU24" s="69"/>
      <c r="CV24" s="70"/>
      <c r="CW24" s="64"/>
      <c r="CX24" s="65"/>
      <c r="CY24" s="68" t="s">
        <v>161</v>
      </c>
      <c r="CZ24" s="69">
        <v>59.9</v>
      </c>
      <c r="DA24" s="64">
        <f>IF(CZ24=0,"",IF(CZ24=VLOOKUP("PCS-30766g",[8]ARBOR!$A:$C,3,0),0.0001,IF(CZ24&gt;VLOOKUP("PCS-30766g",[8]ARBOR!$A:$C,3,0),"Maior que CAP!",IF((DOLLAR(CZ24+(VLOOKUP("PCS-30766g",[8]ARBOR!$A:$C,3,0)*-TRUNC(CZ24/VLOOKUP("PCS-30766g",[8]ARBOR!$A:$C,3,0)-1,4)),6))&lt;&gt;(DOLLAR(VLOOKUP("PCS-30766g",[8]ARBOR!$A:$C,3,0),6)),-TRUNC(CZ24/VLOOKUP("PCS-30766g",[8]ARBOR!$A:$C,3,0)-1,4)+0.0001,-TRUNC(CZ24/VLOOKUP("PCS-30766g",[8]ARBOR!$A:$C,3,0)-1,4)))))</f>
        <v>0.78669999999999995</v>
      </c>
      <c r="DB24" s="65" t="str">
        <f>IF(ISERROR(IF(DA24="","",VLOOKUP(($BH24&amp;DA24&amp;"Template de desconto FLAT bundle - Velox XDSL - Varejo"),[8]BENEFICIOS!$A:$E,5,0))),"Criar",IF(DA24="","",VLOOKUP(($BH24&amp;DA24&amp;"Template de desconto FLAT bundle - Velox XDSL - Varejo"),[8]BENEFICIOS!$A:$E,5,0)))</f>
        <v>MKT-1-9865191291</v>
      </c>
      <c r="DC24" s="69"/>
      <c r="DD24" s="70"/>
      <c r="DE24" s="64"/>
      <c r="DF24" s="65"/>
      <c r="DG24" s="68" t="s">
        <v>240</v>
      </c>
      <c r="DH24" s="69">
        <v>69.900000000000006</v>
      </c>
      <c r="DI24" s="64">
        <f>IF(DH24=0,"",IF(DH24=VLOOKUP("PCS-30793g",[8]ARBOR!$A:$C,3,0),0.0001,IF(DH24&gt;VLOOKUP("PCS-30793g",[8]ARBOR!$A:$C,3,0),"Maior que CAP!",IF((DOLLAR(DH24+(VLOOKUP("PCS-30793g",[8]ARBOR!$A:$C,3,0)*-TRUNC(DH24/VLOOKUP("PCS-30793g",[8]ARBOR!$A:$C,3,0)-1,4)),6))&lt;&gt;(DOLLAR(VLOOKUP("PCS-30793g",[8]ARBOR!$A:$C,3,0),6)),-TRUNC(DH24/VLOOKUP("PCS-30793g",[8]ARBOR!$A:$C,3,0)-1,4)+0.0001,-TRUNC(DH24/VLOOKUP("PCS-30793g",[8]ARBOR!$A:$C,3,0)-1,4)))))</f>
        <v>0.75109999999999999</v>
      </c>
      <c r="DJ24" s="65" t="str">
        <f>IF(ISERROR(IF(DI24="","",VLOOKUP(($BH24&amp;DI24&amp;"Template de desconto FLAT bundle - Velox XDSL - Varejo"),[8]BENEFICIOS!$A:$E,5,0))),"Criar",IF(DI24="","",VLOOKUP(($BH24&amp;DI24&amp;"Template de desconto FLAT bundle - Velox XDSL - Varejo"),[8]BENEFICIOS!$A:$E,5,0)))</f>
        <v>MKT-1-9865191384</v>
      </c>
      <c r="DK24" s="69"/>
      <c r="DL24" s="70"/>
      <c r="DM24" s="64"/>
      <c r="DN24" s="65"/>
      <c r="DO24" s="68" t="s">
        <v>161</v>
      </c>
      <c r="DP24" s="69">
        <v>69.900000000000006</v>
      </c>
      <c r="DQ24" s="64">
        <f>IF(DP24=0,"",IF(DP24=VLOOKUP("PCS-30820g",[8]ARBOR!$A:$C,3,0),0.0001,IF(DP24&gt;VLOOKUP("PCS-30820g",[8]ARBOR!$A:$C,3,0),"Maior que CAP!",IF((DOLLAR(DP24+(VLOOKUP("PCS-30820g",[8]ARBOR!$A:$C,3,0)*-TRUNC(DP24/VLOOKUP("PCS-30820g",[8]ARBOR!$A:$C,3,0)-1,4)),6))&lt;&gt;(DOLLAR(VLOOKUP("PCS-30820g",[8]ARBOR!$A:$C,3,0),6)),-TRUNC(DP24/VLOOKUP("PCS-30820g",[8]ARBOR!$A:$C,3,0)-1,4)+0.0001,-TRUNC(DP24/VLOOKUP("PCS-30820g",[8]ARBOR!$A:$C,3,0)-1,4)))))</f>
        <v>0.75109999999999999</v>
      </c>
      <c r="DR24" s="65" t="str">
        <f>IF(ISERROR(IF(DQ24="","",VLOOKUP(($BH24&amp;DQ24&amp;"Template de desconto FLAT bundle - Velox XDSL - Varejo"),[8]BENEFICIOS!$A:$E,5,0))),"Criar",IF(DQ24="","",VLOOKUP(($BH24&amp;DQ24&amp;"Template de desconto FLAT bundle - Velox XDSL - Varejo"),[8]BENEFICIOS!$A:$E,5,0)))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IF(DW24=0,"",IF(DW24=VLOOKUP("PCS-21448p2",[8]ARBOR!$A:$C,3,0),0.0001,IF(DW24&gt;VLOOKUP("PCS-21448p2",[8]ARBOR!$A:$C,3,0),"Maior que CAP!",IF((DOLLAR(DW24+(VLOOKUP("PCS-21448p2",[8]ARBOR!$A:$C,3,0)*-TRUNC(DW24/VLOOKUP("PCS-21448p2",[8]ARBOR!$A:$C,3,0)-1,4)),6))&lt;&gt;(DOLLAR(VLOOKUP("PCS-21448p2",[8]ARBOR!$A:$C,3,0),6)),-TRUNC(DW24/VLOOKUP("PCS-21448p2",[8]ARBOR!$A:$C,3,0)-1,4)+0.0001,-TRUNC(DW24/VLOOKUP("PCS-21448p2",[8]ARBOR!$A:$C,3,0)-1,4)))))</f>
        <v/>
      </c>
      <c r="DY24" s="65" t="str">
        <f>IF(ISERROR(IF(DX24="","",VLOOKUP(("Oi Conta Total Plug 10GB Downgrade"&amp;DX24&amp;"Template de desconto percentual BL Móvel - Internet Total - Varejo"),[8]BENEFICIOS!$A:$E,5,0))),"Criar",IF(DX24="","",VLOOKUP(("Oi Conta Total Plug 10GB Downgrade"&amp;DX24&amp;"Template de desconto percentual BL Móvel - Internet Total - Varejo"),[8]BENEFICIOS!$A:$E,5,0)))</f>
        <v/>
      </c>
      <c r="DZ24" s="71">
        <v>19.899999999999999</v>
      </c>
      <c r="EA24" s="72">
        <f>IF(DZ24=0,"",IF(DZ24=VLOOKUP("SVA",[8]ARBOR!$A:$C,3,0),0.0001,IF(DZ24&gt;VLOOKUP("SVA",[8]ARBOR!$A:$C,3,0),"Maior que CAP!",IF((DOLLAR(DZ24+(VLOOKUP("SVA",[8]ARBOR!$A:$C,3,0)*-TRUNC(DZ24/VLOOKUP("SVA",[8]ARBOR!$A:$C,3,0)-1,4)),6))&lt;&gt;(DOLLAR(VLOOKUP("SVA",[8]ARBOR!$A:$C,3,0),6)),-TRUNC(DZ24/VLOOKUP("SVA",[8]ARBOR!$A:$C,3,0)-1,4)+0.0001,-TRUNC(DZ24/VLOOKUP("SVA",[8]ARBOR!$A:$C,3,0)-1,4)))))</f>
        <v>7.1400000000000005E-2</v>
      </c>
      <c r="EB24" s="65" t="s">
        <v>241</v>
      </c>
      <c r="EC24" s="69"/>
      <c r="ED24" s="73"/>
      <c r="EE24" s="74"/>
      <c r="EF24" s="65"/>
      <c r="EG24" s="75">
        <f>IF(BI24="","",VLOOKUP(BI24,[8]ARBOR!A:C,3,0))</f>
        <v>479.46</v>
      </c>
      <c r="EH24" s="69">
        <v>15</v>
      </c>
      <c r="EI24" s="76">
        <f>IF(EH24="","",1-(EH24/VLOOKUP(BI24&amp;"ASS",[8]ARBOR!A:C,3,0)))</f>
        <v>0.34725848563968664</v>
      </c>
      <c r="EJ24" s="77" t="s">
        <v>224</v>
      </c>
      <c r="EK24" s="78" t="s">
        <v>225</v>
      </c>
      <c r="EL24" s="69">
        <v>144.97999999999999</v>
      </c>
      <c r="EM24" s="64">
        <f>IF(EL24=0,"",IF(EL24=EG24,0.0001,ROUND(1-((EL24+(VLOOKUP(BI24&amp;"ASS",[8]ARBOR!A:C,3,0)-EH24))/EG24),4)))</f>
        <v>0.68100000000000005</v>
      </c>
      <c r="EN24" s="65" t="str">
        <f>IF(ISERROR(IF(EM24="","",VLOOKUP(($BH24&amp;EM24&amp;"Template de desconto percentual FLAT Móvel - Conta Total - Varejo - Ganho Tributário Cross"),[8]BENEFICIOS!$A:$E,5,0))),"Criar",IF(EM24="","",VLOOKUP(($BH24&amp;EM24&amp;"Template de desconto percentual FLAT Móvel - Conta Total - Varejo - Ganho Tributário Cross"),[8]BENEFICIOS!$A:$E,5,0)))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244</v>
      </c>
      <c r="EV24" s="81" t="s">
        <v>261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IF(FC24=0,"",IF(FC24=VLOOKUP("PCS-10357",[8]ARBOR!$A:$C,3,0),0.0001,IF(FC24&gt;VLOOKUP("PCS-10357",[8]ARBOR!$A:$C,3,0),"Maior que CAP!",ROUND(-1*(FC24/VLOOKUP("PCS-10357",[8]ARBOR!$A:$C,3,0)-1),4))))</f>
        <v/>
      </c>
      <c r="FE24" s="84" t="str">
        <f>IF(ISERROR(IF(FD24="","",VLOOKUP(("Oi Internet Pra Celular 1GB"&amp;FD24&amp;"Template Flat Instância Dados"),[8]BENEFICIOS!$A:$E,5,0))),"Criar",IF(FD24="","",VLOOKUP(("Oi Internet Pra Celular 1GB"&amp;FD24&amp;"Template Flat Instância Dados"),[8]BENEFICIOS!$A:$E,5,0)))</f>
        <v/>
      </c>
      <c r="FF24" s="82"/>
      <c r="FG24" s="83" t="str">
        <f>IF(FF24=0,"",IF(FF24=VLOOKUP("PCS-813565",[8]ARBOR!$A:$C,3,0),0.0001,IF(FF24&gt;VLOOKUP("PCS-813565",[8]ARBOR!$A:$C,3,0),"Maior que CAP!",ROUND(-1*(FF24/VLOOKUP("PCS-813565",[8]ARBOR!$A:$C,3,0)-1),4))))</f>
        <v/>
      </c>
      <c r="FH24" s="84" t="str">
        <f>IF(ISERROR(IF(FG24="","",VLOOKUP(("Oi Internet Pra Celular 2GB"&amp;FG24&amp;"Template Flat Instância Dados"),[8]BENEFICIOS!$A:$E,5,0))),"Criar",IF(FG24="","",VLOOKUP(("Oi Internet Pra Celular 2GB"&amp;FG24&amp;"Template Flat Instância Dados"),[8]BENEFICIOS!$A:$E,5,0)))</f>
        <v/>
      </c>
      <c r="FI24" s="82"/>
      <c r="FJ24" s="83" t="str">
        <f>IF(FI24=0,"",IF(FI24=VLOOKUP("PCS-7171B",[8]ARBOR!$A:$C,3,0),0.0001,IF(FI24&gt;VLOOKUP("PCS-7171B",[8]ARBOR!$A:$C,3,0),"Maior que CAP!",ROUND(-1*(FI24/VLOOKUP("PCS-7171B",[8]ARBOR!$A:$C,3,0)-1),4))))</f>
        <v/>
      </c>
      <c r="FK24" s="84" t="str">
        <f>IF(ISERROR(IF(FJ24="","",VLOOKUP(("Oi Internet Pra Celular 3GB"&amp;FJ24&amp;"Template Flat Instância Dados"),[8]BENEFICIOS!$A:$E,5,0))),"Criar",IF(FJ24="","",VLOOKUP(("Oi Internet Pra Celular 3GB"&amp;FJ24&amp;"Template Flat Instância Dados"),[8]BENEFICIOS!$A:$E,5,0)))</f>
        <v/>
      </c>
      <c r="FL24" s="82">
        <v>14.92</v>
      </c>
      <c r="FM24" s="83">
        <f>IF(FL24=0,"",IF(FL24=VLOOKUP("PCS-51793o08",[8]ARBOR!$A:$C,3,0),0.0001,IF(FL24&gt;VLOOKUP("PCS-51793o08",[8]ARBOR!$A:$C,3,0),"Maior que CAP!",ROUND(-1*(FL24/VLOOKUP("PCS-51793o08",[8]ARBOR!$A:$C,3,0)-1),4))))</f>
        <v>0.89500000000000002</v>
      </c>
      <c r="FN24" s="84" t="str">
        <f>IF(ISERROR(IF(FM24="","",VLOOKUP(("Oi Internet Pra Celular 5GB"&amp;FM24&amp;"Template Flat Instância Dados"),[8]BENEFICIOS!$A:$E,5,0))),"Criar",IF(FM24="","",VLOOKUP(("Oi Internet Pra Celular 5GB"&amp;FM24&amp;"Template Flat Instância Dados"),[8]BENEFICIOS!$A:$E,5,0)))</f>
        <v>MKT-1-9870312709</v>
      </c>
      <c r="FO24" s="82"/>
      <c r="FP24" s="83" t="str">
        <f>IF(FO24=0,"",IF(FO24=VLOOKUP("PCS-7171A",[8]ARBOR!$A:$C,3,0),0.0001,IF(FO24&gt;VLOOKUP("PCS-7171A",[8]ARBOR!$A:$C,3,0),"Maior que CAP!",ROUND(-1*(FO24/VLOOKUP("PCS-7171A",[8]ARBOR!$A:$C,3,0)-1),4))))</f>
        <v/>
      </c>
      <c r="FQ24" s="84" t="str">
        <f>IF(ISERROR(IF(FP24="","",VLOOKUP(("Oi Internet Pra Celular 10GB"&amp;FP24&amp;"Template Flat Instância Dados"),[8]BENEFICIOS!$A:$E,5,0))),"Criar",IF(FP24="","",VLOOKUP(("Oi Internet Pra Celular 10GB"&amp;FP24&amp;"Template Flat Instância Dados"),[8]BENEFICIOS!$A:$E,5,0)))</f>
        <v/>
      </c>
      <c r="FR24" s="85">
        <v>0.74260000000000004</v>
      </c>
      <c r="FS24" s="86" t="s">
        <v>262</v>
      </c>
      <c r="FT24" s="48"/>
      <c r="FU24" s="87"/>
      <c r="FV24" s="88" t="s">
        <v>221</v>
      </c>
      <c r="FW24" s="49" t="s">
        <v>226</v>
      </c>
      <c r="FX24" s="89">
        <v>999</v>
      </c>
      <c r="FY24" s="49">
        <v>12</v>
      </c>
      <c r="FZ24" s="90" t="s">
        <v>227</v>
      </c>
      <c r="GA24" s="91" t="str">
        <f t="shared" si="1"/>
        <v>PCS-Fk83324</v>
      </c>
      <c r="GB24" s="92" t="str">
        <f t="shared" si="2"/>
        <v>PCS-SBL553142</v>
      </c>
      <c r="GC24" s="93" t="s">
        <v>228</v>
      </c>
      <c r="GD24" s="90" t="s">
        <v>229</v>
      </c>
      <c r="GE24" s="92" t="s">
        <v>230</v>
      </c>
      <c r="GF24" s="93" t="s">
        <v>231</v>
      </c>
      <c r="GG24" s="90" t="s">
        <v>232</v>
      </c>
      <c r="GH24" s="92" t="s">
        <v>233</v>
      </c>
      <c r="GI24" s="94" t="s">
        <v>234</v>
      </c>
      <c r="GJ24" s="95">
        <f>FL24+EL24+CN24+BJ24</f>
        <v>259.89999999999998</v>
      </c>
      <c r="GK24" s="96"/>
      <c r="GL24" s="97" t="s">
        <v>235</v>
      </c>
      <c r="GM24" s="98" t="s">
        <v>272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291</v>
      </c>
      <c r="GX24" s="44" t="s">
        <v>238</v>
      </c>
    </row>
    <row r="25" spans="1:206" s="44" customFormat="1" x14ac:dyDescent="0.35">
      <c r="A25" s="44" t="str">
        <f t="shared" si="0"/>
        <v>Oi Total Fixo + Pós 800 + Banda LargaN210GBMG</v>
      </c>
      <c r="B25" s="45" t="s">
        <v>211</v>
      </c>
      <c r="C25" s="46" t="s">
        <v>127</v>
      </c>
      <c r="D25" s="46" t="s">
        <v>212</v>
      </c>
      <c r="E25" s="47" t="s">
        <v>213</v>
      </c>
      <c r="F25" s="88" t="s">
        <v>214</v>
      </c>
      <c r="G25" s="49"/>
      <c r="H25" s="49"/>
      <c r="I25" s="49"/>
      <c r="J25" s="49" t="s">
        <v>214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214</v>
      </c>
      <c r="AC25" s="49" t="s">
        <v>214</v>
      </c>
      <c r="AD25" s="49" t="s">
        <v>214</v>
      </c>
      <c r="AE25" s="49" t="s">
        <v>214</v>
      </c>
      <c r="AF25" s="49" t="s">
        <v>214</v>
      </c>
      <c r="AG25" s="49" t="s">
        <v>214</v>
      </c>
      <c r="AH25" s="50"/>
      <c r="AI25" s="49" t="s">
        <v>214</v>
      </c>
      <c r="AJ25" s="49" t="s">
        <v>214</v>
      </c>
      <c r="AK25" s="49" t="s">
        <v>214</v>
      </c>
      <c r="AL25" s="49" t="s">
        <v>214</v>
      </c>
      <c r="AM25" s="49" t="s">
        <v>214</v>
      </c>
      <c r="AN25" s="49" t="s">
        <v>214</v>
      </c>
      <c r="AO25" s="49" t="s">
        <v>214</v>
      </c>
      <c r="AP25" s="49"/>
      <c r="AQ25" s="51"/>
      <c r="AR25" s="52" t="s">
        <v>292</v>
      </c>
      <c r="AS25" s="46" t="s">
        <v>216</v>
      </c>
      <c r="AT25" s="53" t="s">
        <v>217</v>
      </c>
      <c r="AU25" s="54">
        <v>42972</v>
      </c>
      <c r="AV25" s="105">
        <v>43097</v>
      </c>
      <c r="AW25" s="56" t="s">
        <v>218</v>
      </c>
      <c r="AX25" s="57" t="s">
        <v>218</v>
      </c>
      <c r="AY25" s="58"/>
      <c r="AZ25" s="58" t="s">
        <v>219</v>
      </c>
      <c r="BA25" s="58">
        <v>20</v>
      </c>
      <c r="BB25" s="58">
        <v>10000</v>
      </c>
      <c r="BC25" s="59" t="s">
        <v>220</v>
      </c>
      <c r="BD25" s="60" t="s">
        <v>221</v>
      </c>
      <c r="BE25" s="58" t="s">
        <v>213</v>
      </c>
      <c r="BF25" s="51" t="s">
        <v>213</v>
      </c>
      <c r="BG25" s="45" t="s">
        <v>292</v>
      </c>
      <c r="BH25" s="61" t="s">
        <v>222</v>
      </c>
      <c r="BI25" s="62" t="str">
        <f>IF(ISERROR(VLOOKUP(BH25,[8]PLANOS!B:C,2,0)),"",VLOOKUP(BH25,[8]PLANOS!B:C,2,0))</f>
        <v>PCS-4P6pi</v>
      </c>
      <c r="BJ25" s="63">
        <v>50.1</v>
      </c>
      <c r="BK25" s="64">
        <f>IF(BJ25=0,"",IF(BJ25=VLOOKUP("FIXO",[8]ARBOR!$A:$C,3,0),0.0001,IF(BJ25&gt;VLOOKUP("FIXO",[8]ARBOR!$A:$C,3,0),"Maior que CAP!",IF((DOLLAR(BJ25+(VLOOKUP("FIXO",[8]ARBOR!$A:$C,3,0)*-TRUNC(BJ25/VLOOKUP("FIXO",[8]ARBOR!$A:$C,3,0)-1,4)),6))&lt;&gt;(DOLLAR(VLOOKUP("FIXO",[8]ARBOR!$A:$C,3,0),6)),-TRUNC(BJ25/VLOOKUP("FIXO",[8]ARBOR!$A:$C,3,0)-1,4)+0.0001,-TRUNC(BJ25/VLOOKUP("FIXO",[8]ARBOR!$A:$C,3,0)-1,4)))))</f>
        <v>0.33939999999999998</v>
      </c>
      <c r="BL25" s="65" t="str">
        <f>IF(ISERROR(IF(BK25="","",VLOOKUP(($BH25&amp;BK25&amp;"Template de desconto FLAT bundle - Fixo - Varejo - Ganho Tributário Cross"),[8]BENEFICIOS!$A:$E,5,0))),"Criar",IF(BK25="","",VLOOKUP(($BH25&amp;BK25&amp;"Template de desconto FLAT bundle - Fixo - Varejo - Ganho Tributário Cross"),[8]BENEFICIOS!$A:$E,5,0)))</f>
        <v>MKT-1-9856472058</v>
      </c>
      <c r="BM25" s="66"/>
      <c r="BN25" s="67"/>
      <c r="BO25" s="68" t="s">
        <v>161</v>
      </c>
      <c r="BP25" s="69">
        <v>44.9</v>
      </c>
      <c r="BQ25" s="64">
        <f>IF(BP25=0,"",IF(BP25=VLOOKUP("PCS-30874g",[8]ARBOR!$A:$C,3,0),0.0001,IF(BP25&gt;VLOOKUP("PCS-30874g",[8]ARBOR!$A:$C,3,0),"Maior que CAP!",IF((DOLLAR(BP25+(VLOOKUP("PCS-30874g",[8]ARBOR!$A:$C,3,0)*-TRUNC(BP25/VLOOKUP("PCS-30874g",[8]ARBOR!$A:$C,3,0)-1,4)),6))&lt;&gt;(DOLLAR(VLOOKUP("PCS-30874g",[8]ARBOR!$A:$C,3,0),6)),-TRUNC(BP25/VLOOKUP("PCS-30874g",[8]ARBOR!$A:$C,3,0)-1,4)+0.0001,-TRUNC(BP25/VLOOKUP("PCS-30874g",[8]ARBOR!$A:$C,3,0)-1,4)))))</f>
        <v>0.53679999999999994</v>
      </c>
      <c r="BR25" s="65" t="str">
        <f>IF(ISERROR(IF(BQ25="","",VLOOKUP(($BH25&amp;BQ25&amp;"Template de desconto FLAT bundle - Velox XDSL - Varejo"),[8]BENEFICIOS!$A:$E,5,0))),"Criar",IF(BQ25="","",VLOOKUP(($BH25&amp;BQ25&amp;"Template de desconto FLAT bundle - Velox XDSL - Varejo"),[8]BENEFICIOS!$A:$E,5,0)))</f>
        <v>MKT-1-9865126733</v>
      </c>
      <c r="BS25" s="68" t="s">
        <v>161</v>
      </c>
      <c r="BT25" s="69">
        <v>44.9</v>
      </c>
      <c r="BU25" s="64">
        <f>IF(BT25=0,"",IF(BT25=VLOOKUP("PCS-30577g",[8]ARBOR!$A:$C,3,0),0.0001,IF(BT25&gt;VLOOKUP("PCS-30577g",[8]ARBOR!$A:$C,3,0),"Maior que CAP!",IF((DOLLAR(BT25+(VLOOKUP("PCS-30577g",[8]ARBOR!$A:$C,3,0)*-TRUNC(BT25/VLOOKUP("PCS-30577g",[8]ARBOR!$A:$C,3,0)-1,4)),6))&lt;&gt;(DOLLAR(VLOOKUP("PCS-30577g",[8]ARBOR!$A:$C,3,0),6)),-TRUNC(BT25/VLOOKUP("PCS-30577g",[8]ARBOR!$A:$C,3,0)-1,4)+0.0001,-TRUNC(BT25/VLOOKUP("PCS-30577g",[8]ARBOR!$A:$C,3,0)-1,4)))))</f>
        <v>0.53679999999999994</v>
      </c>
      <c r="BV25" s="65" t="str">
        <f>IF(ISERROR(IF(BU25="","",VLOOKUP(($BH25&amp;BU25&amp;"Template de desconto FLAT bundle - Velox XDSL - Varejo"),[8]BENEFICIOS!$A:$E,5,0))),"Criar",IF(BU25="","",VLOOKUP(($BH25&amp;BU25&amp;"Template de desconto FLAT bundle - Velox XDSL - Varejo"),[8]BENEFICIOS!$A:$E,5,0)))</f>
        <v>MKT-1-9865126733</v>
      </c>
      <c r="BW25" s="68" t="s">
        <v>161</v>
      </c>
      <c r="BX25" s="69">
        <v>44.9</v>
      </c>
      <c r="BY25" s="64">
        <f>IF(BX25=0,"",IF(BX25=VLOOKUP("PCS-30604g",[8]ARBOR!$A:$C,3,0),0.0001,IF(BX25&gt;VLOOKUP("PCS-30604g",[8]ARBOR!$A:$C,3,0),"Maior que CAP!",IF((DOLLAR(BX25+(VLOOKUP("PCS-30604g",[8]ARBOR!$A:$C,3,0)*-TRUNC(BX25/VLOOKUP("PCS-30604g",[8]ARBOR!$A:$C,3,0)-1,4)),6))&lt;&gt;(DOLLAR(VLOOKUP("PCS-30604g",[8]ARBOR!$A:$C,3,0),6)),-TRUNC(BX25/VLOOKUP("PCS-30604g",[8]ARBOR!$A:$C,3,0)-1,4)+0.0001,-TRUNC(BX25/VLOOKUP("PCS-30604g",[8]ARBOR!$A:$C,3,0)-1,4)))))</f>
        <v>0.53679999999999994</v>
      </c>
      <c r="BZ25" s="65" t="str">
        <f>IF(ISERROR(IF(BY25="","",VLOOKUP(($BH25&amp;BY25&amp;"Template de desconto FLAT bundle - Velox XDSL - Varejo"),[8]BENEFICIOS!$A:$E,5,0))),"Criar",IF(BY25="","",VLOOKUP(($BH25&amp;BY25&amp;"Template de desconto FLAT bundle - Velox XDSL - Varejo"),[8]BENEFICIOS!$A:$E,5,0)))</f>
        <v>MKT-1-9865126733</v>
      </c>
      <c r="CA25" s="68" t="s">
        <v>161</v>
      </c>
      <c r="CB25" s="69">
        <v>44.9</v>
      </c>
      <c r="CC25" s="64">
        <f>IF(CB25=0,"",IF(CB25=VLOOKUP("PCS-30631g",[8]ARBOR!$A:$C,3,0),0.0001,IF(CB25&gt;VLOOKUP("PCS-30631g",[8]ARBOR!$A:$C,3,0),"Maior que CAP!",IF((DOLLAR(CB25+(VLOOKUP("PCS-30631g",[8]ARBOR!$A:$C,3,0)*-TRUNC(CB25/VLOOKUP("PCS-30631g",[8]ARBOR!$A:$C,3,0)-1,4)),6))&lt;&gt;(DOLLAR(VLOOKUP("PCS-30631g",[8]ARBOR!$A:$C,3,0),6)),-TRUNC(CB25/VLOOKUP("PCS-30631g",[8]ARBOR!$A:$C,3,0)-1,4)+0.0001,-TRUNC(CB25/VLOOKUP("PCS-30631g",[8]ARBOR!$A:$C,3,0)-1,4)))))</f>
        <v>0.54310000000000003</v>
      </c>
      <c r="CD25" s="65" t="str">
        <f>IF(ISERROR(IF(CC25="","",VLOOKUP(($BH25&amp;CC25&amp;"Template de desconto FLAT bundle - Velox XDSL - Varejo"),[8]BENEFICIOS!$A:$E,5,0))),"Criar",IF(CC25="","",VLOOKUP(($BH25&amp;CC25&amp;"Template de desconto FLAT bundle - Velox XDSL - Varejo"),[8]BENEFICIOS!$A:$E,5,0)))</f>
        <v>MKT-1-9865126826</v>
      </c>
      <c r="CE25" s="68"/>
      <c r="CF25" s="69"/>
      <c r="CG25" s="64" t="str">
        <f>IF(CF25=0,"",IF(CF25=VLOOKUP("PCS-30658g",[8]ARBOR!$A:$C,3,0),0.0001,IF(CF25&gt;VLOOKUP("PCS-30658g",[8]ARBOR!$A:$C,3,0),"Maior que CAP!",IF((DOLLAR(CF25+(VLOOKUP("PCS-30658g",[8]ARBOR!$A:$C,3,0)*-TRUNC(CF25/VLOOKUP("PCS-30658g",[8]ARBOR!$A:$C,3,0)-1,4)),6))&lt;&gt;(DOLLAR(VLOOKUP("PCS-30658g",[8]ARBOR!$A:$C,3,0),6)),-TRUNC(CF25/VLOOKUP("PCS-30658g",[8]ARBOR!$A:$C,3,0)-1,4)+0.0001,-TRUNC(CF25/VLOOKUP("PCS-30658g",[8]ARBOR!$A:$C,3,0)-1,4)))))</f>
        <v/>
      </c>
      <c r="CH25" s="65" t="str">
        <f>IF(ISERROR(IF(CG25="","",VLOOKUP(($BH25&amp;CG25&amp;"Template de desconto FLAT bundle - Velox XDSL - Varejo"),[8]BENEFICIOS!$A:$E,5,0))),"Criar",IF(CG25="","",VLOOKUP(($BH25&amp;CG25&amp;"Template de desconto FLAT bundle - Velox XDSL - Varejo"),[8]BENEFICIOS!$A:$E,5,0)))</f>
        <v/>
      </c>
      <c r="CI25" s="68"/>
      <c r="CJ25" s="69"/>
      <c r="CK25" s="64" t="str">
        <f>IF(CJ25=0,"",IF(CJ25=VLOOKUP("PCS-30685g",[8]ARBOR!$A:$C,3,0),0.0001,IF(CJ25&gt;VLOOKUP("PCS-30685g",[8]ARBOR!$A:$C,3,0),"Maior que CAP!",IF((DOLLAR(CJ25+(VLOOKUP("PCS-30685g",[8]ARBOR!$A:$C,3,0)*-TRUNC(CJ25/VLOOKUP("PCS-30685g",[8]ARBOR!$A:$C,3,0)-1,4)),6))&lt;&gt;(DOLLAR(VLOOKUP("PCS-30685g",[8]ARBOR!$A:$C,3,0),6)),-TRUNC(CJ25/VLOOKUP("PCS-30685g",[8]ARBOR!$A:$C,3,0)-1,4)+0.0001,-TRUNC(CJ25/VLOOKUP("PCS-30685g",[8]ARBOR!$A:$C,3,0)-1,4)))))</f>
        <v/>
      </c>
      <c r="CL25" s="65" t="str">
        <f>IF(ISERROR(IF(CK25="","",VLOOKUP(($BH25&amp;CK25&amp;"Template de desconto FLAT bundle - Velox XDSL - Varejo"),[8]BENEFICIOS!$A:$E,5,0))),"Criar",IF(CK25="","",VLOOKUP(($BH25&amp;CK25&amp;"Template de desconto FLAT bundle - Velox XDSL - Varejo"),[8]BENEFICIOS!$A:$E,5,0)))</f>
        <v/>
      </c>
      <c r="CM25" s="68"/>
      <c r="CN25" s="69"/>
      <c r="CO25" s="64" t="str">
        <f>IF(CN25=0,"",IF(CN25=VLOOKUP("PCS-30712g",[8]ARBOR!$A:$C,3,0),0.0001,IF(CN25&gt;VLOOKUP("PCS-30712g",[8]ARBOR!$A:$C,3,0),"Maior que CAP!",IF((DOLLAR(CN25+(VLOOKUP("PCS-30712g",[8]ARBOR!$A:$C,3,0)*-TRUNC(CN25/VLOOKUP("PCS-30712g",[8]ARBOR!$A:$C,3,0)-1,4)),6))&lt;&gt;(DOLLAR(VLOOKUP("PCS-30712g",[8]ARBOR!$A:$C,3,0),6)),-TRUNC(CN25/VLOOKUP("PCS-30712g",[8]ARBOR!$A:$C,3,0)-1,4)+0.0001,-TRUNC(CN25/VLOOKUP("PCS-30712g",[8]ARBOR!$A:$C,3,0)-1,4)))))</f>
        <v/>
      </c>
      <c r="CP25" s="65" t="str">
        <f>IF(ISERROR(IF(CO25="","",VLOOKUP(($BH25&amp;CO25&amp;"Template de desconto FLAT bundle - Velox XDSL - Varejo"),[8]BENEFICIOS!$A:$E,5,0))),"Criar",IF(CO25="","",VLOOKUP(($BH25&amp;CO25&amp;"Template de desconto FLAT bundle - Velox XDSL - Varejo"),[8]BENEFICIOS!$A:$E,5,0)))</f>
        <v/>
      </c>
      <c r="CQ25" s="68"/>
      <c r="CR25" s="69"/>
      <c r="CS25" s="64" t="str">
        <f>IF(CR25=0,"",IF(CR25=VLOOKUP("PCS-30739g",[8]ARBOR!$A:$C,3,0),0.0001,IF(CR25&gt;VLOOKUP("PCS-30739g",[8]ARBOR!$A:$C,3,0),"Maior que CAP!",IF((DOLLAR(CR25+(VLOOKUP("PCS-30739g",[8]ARBOR!$A:$C,3,0)*-TRUNC(CR25/VLOOKUP("PCS-30739g",[8]ARBOR!$A:$C,3,0)-1,4)),6))&lt;&gt;(DOLLAR(VLOOKUP("PCS-30739g",[8]ARBOR!$A:$C,3,0),6)),-TRUNC(CR25/VLOOKUP("PCS-30739g",[8]ARBOR!$A:$C,3,0)-1,4)+0.0001,-TRUNC(CR25/VLOOKUP("PCS-30739g",[8]ARBOR!$A:$C,3,0)-1,4)))))</f>
        <v/>
      </c>
      <c r="CT25" s="65" t="str">
        <f>IF(ISERROR(IF(CS25="","",VLOOKUP(($BH25&amp;CS25&amp;"Template de desconto FLAT bundle - Velox XDSL - Varejo"),[8]BENEFICIOS!$A:$E,5,0))),"Criar",IF(CS25="","",VLOOKUP(($BH25&amp;CS25&amp;"Template de desconto FLAT bundle - Velox XDSL - Varejo"),[8]BENEFICIOS!$A:$E,5,0)))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IF(CZ25=0,"",IF(CZ25=VLOOKUP("PCS-30766g",[8]ARBOR!$A:$C,3,0),0.0001,IF(CZ25&gt;VLOOKUP("PCS-30766g",[8]ARBOR!$A:$C,3,0),"Maior que CAP!",IF((DOLLAR(CZ25+(VLOOKUP("PCS-30766g",[8]ARBOR!$A:$C,3,0)*-TRUNC(CZ25/VLOOKUP("PCS-30766g",[8]ARBOR!$A:$C,3,0)-1,4)),6))&lt;&gt;(DOLLAR(VLOOKUP("PCS-30766g",[8]ARBOR!$A:$C,3,0),6)),-TRUNC(CZ25/VLOOKUP("PCS-30766g",[8]ARBOR!$A:$C,3,0)-1,4)+0.0001,-TRUNC(CZ25/VLOOKUP("PCS-30766g",[8]ARBOR!$A:$C,3,0)-1,4)))))</f>
        <v/>
      </c>
      <c r="DB25" s="65" t="str">
        <f>IF(ISERROR(IF(DA25="","",VLOOKUP(($BH25&amp;DA25&amp;"Template de desconto FLAT bundle - Velox XDSL - Varejo"),[8]BENEFICIOS!$A:$E,5,0))),"Criar",IF(DA25="","",VLOOKUP(($BH25&amp;DA25&amp;"Template de desconto FLAT bundle - Velox XDSL - Varejo"),[8]BENEFICIOS!$A:$E,5,0)))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IF(DH25=0,"",IF(DH25=VLOOKUP("PCS-30793g",[8]ARBOR!$A:$C,3,0),0.0001,IF(DH25&gt;VLOOKUP("PCS-30793g",[8]ARBOR!$A:$C,3,0),"Maior que CAP!",IF((DOLLAR(DH25+(VLOOKUP("PCS-30793g",[8]ARBOR!$A:$C,3,0)*-TRUNC(DH25/VLOOKUP("PCS-30793g",[8]ARBOR!$A:$C,3,0)-1,4)),6))&lt;&gt;(DOLLAR(VLOOKUP("PCS-30793g",[8]ARBOR!$A:$C,3,0),6)),-TRUNC(DH25/VLOOKUP("PCS-30793g",[8]ARBOR!$A:$C,3,0)-1,4)+0.0001,-TRUNC(DH25/VLOOKUP("PCS-30793g",[8]ARBOR!$A:$C,3,0)-1,4)))))</f>
        <v/>
      </c>
      <c r="DJ25" s="65" t="str">
        <f>IF(ISERROR(IF(DI25="","",VLOOKUP(($BH25&amp;DI25&amp;"Template de desconto FLAT bundle - Velox XDSL - Varejo"),[8]BENEFICIOS!$A:$E,5,0))),"Criar",IF(DI25="","",VLOOKUP(($BH25&amp;DI25&amp;"Template de desconto FLAT bundle - Velox XDSL - Varejo"),[8]BENEFICIOS!$A:$E,5,0)))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IF(DP25=0,"",IF(DP25=VLOOKUP("PCS-30820g",[8]ARBOR!$A:$C,3,0),0.0001,IF(DP25&gt;VLOOKUP("PCS-30820g",[8]ARBOR!$A:$C,3,0),"Maior que CAP!",IF((DOLLAR(DP25+(VLOOKUP("PCS-30820g",[8]ARBOR!$A:$C,3,0)*-TRUNC(DP25/VLOOKUP("PCS-30820g",[8]ARBOR!$A:$C,3,0)-1,4)),6))&lt;&gt;(DOLLAR(VLOOKUP("PCS-30820g",[8]ARBOR!$A:$C,3,0),6)),-TRUNC(DP25/VLOOKUP("PCS-30820g",[8]ARBOR!$A:$C,3,0)-1,4)+0.0001,-TRUNC(DP25/VLOOKUP("PCS-30820g",[8]ARBOR!$A:$C,3,0)-1,4)))))</f>
        <v/>
      </c>
      <c r="DR25" s="65" t="str">
        <f>IF(ISERROR(IF(DQ25="","",VLOOKUP(($BH25&amp;DQ25&amp;"Template de desconto FLAT bundle - Velox XDSL - Varejo"),[8]BENEFICIOS!$A:$E,5,0))),"Criar",IF(DQ25="","",VLOOKUP(($BH25&amp;DQ25&amp;"Template de desconto FLAT bundle - Velox XDSL - Varejo"),[8]BENEFICIOS!$A:$E,5,0)))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IF(DW25=0,"",IF(DW25=VLOOKUP("PCS-21448p2",[8]ARBOR!$A:$C,3,0),0.0001,IF(DW25&gt;VLOOKUP("PCS-21448p2",[8]ARBOR!$A:$C,3,0),"Maior que CAP!",IF((DOLLAR(DW25+(VLOOKUP("PCS-21448p2",[8]ARBOR!$A:$C,3,0)*-TRUNC(DW25/VLOOKUP("PCS-21448p2",[8]ARBOR!$A:$C,3,0)-1,4)),6))&lt;&gt;(DOLLAR(VLOOKUP("PCS-21448p2",[8]ARBOR!$A:$C,3,0),6)),-TRUNC(DW25/VLOOKUP("PCS-21448p2",[8]ARBOR!$A:$C,3,0)-1,4)+0.0001,-TRUNC(DW25/VLOOKUP("PCS-21448p2",[8]ARBOR!$A:$C,3,0)-1,4)))))</f>
        <v>0.64900000000000002</v>
      </c>
      <c r="DY25" s="65" t="str">
        <f>IF(ISERROR(IF(DX25="","",VLOOKUP(("Oi Conta Total Plug 10GB Downgrade"&amp;DX25&amp;"Template de desconto percentual BL Móvel - Internet Total - Varejo"),[8]BENEFICIOS!$A:$E,5,0))),"Criar",IF(DX25="","",VLOOKUP(("Oi Conta Total Plug 10GB Downgrade"&amp;DX25&amp;"Template de desconto percentual BL Móvel - Internet Total - Varejo"),[8]BENEFICIOS!$A:$E,5,0)))</f>
        <v>MKT-1-9825544790</v>
      </c>
      <c r="DZ25" s="71">
        <v>16.5</v>
      </c>
      <c r="EA25" s="72">
        <f>IF(DZ25=0,"",IF(DZ25=VLOOKUP("SVA",[8]ARBOR!$A:$C,3,0),0.0001,IF(DZ25&gt;VLOOKUP("SVA",[8]ARBOR!$A:$C,3,0),"Maior que CAP!",IF((DOLLAR(DZ25+(VLOOKUP("SVA",[8]ARBOR!$A:$C,3,0)*-TRUNC(DZ25/VLOOKUP("SVA",[8]ARBOR!$A:$C,3,0)-1,4)),6))&lt;&gt;(DOLLAR(VLOOKUP("SVA",[8]ARBOR!$A:$C,3,0),6)),-TRUNC(DZ25/VLOOKUP("SVA",[8]ARBOR!$A:$C,3,0)-1,4)+0.0001,-TRUNC(DZ25/VLOOKUP("SVA",[8]ARBOR!$A:$C,3,0)-1,4)))))</f>
        <v>0.2301</v>
      </c>
      <c r="EB25" s="65" t="s">
        <v>223</v>
      </c>
      <c r="EC25" s="69"/>
      <c r="ED25" s="73"/>
      <c r="EE25" s="74"/>
      <c r="EF25" s="65"/>
      <c r="EG25" s="75">
        <f>IF(BI25="","",VLOOKUP(BI25,[8]ARBOR!A:C,3,0))</f>
        <v>479.46</v>
      </c>
      <c r="EH25" s="69">
        <v>15</v>
      </c>
      <c r="EI25" s="76">
        <f>IF(EH25="","",1-(EH25/VLOOKUP(BI25&amp;"ASS",[8]ARBOR!A:C,3,0)))</f>
        <v>0.34725848563968664</v>
      </c>
      <c r="EJ25" s="77" t="s">
        <v>224</v>
      </c>
      <c r="EK25" s="78" t="s">
        <v>225</v>
      </c>
      <c r="EL25" s="69">
        <v>154.36999999999998</v>
      </c>
      <c r="EM25" s="64">
        <f>IF(EL25=0,"",IF(EL25=EG25,0.0001,ROUND(1-((EL25+(VLOOKUP(BI25&amp;"ASS",[8]ARBOR!A:C,3,0)-EH25))/EG25),4)))</f>
        <v>0.66139999999999999</v>
      </c>
      <c r="EN25" s="65" t="str">
        <f>IF(ISERROR(IF(EM25="","",VLOOKUP(($BH25&amp;EM25&amp;"Template de desconto percentual FLAT Móvel - Conta Total - Varejo - Ganho Tributário Cross"),[8]BENEFICIOS!$A:$E,5,0))),"Criar",IF(EM25="","",VLOOKUP(($BH25&amp;EM25&amp;"Template de desconto percentual FLAT Móvel - Conta Total - Varejo - Ganho Tributário Cross"),[8]BENEFICIOS!$A:$E,5,0)))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244</v>
      </c>
      <c r="EV25" s="81" t="s">
        <v>267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IF(FC25=0,"",IF(FC25=VLOOKUP("PCS-10357",[8]ARBOR!$A:$C,3,0),0.0001,IF(FC25&gt;VLOOKUP("PCS-10357",[8]ARBOR!$A:$C,3,0),"Maior que CAP!",ROUND(-1*(FC25/VLOOKUP("PCS-10357",[8]ARBOR!$A:$C,3,0)-1),4))))</f>
        <v/>
      </c>
      <c r="FE25" s="84" t="str">
        <f>IF(ISERROR(IF(FD25="","",VLOOKUP(("Oi Internet Pra Celular 1GB"&amp;FD25&amp;"Template Flat Instância Dados"),[8]BENEFICIOS!$A:$E,5,0))),"Criar",IF(FD25="","",VLOOKUP(("Oi Internet Pra Celular 1GB"&amp;FD25&amp;"Template Flat Instância Dados"),[8]BENEFICIOS!$A:$E,5,0)))</f>
        <v/>
      </c>
      <c r="FF25" s="82"/>
      <c r="FG25" s="83" t="str">
        <f>IF(FF25=0,"",IF(FF25=VLOOKUP("PCS-813565",[8]ARBOR!$A:$C,3,0),0.0001,IF(FF25&gt;VLOOKUP("PCS-813565",[8]ARBOR!$A:$C,3,0),"Maior que CAP!",ROUND(-1*(FF25/VLOOKUP("PCS-813565",[8]ARBOR!$A:$C,3,0)-1),4))))</f>
        <v/>
      </c>
      <c r="FH25" s="84" t="str">
        <f>IF(ISERROR(IF(FG25="","",VLOOKUP(("Oi Internet Pra Celular 2GB"&amp;FG25&amp;"Template Flat Instância Dados"),[8]BENEFICIOS!$A:$E,5,0))),"Criar",IF(FG25="","",VLOOKUP(("Oi Internet Pra Celular 2GB"&amp;FG25&amp;"Template Flat Instância Dados"),[8]BENEFICIOS!$A:$E,5,0)))</f>
        <v/>
      </c>
      <c r="FI25" s="82"/>
      <c r="FJ25" s="83" t="str">
        <f>IF(FI25=0,"",IF(FI25=VLOOKUP("PCS-7171B",[8]ARBOR!$A:$C,3,0),0.0001,IF(FI25&gt;VLOOKUP("PCS-7171B",[8]ARBOR!$A:$C,3,0),"Maior que CAP!",ROUND(-1*(FI25/VLOOKUP("PCS-7171B",[8]ARBOR!$A:$C,3,0)-1),4))))</f>
        <v/>
      </c>
      <c r="FK25" s="84" t="str">
        <f>IF(ISERROR(IF(FJ25="","",VLOOKUP(("Oi Internet Pra Celular 3GB"&amp;FJ25&amp;"Template Flat Instância Dados"),[8]BENEFICIOS!$A:$E,5,0))),"Criar",IF(FJ25="","",VLOOKUP(("Oi Internet Pra Celular 3GB"&amp;FJ25&amp;"Template Flat Instância Dados"),[8]BENEFICIOS!$A:$E,5,0)))</f>
        <v/>
      </c>
      <c r="FL25" s="82"/>
      <c r="FM25" s="83"/>
      <c r="FN25" s="84"/>
      <c r="FO25" s="82">
        <v>35.53</v>
      </c>
      <c r="FP25" s="83">
        <f>IF(FO25=0,"",IF(FO25=VLOOKUP("PCS-7171A",[8]ARBOR!$A:$C,3,0),0.0001,IF(FO25&gt;VLOOKUP("PCS-7171A",[8]ARBOR!$A:$C,3,0),"Maior que CAP!",ROUND(-1*(FO25/VLOOKUP("PCS-7171A",[8]ARBOR!$A:$C,3,0)-1),4))))</f>
        <v>0.81899999999999995</v>
      </c>
      <c r="FQ25" s="84" t="str">
        <f>IF(ISERROR(IF(FP25="","",VLOOKUP(("Oi Internet Pra Celular 10GB"&amp;FP25&amp;"Template Flat Instância Dados"),[8]BENEFICIOS!$A:$E,5,0))),"Criar",IF(FP25="","",VLOOKUP(("Oi Internet Pra Celular 10GB"&amp;FP25&amp;"Template Flat Instância Dados"),[8]BENEFICIOS!$A:$E,5,0)))</f>
        <v>MKT-1-9869971287</v>
      </c>
      <c r="FR25" s="85">
        <v>0.74260000000000004</v>
      </c>
      <c r="FS25" s="86" t="s">
        <v>262</v>
      </c>
      <c r="FT25" s="48"/>
      <c r="FU25" s="87"/>
      <c r="FV25" s="88" t="s">
        <v>221</v>
      </c>
      <c r="FW25" s="49" t="s">
        <v>226</v>
      </c>
      <c r="FX25" s="89">
        <v>999</v>
      </c>
      <c r="FY25" s="49">
        <v>12</v>
      </c>
      <c r="FZ25" s="90" t="s">
        <v>227</v>
      </c>
      <c r="GA25" s="91" t="str">
        <f t="shared" si="1"/>
        <v>PCS-Fk83324</v>
      </c>
      <c r="GB25" s="92" t="str">
        <f t="shared" si="2"/>
        <v>PCS-SBL553142</v>
      </c>
      <c r="GC25" s="93" t="s">
        <v>228</v>
      </c>
      <c r="GD25" s="90" t="s">
        <v>229</v>
      </c>
      <c r="GE25" s="92" t="s">
        <v>230</v>
      </c>
      <c r="GF25" s="93" t="s">
        <v>231</v>
      </c>
      <c r="GG25" s="90" t="s">
        <v>232</v>
      </c>
      <c r="GH25" s="92" t="s">
        <v>233</v>
      </c>
      <c r="GI25" s="94" t="s">
        <v>234</v>
      </c>
      <c r="GJ25" s="95">
        <f>FO25+EL25+DW25+BJ25</f>
        <v>284.89999999999998</v>
      </c>
      <c r="GK25" s="96"/>
      <c r="GL25" s="97" t="s">
        <v>235</v>
      </c>
      <c r="GM25" s="98" t="s">
        <v>272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293</v>
      </c>
      <c r="GX25" s="44" t="s">
        <v>238</v>
      </c>
    </row>
    <row r="26" spans="1:206" s="44" customFormat="1" x14ac:dyDescent="0.35">
      <c r="A26" s="44" t="str">
        <f t="shared" si="0"/>
        <v>Oi Total Fixo + Pós 800 + Banda LargaN210GBMG</v>
      </c>
      <c r="B26" s="45" t="s">
        <v>211</v>
      </c>
      <c r="C26" s="46" t="s">
        <v>127</v>
      </c>
      <c r="D26" s="46" t="s">
        <v>212</v>
      </c>
      <c r="E26" s="47" t="s">
        <v>213</v>
      </c>
      <c r="F26" s="88" t="s">
        <v>214</v>
      </c>
      <c r="G26" s="49"/>
      <c r="H26" s="49"/>
      <c r="I26" s="49"/>
      <c r="J26" s="49" t="s">
        <v>214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214</v>
      </c>
      <c r="AC26" s="49" t="s">
        <v>214</v>
      </c>
      <c r="AD26" s="49" t="s">
        <v>214</v>
      </c>
      <c r="AE26" s="49" t="s">
        <v>214</v>
      </c>
      <c r="AF26" s="49" t="s">
        <v>214</v>
      </c>
      <c r="AG26" s="49" t="s">
        <v>214</v>
      </c>
      <c r="AH26" s="50"/>
      <c r="AI26" s="49" t="s">
        <v>214</v>
      </c>
      <c r="AJ26" s="49" t="s">
        <v>214</v>
      </c>
      <c r="AK26" s="49" t="s">
        <v>214</v>
      </c>
      <c r="AL26" s="49" t="s">
        <v>214</v>
      </c>
      <c r="AM26" s="49" t="s">
        <v>214</v>
      </c>
      <c r="AN26" s="49" t="s">
        <v>214</v>
      </c>
      <c r="AO26" s="49" t="s">
        <v>214</v>
      </c>
      <c r="AP26" s="49"/>
      <c r="AQ26" s="51"/>
      <c r="AR26" s="52" t="s">
        <v>294</v>
      </c>
      <c r="AS26" s="46" t="s">
        <v>216</v>
      </c>
      <c r="AT26" s="53" t="s">
        <v>217</v>
      </c>
      <c r="AU26" s="54">
        <v>42972</v>
      </c>
      <c r="AV26" s="105">
        <v>43097</v>
      </c>
      <c r="AW26" s="56" t="s">
        <v>218</v>
      </c>
      <c r="AX26" s="57" t="s">
        <v>218</v>
      </c>
      <c r="AY26" s="58"/>
      <c r="AZ26" s="58" t="s">
        <v>219</v>
      </c>
      <c r="BA26" s="58">
        <v>20</v>
      </c>
      <c r="BB26" s="58">
        <v>10000</v>
      </c>
      <c r="BC26" s="59" t="s">
        <v>220</v>
      </c>
      <c r="BD26" s="60" t="s">
        <v>221</v>
      </c>
      <c r="BE26" s="58" t="s">
        <v>213</v>
      </c>
      <c r="BF26" s="51" t="s">
        <v>213</v>
      </c>
      <c r="BG26" s="45" t="s">
        <v>294</v>
      </c>
      <c r="BH26" s="61" t="s">
        <v>222</v>
      </c>
      <c r="BI26" s="62" t="str">
        <f>IF(ISERROR(VLOOKUP(BH26,[8]PLANOS!B:C,2,0)),"",VLOOKUP(BH26,[8]PLANOS!B:C,2,0))</f>
        <v>PCS-4P6pi</v>
      </c>
      <c r="BJ26" s="63">
        <v>50.1</v>
      </c>
      <c r="BK26" s="64">
        <f>IF(BJ26=0,"",IF(BJ26=VLOOKUP("FIXO",[8]ARBOR!$A:$C,3,0),0.0001,IF(BJ26&gt;VLOOKUP("FIXO",[8]ARBOR!$A:$C,3,0),"Maior que CAP!",IF((DOLLAR(BJ26+(VLOOKUP("FIXO",[8]ARBOR!$A:$C,3,0)*-TRUNC(BJ26/VLOOKUP("FIXO",[8]ARBOR!$A:$C,3,0)-1,4)),6))&lt;&gt;(DOLLAR(VLOOKUP("FIXO",[8]ARBOR!$A:$C,3,0),6)),-TRUNC(BJ26/VLOOKUP("FIXO",[8]ARBOR!$A:$C,3,0)-1,4)+0.0001,-TRUNC(BJ26/VLOOKUP("FIXO",[8]ARBOR!$A:$C,3,0)-1,4)))))</f>
        <v>0.33939999999999998</v>
      </c>
      <c r="BL26" s="65" t="str">
        <f>IF(ISERROR(IF(BK26="","",VLOOKUP(($BH26&amp;BK26&amp;"Template de desconto FLAT bundle - Fixo - Varejo - Ganho Tributário Cross"),[8]BENEFICIOS!$A:$E,5,0))),"Criar",IF(BK26="","",VLOOKUP(($BH26&amp;BK26&amp;"Template de desconto FLAT bundle - Fixo - Varejo - Ganho Tributário Cross"),[8]BENEFICIOS!$A:$E,5,0)))</f>
        <v>MKT-1-9856472058</v>
      </c>
      <c r="BM26" s="66"/>
      <c r="BN26" s="67"/>
      <c r="BO26" s="104" t="s">
        <v>240</v>
      </c>
      <c r="BP26" s="69">
        <v>44.9</v>
      </c>
      <c r="BQ26" s="64">
        <f>IF(BP26=0,"",IF(BP26=VLOOKUP("PCS-30874g",[8]ARBOR!$A:$C,3,0),0.0001,IF(BP26&gt;VLOOKUP("PCS-30874g",[8]ARBOR!$A:$C,3,0),"Maior que CAP!",IF((DOLLAR(BP26+(VLOOKUP("PCS-30874g",[8]ARBOR!$A:$C,3,0)*-TRUNC(BP26/VLOOKUP("PCS-30874g",[8]ARBOR!$A:$C,3,0)-1,4)),6))&lt;&gt;(DOLLAR(VLOOKUP("PCS-30874g",[8]ARBOR!$A:$C,3,0),6)),-TRUNC(BP26/VLOOKUP("PCS-30874g",[8]ARBOR!$A:$C,3,0)-1,4)+0.0001,-TRUNC(BP26/VLOOKUP("PCS-30874g",[8]ARBOR!$A:$C,3,0)-1,4)))))</f>
        <v>0.53679999999999994</v>
      </c>
      <c r="BR26" s="65" t="str">
        <f>IF(ISERROR(IF(BQ26="","",VLOOKUP(($BH26&amp;BQ26&amp;"Template de desconto FLAT bundle - Velox XDSL - Varejo"),[8]BENEFICIOS!$A:$E,5,0))),"Criar",IF(BQ26="","",VLOOKUP(($BH26&amp;BQ26&amp;"Template de desconto FLAT bundle - Velox XDSL - Varejo"),[8]BENEFICIOS!$A:$E,5,0)))</f>
        <v>MKT-1-9865126733</v>
      </c>
      <c r="BS26" s="104" t="s">
        <v>240</v>
      </c>
      <c r="BT26" s="69">
        <v>44.9</v>
      </c>
      <c r="BU26" s="64">
        <f>IF(BT26=0,"",IF(BT26=VLOOKUP("PCS-30577g",[8]ARBOR!$A:$C,3,0),0.0001,IF(BT26&gt;VLOOKUP("PCS-30577g",[8]ARBOR!$A:$C,3,0),"Maior que CAP!",IF((DOLLAR(BT26+(VLOOKUP("PCS-30577g",[8]ARBOR!$A:$C,3,0)*-TRUNC(BT26/VLOOKUP("PCS-30577g",[8]ARBOR!$A:$C,3,0)-1,4)),6))&lt;&gt;(DOLLAR(VLOOKUP("PCS-30577g",[8]ARBOR!$A:$C,3,0),6)),-TRUNC(BT26/VLOOKUP("PCS-30577g",[8]ARBOR!$A:$C,3,0)-1,4)+0.0001,-TRUNC(BT26/VLOOKUP("PCS-30577g",[8]ARBOR!$A:$C,3,0)-1,4)))))</f>
        <v>0.53679999999999994</v>
      </c>
      <c r="BV26" s="65" t="str">
        <f>IF(ISERROR(IF(BU26="","",VLOOKUP(($BH26&amp;BU26&amp;"Template de desconto FLAT bundle - Velox XDSL - Varejo"),[8]BENEFICIOS!$A:$E,5,0))),"Criar",IF(BU26="","",VLOOKUP(($BH26&amp;BU26&amp;"Template de desconto FLAT bundle - Velox XDSL - Varejo"),[8]BENEFICIOS!$A:$E,5,0)))</f>
        <v>MKT-1-9865126733</v>
      </c>
      <c r="BW26" s="104" t="s">
        <v>240</v>
      </c>
      <c r="BX26" s="69">
        <v>44.9</v>
      </c>
      <c r="BY26" s="64">
        <f>IF(BX26=0,"",IF(BX26=VLOOKUP("PCS-30604g",[8]ARBOR!$A:$C,3,0),0.0001,IF(BX26&gt;VLOOKUP("PCS-30604g",[8]ARBOR!$A:$C,3,0),"Maior que CAP!",IF((DOLLAR(BX26+(VLOOKUP("PCS-30604g",[8]ARBOR!$A:$C,3,0)*-TRUNC(BX26/VLOOKUP("PCS-30604g",[8]ARBOR!$A:$C,3,0)-1,4)),6))&lt;&gt;(DOLLAR(VLOOKUP("PCS-30604g",[8]ARBOR!$A:$C,3,0),6)),-TRUNC(BX26/VLOOKUP("PCS-30604g",[8]ARBOR!$A:$C,3,0)-1,4)+0.0001,-TRUNC(BX26/VLOOKUP("PCS-30604g",[8]ARBOR!$A:$C,3,0)-1,4)))))</f>
        <v>0.53679999999999994</v>
      </c>
      <c r="BZ26" s="65" t="str">
        <f>IF(ISERROR(IF(BY26="","",VLOOKUP(($BH26&amp;BY26&amp;"Template de desconto FLAT bundle - Velox XDSL - Varejo"),[8]BENEFICIOS!$A:$E,5,0))),"Criar",IF(BY26="","",VLOOKUP(($BH26&amp;BY26&amp;"Template de desconto FLAT bundle - Velox XDSL - Varejo"),[8]BENEFICIOS!$A:$E,5,0)))</f>
        <v>MKT-1-9865126733</v>
      </c>
      <c r="CA26" s="104" t="s">
        <v>240</v>
      </c>
      <c r="CB26" s="69">
        <v>44.9</v>
      </c>
      <c r="CC26" s="64">
        <f>IF(CB26=0,"",IF(CB26=VLOOKUP("PCS-30631g",[8]ARBOR!$A:$C,3,0),0.0001,IF(CB26&gt;VLOOKUP("PCS-30631g",[8]ARBOR!$A:$C,3,0),"Maior que CAP!",IF((DOLLAR(CB26+(VLOOKUP("PCS-30631g",[8]ARBOR!$A:$C,3,0)*-TRUNC(CB26/VLOOKUP("PCS-30631g",[8]ARBOR!$A:$C,3,0)-1,4)),6))&lt;&gt;(DOLLAR(VLOOKUP("PCS-30631g",[8]ARBOR!$A:$C,3,0),6)),-TRUNC(CB26/VLOOKUP("PCS-30631g",[8]ARBOR!$A:$C,3,0)-1,4)+0.0001,-TRUNC(CB26/VLOOKUP("PCS-30631g",[8]ARBOR!$A:$C,3,0)-1,4)))))</f>
        <v>0.54310000000000003</v>
      </c>
      <c r="CD26" s="65" t="str">
        <f>IF(ISERROR(IF(CC26="","",VLOOKUP(($BH26&amp;CC26&amp;"Template de desconto FLAT bundle - Velox XDSL - Varejo"),[8]BENEFICIOS!$A:$E,5,0))),"Criar",IF(CC26="","",VLOOKUP(($BH26&amp;CC26&amp;"Template de desconto FLAT bundle - Velox XDSL - Varejo"),[8]BENEFICIOS!$A:$E,5,0)))</f>
        <v>MKT-1-9865126826</v>
      </c>
      <c r="CE26" s="68" t="s">
        <v>161</v>
      </c>
      <c r="CF26" s="69">
        <v>49.9</v>
      </c>
      <c r="CG26" s="64">
        <f>IF(CF26=0,"",IF(CF26=VLOOKUP("PCS-30658g",[8]ARBOR!$A:$C,3,0),0.0001,IF(CF26&gt;VLOOKUP("PCS-30658g",[8]ARBOR!$A:$C,3,0),"Maior que CAP!",IF((DOLLAR(CF26+(VLOOKUP("PCS-30658g",[8]ARBOR!$A:$C,3,0)*-TRUNC(CF26/VLOOKUP("PCS-30658g",[8]ARBOR!$A:$C,3,0)-1,4)),6))&lt;&gt;(DOLLAR(VLOOKUP("PCS-30658g",[8]ARBOR!$A:$C,3,0),6)),-TRUNC(CF26/VLOOKUP("PCS-30658g",[8]ARBOR!$A:$C,3,0)-1,4)+0.0001,-TRUNC(CF26/VLOOKUP("PCS-30658g",[8]ARBOR!$A:$C,3,0)-1,4)))))</f>
        <v>0.55569999999999997</v>
      </c>
      <c r="CH26" s="65" t="str">
        <f>IF(ISERROR(IF(CG26="","",VLOOKUP(($BH26&amp;CG26&amp;"Template de desconto FLAT bundle - Velox XDSL - Varejo"),[8]BENEFICIOS!$A:$E,5,0))),"Criar",IF(CG26="","",VLOOKUP(($BH26&amp;CG26&amp;"Template de desconto FLAT bundle - Velox XDSL - Varejo"),[8]BENEFICIOS!$A:$E,5,0)))</f>
        <v>MKT-1-9865126919</v>
      </c>
      <c r="CI26" s="68" t="s">
        <v>161</v>
      </c>
      <c r="CJ26" s="69">
        <v>49.9</v>
      </c>
      <c r="CK26" s="64">
        <f>IF(CJ26=0,"",IF(CJ26=VLOOKUP("PCS-30685g",[8]ARBOR!$A:$C,3,0),0.0001,IF(CJ26&gt;VLOOKUP("PCS-30685g",[8]ARBOR!$A:$C,3,0),"Maior que CAP!",IF((DOLLAR(CJ26+(VLOOKUP("PCS-30685g",[8]ARBOR!$A:$C,3,0)*-TRUNC(CJ26/VLOOKUP("PCS-30685g",[8]ARBOR!$A:$C,3,0)-1,4)),6))&lt;&gt;(DOLLAR(VLOOKUP("PCS-30685g",[8]ARBOR!$A:$C,3,0),6)),-TRUNC(CJ26/VLOOKUP("PCS-30685g",[8]ARBOR!$A:$C,3,0)-1,4)+0.0001,-TRUNC(CJ26/VLOOKUP("PCS-30685g",[8]ARBOR!$A:$C,3,0)-1,4)))))</f>
        <v>0.60509999999999997</v>
      </c>
      <c r="CL26" s="65" t="str">
        <f>IF(ISERROR(IF(CK26="","",VLOOKUP(($BH26&amp;CK26&amp;"Template de desconto FLAT bundle - Velox XDSL - Varejo"),[8]BENEFICIOS!$A:$E,5,0))),"Criar",IF(CK26="","",VLOOKUP(($BH26&amp;CK26&amp;"Template de desconto FLAT bundle - Velox XDSL - Varejo"),[8]BENEFICIOS!$A:$E,5,0)))</f>
        <v>MKT-1-9865694381</v>
      </c>
      <c r="CM26" s="68" t="s">
        <v>161</v>
      </c>
      <c r="CN26" s="69">
        <v>49.9</v>
      </c>
      <c r="CO26" s="64">
        <f>IF(CN26=0,"",IF(CN26=VLOOKUP("PCS-30712g",[8]ARBOR!$A:$C,3,0),0.0001,IF(CN26&gt;VLOOKUP("PCS-30712g",[8]ARBOR!$A:$C,3,0),"Maior que CAP!",IF((DOLLAR(CN26+(VLOOKUP("PCS-30712g",[8]ARBOR!$A:$C,3,0)*-TRUNC(CN26/VLOOKUP("PCS-30712g",[8]ARBOR!$A:$C,3,0)-1,4)),6))&lt;&gt;(DOLLAR(VLOOKUP("PCS-30712g",[8]ARBOR!$A:$C,3,0),6)),-TRUNC(CN26/VLOOKUP("PCS-30712g",[8]ARBOR!$A:$C,3,0)-1,4)+0.0001,-TRUNC(CN26/VLOOKUP("PCS-30712g",[8]ARBOR!$A:$C,3,0)-1,4)))))</f>
        <v>0.64459999999999995</v>
      </c>
      <c r="CP26" s="65" t="str">
        <f>IF(ISERROR(IF(CO26="","",VLOOKUP(($BH26&amp;CO26&amp;"Template de desconto FLAT bundle - Velox XDSL - Varejo"),[8]BENEFICIOS!$A:$E,5,0))),"Criar",IF(CO26="","",VLOOKUP(($BH26&amp;CO26&amp;"Template de desconto FLAT bundle - Velox XDSL - Varejo"),[8]BENEFICIOS!$A:$E,5,0)))</f>
        <v>MKT-1-9865191105</v>
      </c>
      <c r="CQ26" s="68" t="s">
        <v>161</v>
      </c>
      <c r="CR26" s="69">
        <v>59.9</v>
      </c>
      <c r="CS26" s="64">
        <f>IF(CR26=0,"",IF(CR26=VLOOKUP("PCS-30739g",[8]ARBOR!$A:$C,3,0),0.0001,IF(CR26&gt;VLOOKUP("PCS-30739g",[8]ARBOR!$A:$C,3,0),"Maior que CAP!",IF((DOLLAR(CR26+(VLOOKUP("PCS-30739g",[8]ARBOR!$A:$C,3,0)*-TRUNC(CR26/VLOOKUP("PCS-30739g",[8]ARBOR!$A:$C,3,0)-1,4)),6))&lt;&gt;(DOLLAR(VLOOKUP("PCS-30739g",[8]ARBOR!$A:$C,3,0),6)),-TRUNC(CR26/VLOOKUP("PCS-30739g",[8]ARBOR!$A:$C,3,0)-1,4)+0.0001,-TRUNC(CR26/VLOOKUP("PCS-30739g",[8]ARBOR!$A:$C,3,0)-1,4)))))</f>
        <v>0.71560000000000001</v>
      </c>
      <c r="CT26" s="65" t="str">
        <f>IF(ISERROR(IF(CS26="","",VLOOKUP(($BH26&amp;CS26&amp;"Template de desconto FLAT bundle - Velox XDSL - Varejo"),[8]BENEFICIOS!$A:$E,5,0))),"Criar",IF(CS26="","",VLOOKUP(($BH26&amp;CS26&amp;"Template de desconto FLAT bundle - Velox XDSL - Varejo"),[8]BENEFICIOS!$A:$E,5,0)))</f>
        <v>MKT-1-9865191198</v>
      </c>
      <c r="CU26" s="69"/>
      <c r="CV26" s="70"/>
      <c r="CW26" s="64"/>
      <c r="CX26" s="65"/>
      <c r="CY26" s="68" t="s">
        <v>161</v>
      </c>
      <c r="CZ26" s="69">
        <v>59.9</v>
      </c>
      <c r="DA26" s="64">
        <f>IF(CZ26=0,"",IF(CZ26=VLOOKUP("PCS-30766g",[8]ARBOR!$A:$C,3,0),0.0001,IF(CZ26&gt;VLOOKUP("PCS-30766g",[8]ARBOR!$A:$C,3,0),"Maior que CAP!",IF((DOLLAR(CZ26+(VLOOKUP("PCS-30766g",[8]ARBOR!$A:$C,3,0)*-TRUNC(CZ26/VLOOKUP("PCS-30766g",[8]ARBOR!$A:$C,3,0)-1,4)),6))&lt;&gt;(DOLLAR(VLOOKUP("PCS-30766g",[8]ARBOR!$A:$C,3,0),6)),-TRUNC(CZ26/VLOOKUP("PCS-30766g",[8]ARBOR!$A:$C,3,0)-1,4)+0.0001,-TRUNC(CZ26/VLOOKUP("PCS-30766g",[8]ARBOR!$A:$C,3,0)-1,4)))))</f>
        <v>0.78669999999999995</v>
      </c>
      <c r="DB26" s="65" t="str">
        <f>IF(ISERROR(IF(DA26="","",VLOOKUP(($BH26&amp;DA26&amp;"Template de desconto FLAT bundle - Velox XDSL - Varejo"),[8]BENEFICIOS!$A:$E,5,0))),"Criar",IF(DA26="","",VLOOKUP(($BH26&amp;DA26&amp;"Template de desconto FLAT bundle - Velox XDSL - Varejo"),[8]BENEFICIOS!$A:$E,5,0)))</f>
        <v>MKT-1-9865191291</v>
      </c>
      <c r="DC26" s="69"/>
      <c r="DD26" s="70"/>
      <c r="DE26" s="64"/>
      <c r="DF26" s="65"/>
      <c r="DG26" s="68" t="s">
        <v>240</v>
      </c>
      <c r="DH26" s="69">
        <v>69.900000000000006</v>
      </c>
      <c r="DI26" s="64">
        <f>IF(DH26=0,"",IF(DH26=VLOOKUP("PCS-30793g",[8]ARBOR!$A:$C,3,0),0.0001,IF(DH26&gt;VLOOKUP("PCS-30793g",[8]ARBOR!$A:$C,3,0),"Maior que CAP!",IF((DOLLAR(DH26+(VLOOKUP("PCS-30793g",[8]ARBOR!$A:$C,3,0)*-TRUNC(DH26/VLOOKUP("PCS-30793g",[8]ARBOR!$A:$C,3,0)-1,4)),6))&lt;&gt;(DOLLAR(VLOOKUP("PCS-30793g",[8]ARBOR!$A:$C,3,0),6)),-TRUNC(DH26/VLOOKUP("PCS-30793g",[8]ARBOR!$A:$C,3,0)-1,4)+0.0001,-TRUNC(DH26/VLOOKUP("PCS-30793g",[8]ARBOR!$A:$C,3,0)-1,4)))))</f>
        <v>0.75109999999999999</v>
      </c>
      <c r="DJ26" s="65" t="str">
        <f>IF(ISERROR(IF(DI26="","",VLOOKUP(($BH26&amp;DI26&amp;"Template de desconto FLAT bundle - Velox XDSL - Varejo"),[8]BENEFICIOS!$A:$E,5,0))),"Criar",IF(DI26="","",VLOOKUP(($BH26&amp;DI26&amp;"Template de desconto FLAT bundle - Velox XDSL - Varejo"),[8]BENEFICIOS!$A:$E,5,0)))</f>
        <v>MKT-1-9865191384</v>
      </c>
      <c r="DK26" s="69"/>
      <c r="DL26" s="70"/>
      <c r="DM26" s="64"/>
      <c r="DN26" s="65"/>
      <c r="DO26" s="68" t="s">
        <v>161</v>
      </c>
      <c r="DP26" s="69">
        <v>69.900000000000006</v>
      </c>
      <c r="DQ26" s="64">
        <f>IF(DP26=0,"",IF(DP26=VLOOKUP("PCS-30820g",[8]ARBOR!$A:$C,3,0),0.0001,IF(DP26&gt;VLOOKUP("PCS-30820g",[8]ARBOR!$A:$C,3,0),"Maior que CAP!",IF((DOLLAR(DP26+(VLOOKUP("PCS-30820g",[8]ARBOR!$A:$C,3,0)*-TRUNC(DP26/VLOOKUP("PCS-30820g",[8]ARBOR!$A:$C,3,0)-1,4)),6))&lt;&gt;(DOLLAR(VLOOKUP("PCS-30820g",[8]ARBOR!$A:$C,3,0),6)),-TRUNC(DP26/VLOOKUP("PCS-30820g",[8]ARBOR!$A:$C,3,0)-1,4)+0.0001,-TRUNC(DP26/VLOOKUP("PCS-30820g",[8]ARBOR!$A:$C,3,0)-1,4)))))</f>
        <v>0.75109999999999999</v>
      </c>
      <c r="DR26" s="65" t="str">
        <f>IF(ISERROR(IF(DQ26="","",VLOOKUP(($BH26&amp;DQ26&amp;"Template de desconto FLAT bundle - Velox XDSL - Varejo"),[8]BENEFICIOS!$A:$E,5,0))),"Criar",IF(DQ26="","",VLOOKUP(($BH26&amp;DQ26&amp;"Template de desconto FLAT bundle - Velox XDSL - Varejo"),[8]BENEFICIOS!$A:$E,5,0)))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IF(DW26=0,"",IF(DW26=VLOOKUP("PCS-21448p2",[8]ARBOR!$A:$C,3,0),0.0001,IF(DW26&gt;VLOOKUP("PCS-21448p2",[8]ARBOR!$A:$C,3,0),"Maior que CAP!",IF((DOLLAR(DW26+(VLOOKUP("PCS-21448p2",[8]ARBOR!$A:$C,3,0)*-TRUNC(DW26/VLOOKUP("PCS-21448p2",[8]ARBOR!$A:$C,3,0)-1,4)),6))&lt;&gt;(DOLLAR(VLOOKUP("PCS-21448p2",[8]ARBOR!$A:$C,3,0),6)),-TRUNC(DW26/VLOOKUP("PCS-21448p2",[8]ARBOR!$A:$C,3,0)-1,4)+0.0001,-TRUNC(DW26/VLOOKUP("PCS-21448p2",[8]ARBOR!$A:$C,3,0)-1,4)))))</f>
        <v/>
      </c>
      <c r="DY26" s="65" t="str">
        <f>IF(ISERROR(IF(DX26="","",VLOOKUP(("Oi Conta Total Plug 10GB Downgrade"&amp;DX26&amp;"Template de desconto percentual BL Móvel - Internet Total - Varejo"),[8]BENEFICIOS!$A:$E,5,0))),"Criar",IF(DX26="","",VLOOKUP(("Oi Conta Total Plug 10GB Downgrade"&amp;DX26&amp;"Template de desconto percentual BL Móvel - Internet Total - Varejo"),[8]BENEFICIOS!$A:$E,5,0)))</f>
        <v/>
      </c>
      <c r="DZ26" s="71">
        <v>19.899999999999999</v>
      </c>
      <c r="EA26" s="72">
        <f>IF(DZ26=0,"",IF(DZ26=VLOOKUP("SVA",[8]ARBOR!$A:$C,3,0),0.0001,IF(DZ26&gt;VLOOKUP("SVA",[8]ARBOR!$A:$C,3,0),"Maior que CAP!",IF((DOLLAR(DZ26+(VLOOKUP("SVA",[8]ARBOR!$A:$C,3,0)*-TRUNC(DZ26/VLOOKUP("SVA",[8]ARBOR!$A:$C,3,0)-1,4)),6))&lt;&gt;(DOLLAR(VLOOKUP("SVA",[8]ARBOR!$A:$C,3,0),6)),-TRUNC(DZ26/VLOOKUP("SVA",[8]ARBOR!$A:$C,3,0)-1,4)+0.0001,-TRUNC(DZ26/VLOOKUP("SVA",[8]ARBOR!$A:$C,3,0)-1,4)))))</f>
        <v>7.1400000000000005E-2</v>
      </c>
      <c r="EB26" s="65" t="s">
        <v>241</v>
      </c>
      <c r="EC26" s="69"/>
      <c r="ED26" s="73"/>
      <c r="EE26" s="74"/>
      <c r="EF26" s="65"/>
      <c r="EG26" s="75">
        <f>IF(BI26="","",VLOOKUP(BI26,[8]ARBOR!A:C,3,0))</f>
        <v>479.46</v>
      </c>
      <c r="EH26" s="69">
        <v>15</v>
      </c>
      <c r="EI26" s="76">
        <f>IF(EH26="","",1-(EH26/VLOOKUP(BI26&amp;"ASS",[8]ARBOR!A:C,3,0)))</f>
        <v>0.34725848563968664</v>
      </c>
      <c r="EJ26" s="77" t="s">
        <v>224</v>
      </c>
      <c r="EK26" s="78" t="s">
        <v>225</v>
      </c>
      <c r="EL26" s="69">
        <v>154.36999999999998</v>
      </c>
      <c r="EM26" s="64">
        <f>IF(EL26=0,"",IF(EL26=EG26,0.0001,ROUND(1-((EL26+(VLOOKUP(BI26&amp;"ASS",[8]ARBOR!A:C,3,0)-EH26))/EG26),4)))</f>
        <v>0.66139999999999999</v>
      </c>
      <c r="EN26" s="65" t="str">
        <f>IF(ISERROR(IF(EM26="","",VLOOKUP(($BH26&amp;EM26&amp;"Template de desconto percentual FLAT Móvel - Conta Total - Varejo - Ganho Tributário Cross"),[8]BENEFICIOS!$A:$E,5,0))),"Criar",IF(EM26="","",VLOOKUP(($BH26&amp;EM26&amp;"Template de desconto percentual FLAT Móvel - Conta Total - Varejo - Ganho Tributário Cross"),[8]BENEFICIOS!$A:$E,5,0)))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244</v>
      </c>
      <c r="EV26" s="81" t="s">
        <v>267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IF(FC26=0,"",IF(FC26=VLOOKUP("PCS-10357",[8]ARBOR!$A:$C,3,0),0.0001,IF(FC26&gt;VLOOKUP("PCS-10357",[8]ARBOR!$A:$C,3,0),"Maior que CAP!",ROUND(-1*(FC26/VLOOKUP("PCS-10357",[8]ARBOR!$A:$C,3,0)-1),4))))</f>
        <v/>
      </c>
      <c r="FE26" s="84" t="str">
        <f>IF(ISERROR(IF(FD26="","",VLOOKUP(("Oi Internet Pra Celular 1GB"&amp;FD26&amp;"Template Flat Instância Dados"),[8]BENEFICIOS!$A:$E,5,0))),"Criar",IF(FD26="","",VLOOKUP(("Oi Internet Pra Celular 1GB"&amp;FD26&amp;"Template Flat Instância Dados"),[8]BENEFICIOS!$A:$E,5,0)))</f>
        <v/>
      </c>
      <c r="FF26" s="82"/>
      <c r="FG26" s="83" t="str">
        <f>IF(FF26=0,"",IF(FF26=VLOOKUP("PCS-813565",[8]ARBOR!$A:$C,3,0),0.0001,IF(FF26&gt;VLOOKUP("PCS-813565",[8]ARBOR!$A:$C,3,0),"Maior que CAP!",ROUND(-1*(FF26/VLOOKUP("PCS-813565",[8]ARBOR!$A:$C,3,0)-1),4))))</f>
        <v/>
      </c>
      <c r="FH26" s="84" t="str">
        <f>IF(ISERROR(IF(FG26="","",VLOOKUP(("Oi Internet Pra Celular 2GB"&amp;FG26&amp;"Template Flat Instância Dados"),[8]BENEFICIOS!$A:$E,5,0))),"Criar",IF(FG26="","",VLOOKUP(("Oi Internet Pra Celular 2GB"&amp;FG26&amp;"Template Flat Instância Dados"),[8]BENEFICIOS!$A:$E,5,0)))</f>
        <v/>
      </c>
      <c r="FI26" s="82"/>
      <c r="FJ26" s="83" t="str">
        <f>IF(FI26=0,"",IF(FI26=VLOOKUP("PCS-7171B",[8]ARBOR!$A:$C,3,0),0.0001,IF(FI26&gt;VLOOKUP("PCS-7171B",[8]ARBOR!$A:$C,3,0),"Maior que CAP!",ROUND(-1*(FI26/VLOOKUP("PCS-7171B",[8]ARBOR!$A:$C,3,0)-1),4))))</f>
        <v/>
      </c>
      <c r="FK26" s="84" t="str">
        <f>IF(ISERROR(IF(FJ26="","",VLOOKUP(("Oi Internet Pra Celular 3GB"&amp;FJ26&amp;"Template Flat Instância Dados"),[8]BENEFICIOS!$A:$E,5,0))),"Criar",IF(FJ26="","",VLOOKUP(("Oi Internet Pra Celular 3GB"&amp;FJ26&amp;"Template Flat Instância Dados"),[8]BENEFICIOS!$A:$E,5,0)))</f>
        <v/>
      </c>
      <c r="FL26" s="82"/>
      <c r="FM26" s="83"/>
      <c r="FN26" s="84"/>
      <c r="FO26" s="82">
        <v>35.53</v>
      </c>
      <c r="FP26" s="83">
        <f>IF(FO26=0,"",IF(FO26=VLOOKUP("PCS-7171A",[8]ARBOR!$A:$C,3,0),0.0001,IF(FO26&gt;VLOOKUP("PCS-7171A",[8]ARBOR!$A:$C,3,0),"Maior que CAP!",ROUND(-1*(FO26/VLOOKUP("PCS-7171A",[8]ARBOR!$A:$C,3,0)-1),4))))</f>
        <v>0.81899999999999995</v>
      </c>
      <c r="FQ26" s="84" t="str">
        <f>IF(ISERROR(IF(FP26="","",VLOOKUP(("Oi Internet Pra Celular 10GB"&amp;FP26&amp;"Template Flat Instância Dados"),[8]BENEFICIOS!$A:$E,5,0))),"Criar",IF(FP26="","",VLOOKUP(("Oi Internet Pra Celular 10GB"&amp;FP26&amp;"Template Flat Instância Dados"),[8]BENEFICIOS!$A:$E,5,0)))</f>
        <v>MKT-1-9869971287</v>
      </c>
      <c r="FR26" s="85">
        <v>0.74260000000000004</v>
      </c>
      <c r="FS26" s="86" t="s">
        <v>262</v>
      </c>
      <c r="FT26" s="48"/>
      <c r="FU26" s="87"/>
      <c r="FV26" s="88" t="s">
        <v>221</v>
      </c>
      <c r="FW26" s="49" t="s">
        <v>226</v>
      </c>
      <c r="FX26" s="89">
        <v>999</v>
      </c>
      <c r="FY26" s="49">
        <v>12</v>
      </c>
      <c r="FZ26" s="90" t="s">
        <v>227</v>
      </c>
      <c r="GA26" s="91" t="str">
        <f t="shared" si="1"/>
        <v>PCS-Fk83324</v>
      </c>
      <c r="GB26" s="92" t="str">
        <f t="shared" si="2"/>
        <v>PCS-SBL553142</v>
      </c>
      <c r="GC26" s="93" t="s">
        <v>228</v>
      </c>
      <c r="GD26" s="90" t="s">
        <v>229</v>
      </c>
      <c r="GE26" s="92" t="s">
        <v>230</v>
      </c>
      <c r="GF26" s="93" t="s">
        <v>231</v>
      </c>
      <c r="GG26" s="90" t="s">
        <v>232</v>
      </c>
      <c r="GH26" s="92" t="s">
        <v>233</v>
      </c>
      <c r="GI26" s="94" t="s">
        <v>234</v>
      </c>
      <c r="GJ26" s="95">
        <f>FO26+EL26+CN26+BJ26</f>
        <v>289.89999999999998</v>
      </c>
      <c r="GK26" s="96"/>
      <c r="GL26" s="97" t="s">
        <v>235</v>
      </c>
      <c r="GM26" s="98" t="s">
        <v>272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295</v>
      </c>
      <c r="GX26" s="44" t="s">
        <v>238</v>
      </c>
    </row>
  </sheetData>
  <mergeCells count="36"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A8"/>
  <sheetViews>
    <sheetView tabSelected="1" topLeftCell="O1" workbookViewId="0">
      <selection activeCell="C5" sqref="C5:AV8"/>
    </sheetView>
  </sheetViews>
  <sheetFormatPr defaultRowHeight="14.5" x14ac:dyDescent="0.35"/>
  <cols>
    <col min="1" max="1" width="11" bestFit="1" customWidth="1"/>
    <col min="2" max="2" width="16.81640625" bestFit="1" customWidth="1"/>
    <col min="3" max="3" width="15" customWidth="1"/>
    <col min="4" max="4" width="27.1796875" bestFit="1" customWidth="1"/>
    <col min="5" max="5" width="27.54296875" bestFit="1" customWidth="1"/>
    <col min="6" max="6" width="12.54296875" bestFit="1" customWidth="1"/>
    <col min="7" max="7" width="19" bestFit="1" customWidth="1"/>
    <col min="8" max="8" width="17.1796875" bestFit="1" customWidth="1"/>
    <col min="9" max="9" width="12.54296875" bestFit="1" customWidth="1"/>
    <col min="10" max="10" width="15.54296875" bestFit="1" customWidth="1"/>
    <col min="11" max="11" width="15.54296875" style="114" customWidth="1"/>
    <col min="12" max="12" width="22.54296875" bestFit="1" customWidth="1"/>
    <col min="13" max="13" width="34.453125" bestFit="1" customWidth="1"/>
    <col min="14" max="14" width="16.1796875" bestFit="1" customWidth="1"/>
    <col min="15" max="15" width="26.453125" bestFit="1" customWidth="1"/>
    <col min="16" max="16" width="16.54296875" customWidth="1"/>
    <col min="17" max="17" width="13.1796875" customWidth="1"/>
    <col min="18" max="18" width="7" bestFit="1" customWidth="1"/>
    <col min="19" max="19" width="14.1796875" bestFit="1" customWidth="1"/>
    <col min="20" max="20" width="31.1796875" bestFit="1" customWidth="1"/>
    <col min="21" max="21" width="26.54296875" bestFit="1" customWidth="1"/>
    <col min="22" max="22" width="34.81640625" bestFit="1" customWidth="1"/>
    <col min="23" max="24" width="23.453125" bestFit="1" customWidth="1"/>
    <col min="25" max="25" width="23.81640625" bestFit="1" customWidth="1"/>
    <col min="26" max="26" width="22" bestFit="1" customWidth="1"/>
    <col min="27" max="27" width="32.54296875" bestFit="1" customWidth="1"/>
    <col min="28" max="28" width="32.81640625" bestFit="1" customWidth="1"/>
    <col min="29" max="29" width="23.453125" style="114" bestFit="1" customWidth="1"/>
    <col min="30" max="30" width="30" bestFit="1" customWidth="1"/>
    <col min="31" max="31" width="28.54296875" bestFit="1" customWidth="1"/>
    <col min="32" max="32" width="32.54296875" bestFit="1" customWidth="1"/>
    <col min="33" max="33" width="49.08984375" bestFit="1" customWidth="1"/>
    <col min="34" max="35" width="50.1796875" bestFit="1" customWidth="1"/>
    <col min="36" max="36" width="44.26953125" bestFit="1" customWidth="1"/>
    <col min="37" max="37" width="15.1796875" customWidth="1"/>
    <col min="38" max="38" width="19" bestFit="1" customWidth="1"/>
    <col min="39" max="39" width="18.1796875" bestFit="1" customWidth="1"/>
    <col min="40" max="40" width="44.26953125" bestFit="1" customWidth="1"/>
    <col min="41" max="41" width="36.36328125" bestFit="1" customWidth="1"/>
    <col min="42" max="42" width="17.1796875" bestFit="1" customWidth="1"/>
    <col min="43" max="43" width="20.81640625" bestFit="1" customWidth="1"/>
    <col min="44" max="44" width="12.81640625" bestFit="1" customWidth="1"/>
    <col min="45" max="45" width="18" bestFit="1" customWidth="1"/>
    <col min="46" max="46" width="16.81640625" bestFit="1" customWidth="1"/>
    <col min="47" max="47" width="14" bestFit="1" customWidth="1"/>
    <col min="48" max="48" width="20.1796875" bestFit="1" customWidth="1"/>
    <col min="49" max="49" width="16.81640625" bestFit="1" customWidth="1"/>
    <col min="50" max="50" width="92.81640625" bestFit="1" customWidth="1"/>
    <col min="51" max="51" width="20.1796875" bestFit="1" customWidth="1"/>
    <col min="52" max="52" width="69.81640625" bestFit="1" customWidth="1"/>
    <col min="53" max="53" width="16.54296875" bestFit="1" customWidth="1"/>
  </cols>
  <sheetData>
    <row r="1" spans="1:53" x14ac:dyDescent="0.35">
      <c r="AG1" t="s">
        <v>386</v>
      </c>
    </row>
    <row r="2" spans="1:53" x14ac:dyDescent="0.3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 s="114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</row>
    <row r="3" spans="1:53" x14ac:dyDescent="0.3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117"/>
      <c r="L3" s="3" t="s">
        <v>10</v>
      </c>
      <c r="M3" s="3" t="s">
        <v>11</v>
      </c>
      <c r="N3" s="3" t="s">
        <v>13</v>
      </c>
      <c r="O3" s="3" t="s">
        <v>14</v>
      </c>
      <c r="P3" s="112" t="s">
        <v>296</v>
      </c>
      <c r="Q3" s="3" t="s">
        <v>299</v>
      </c>
      <c r="R3" s="4" t="s">
        <v>15</v>
      </c>
      <c r="S3" s="5" t="s">
        <v>306</v>
      </c>
      <c r="T3" s="5" t="s">
        <v>307</v>
      </c>
      <c r="U3" s="5" t="s">
        <v>308</v>
      </c>
      <c r="V3" s="5" t="s">
        <v>309</v>
      </c>
      <c r="W3" s="5" t="s">
        <v>310</v>
      </c>
      <c r="X3" s="5" t="s">
        <v>311</v>
      </c>
      <c r="Y3" s="5" t="s">
        <v>312</v>
      </c>
      <c r="Z3" s="5" t="s">
        <v>313</v>
      </c>
      <c r="AA3" s="5" t="s">
        <v>314</v>
      </c>
      <c r="AB3" s="5" t="s">
        <v>315</v>
      </c>
      <c r="AC3" s="115" t="s">
        <v>12</v>
      </c>
      <c r="AD3" s="5" t="s">
        <v>16</v>
      </c>
      <c r="AE3" s="5" t="s">
        <v>17</v>
      </c>
      <c r="AF3" s="5" t="s">
        <v>316</v>
      </c>
      <c r="AG3" s="5" t="s">
        <v>317</v>
      </c>
      <c r="AH3" s="5" t="s">
        <v>318</v>
      </c>
      <c r="AI3" s="5" t="s">
        <v>319</v>
      </c>
      <c r="AJ3" s="5" t="s">
        <v>320</v>
      </c>
      <c r="AK3" s="5" t="s">
        <v>321</v>
      </c>
      <c r="AL3" s="5" t="s">
        <v>322</v>
      </c>
      <c r="AM3" s="5" t="s">
        <v>323</v>
      </c>
      <c r="AN3" s="5" t="s">
        <v>324</v>
      </c>
      <c r="AO3" s="5" t="s">
        <v>19</v>
      </c>
      <c r="AP3" s="5" t="s">
        <v>20</v>
      </c>
      <c r="AQ3" s="5" t="s">
        <v>21</v>
      </c>
      <c r="AR3" s="5" t="s">
        <v>22</v>
      </c>
      <c r="AS3" s="5" t="s">
        <v>23</v>
      </c>
      <c r="AT3" s="5" t="s">
        <v>24</v>
      </c>
      <c r="AU3" s="5" t="s">
        <v>25</v>
      </c>
      <c r="AV3" s="5" t="s">
        <v>26</v>
      </c>
      <c r="AW3" t="s">
        <v>27</v>
      </c>
      <c r="AX3" t="s">
        <v>57</v>
      </c>
      <c r="AY3" t="s">
        <v>325</v>
      </c>
      <c r="AZ3" t="s">
        <v>326</v>
      </c>
      <c r="BA3" t="s">
        <v>327</v>
      </c>
    </row>
    <row r="4" spans="1:53" x14ac:dyDescent="0.35">
      <c r="A4" s="6" t="s">
        <v>29</v>
      </c>
      <c r="B4" s="7" t="s">
        <v>1</v>
      </c>
      <c r="C4" s="8" t="s">
        <v>30</v>
      </c>
      <c r="D4" s="113" t="s">
        <v>31</v>
      </c>
      <c r="E4" s="8" t="s">
        <v>32</v>
      </c>
      <c r="F4" s="113" t="s">
        <v>33</v>
      </c>
      <c r="G4" s="8" t="s">
        <v>34</v>
      </c>
      <c r="H4" s="8" t="s">
        <v>7</v>
      </c>
      <c r="I4" s="8" t="s">
        <v>8</v>
      </c>
      <c r="J4" s="8" t="s">
        <v>35</v>
      </c>
      <c r="K4" s="118" t="s">
        <v>385</v>
      </c>
      <c r="L4" s="8" t="s">
        <v>36</v>
      </c>
      <c r="M4" s="8" t="s">
        <v>37</v>
      </c>
      <c r="N4" s="8" t="s">
        <v>38</v>
      </c>
      <c r="O4" s="8" t="s">
        <v>39</v>
      </c>
      <c r="P4" s="113" t="s">
        <v>297</v>
      </c>
      <c r="Q4" s="9" t="s">
        <v>300</v>
      </c>
      <c r="R4" s="10"/>
      <c r="S4" s="5" t="s">
        <v>40</v>
      </c>
      <c r="T4" s="5" t="s">
        <v>41</v>
      </c>
      <c r="U4" s="5" t="s">
        <v>42</v>
      </c>
      <c r="V4" s="5" t="s">
        <v>43</v>
      </c>
      <c r="W4" s="5" t="s">
        <v>44</v>
      </c>
      <c r="X4" s="5" t="s">
        <v>45</v>
      </c>
      <c r="Y4" s="5" t="s">
        <v>46</v>
      </c>
      <c r="Z4" s="5" t="s">
        <v>47</v>
      </c>
      <c r="AA4" s="5" t="s">
        <v>48</v>
      </c>
      <c r="AB4" s="5" t="s">
        <v>49</v>
      </c>
      <c r="AC4" s="115" t="s">
        <v>12</v>
      </c>
      <c r="AD4" s="5" t="s">
        <v>50</v>
      </c>
      <c r="AE4" s="5" t="s">
        <v>51</v>
      </c>
      <c r="AF4" s="5" t="s">
        <v>18</v>
      </c>
      <c r="AG4" s="5" t="s">
        <v>328</v>
      </c>
      <c r="AH4" s="5" t="s">
        <v>329</v>
      </c>
      <c r="AI4" s="5" t="s">
        <v>330</v>
      </c>
      <c r="AJ4" s="5" t="s">
        <v>331</v>
      </c>
      <c r="AK4" s="5" t="s">
        <v>332</v>
      </c>
      <c r="AL4" s="5" t="s">
        <v>333</v>
      </c>
      <c r="AM4" s="5" t="s">
        <v>334</v>
      </c>
      <c r="AN4" s="5" t="s">
        <v>335</v>
      </c>
      <c r="AO4" s="5" t="s">
        <v>19</v>
      </c>
      <c r="AP4" s="5" t="s">
        <v>52</v>
      </c>
      <c r="AQ4" s="5" t="s">
        <v>53</v>
      </c>
      <c r="AR4" s="5" t="s">
        <v>54</v>
      </c>
      <c r="AS4" s="5" t="s">
        <v>23</v>
      </c>
      <c r="AT4" s="5" t="s">
        <v>24</v>
      </c>
      <c r="AU4" s="5" t="s">
        <v>25</v>
      </c>
      <c r="AV4" s="5" t="s">
        <v>26</v>
      </c>
      <c r="AW4" t="s">
        <v>55</v>
      </c>
      <c r="AX4" t="s">
        <v>59</v>
      </c>
      <c r="AY4" t="s">
        <v>56</v>
      </c>
      <c r="AZ4" t="s">
        <v>28</v>
      </c>
      <c r="BA4" t="s">
        <v>58</v>
      </c>
    </row>
    <row r="5" spans="1:53" x14ac:dyDescent="0.35">
      <c r="C5" t="s">
        <v>298</v>
      </c>
      <c r="D5" t="s">
        <v>60</v>
      </c>
      <c r="E5">
        <v>99999</v>
      </c>
      <c r="G5">
        <v>7000</v>
      </c>
      <c r="L5" t="s">
        <v>358</v>
      </c>
      <c r="M5" s="108"/>
      <c r="N5" t="s">
        <v>301</v>
      </c>
      <c r="O5" t="s">
        <v>375</v>
      </c>
      <c r="P5">
        <v>60</v>
      </c>
      <c r="S5">
        <v>304.70000000000005</v>
      </c>
      <c r="T5">
        <v>139.80000000000001</v>
      </c>
      <c r="U5">
        <v>0</v>
      </c>
      <c r="V5">
        <v>70</v>
      </c>
      <c r="Z5">
        <v>94.9</v>
      </c>
      <c r="AA5">
        <v>94.9</v>
      </c>
      <c r="AB5">
        <v>0</v>
      </c>
      <c r="AC5" t="s">
        <v>302</v>
      </c>
      <c r="AD5" s="116"/>
      <c r="AG5" t="s">
        <v>387</v>
      </c>
      <c r="AH5" t="s">
        <v>387</v>
      </c>
      <c r="AI5" t="s">
        <v>305</v>
      </c>
      <c r="AJ5">
        <v>99999</v>
      </c>
      <c r="AK5">
        <v>99999</v>
      </c>
      <c r="AL5">
        <v>0</v>
      </c>
      <c r="AM5" t="b">
        <v>1</v>
      </c>
      <c r="AN5" t="b">
        <v>1</v>
      </c>
      <c r="AP5">
        <v>99999</v>
      </c>
      <c r="AT5">
        <v>0</v>
      </c>
      <c r="AV5" t="s">
        <v>360</v>
      </c>
      <c r="BA5" t="s">
        <v>388</v>
      </c>
    </row>
    <row r="6" spans="1:53" x14ac:dyDescent="0.35">
      <c r="C6" t="s">
        <v>298</v>
      </c>
      <c r="D6" t="s">
        <v>60</v>
      </c>
      <c r="E6">
        <v>99999</v>
      </c>
      <c r="G6">
        <v>20000</v>
      </c>
      <c r="L6" t="s">
        <v>358</v>
      </c>
      <c r="M6" s="108"/>
      <c r="N6" t="s">
        <v>301</v>
      </c>
      <c r="O6" t="s">
        <v>375</v>
      </c>
      <c r="P6">
        <v>60</v>
      </c>
      <c r="S6">
        <v>364.70000000000005</v>
      </c>
      <c r="T6">
        <v>199.8</v>
      </c>
      <c r="U6">
        <v>0</v>
      </c>
      <c r="V6">
        <v>70</v>
      </c>
      <c r="Z6">
        <v>94.9</v>
      </c>
      <c r="AA6">
        <v>94.9</v>
      </c>
      <c r="AB6">
        <v>0</v>
      </c>
      <c r="AC6" t="s">
        <v>302</v>
      </c>
      <c r="AD6" s="116"/>
      <c r="AG6" t="s">
        <v>389</v>
      </c>
      <c r="AH6" t="s">
        <v>389</v>
      </c>
      <c r="AI6" t="s">
        <v>336</v>
      </c>
      <c r="AJ6">
        <v>99999</v>
      </c>
      <c r="AK6">
        <v>99999</v>
      </c>
      <c r="AL6">
        <v>0</v>
      </c>
      <c r="AM6" t="b">
        <v>1</v>
      </c>
      <c r="AN6" t="b">
        <v>1</v>
      </c>
      <c r="AP6">
        <v>99999</v>
      </c>
      <c r="AT6">
        <v>0</v>
      </c>
      <c r="AV6" t="s">
        <v>360</v>
      </c>
      <c r="BA6" t="s">
        <v>390</v>
      </c>
    </row>
    <row r="7" spans="1:53" x14ac:dyDescent="0.35">
      <c r="C7" t="s">
        <v>298</v>
      </c>
      <c r="D7" t="s">
        <v>60</v>
      </c>
      <c r="E7">
        <v>99999</v>
      </c>
      <c r="G7">
        <v>40000</v>
      </c>
      <c r="L7" t="s">
        <v>358</v>
      </c>
      <c r="M7" s="108"/>
      <c r="N7" t="s">
        <v>301</v>
      </c>
      <c r="O7" t="s">
        <v>375</v>
      </c>
      <c r="P7">
        <v>60</v>
      </c>
      <c r="S7">
        <v>409.70000000000005</v>
      </c>
      <c r="T7">
        <v>199.8</v>
      </c>
      <c r="U7">
        <v>0</v>
      </c>
      <c r="V7">
        <v>70</v>
      </c>
      <c r="Z7">
        <v>139.9</v>
      </c>
      <c r="AA7">
        <v>139.9</v>
      </c>
      <c r="AB7">
        <v>0</v>
      </c>
      <c r="AC7" t="s">
        <v>364</v>
      </c>
      <c r="AD7" s="116"/>
      <c r="AG7" t="s">
        <v>391</v>
      </c>
      <c r="AH7" t="s">
        <v>391</v>
      </c>
      <c r="AI7" t="s">
        <v>304</v>
      </c>
      <c r="AJ7">
        <v>99999</v>
      </c>
      <c r="AK7">
        <v>99999</v>
      </c>
      <c r="AL7">
        <v>0</v>
      </c>
      <c r="AM7" t="b">
        <v>1</v>
      </c>
      <c r="AN7" t="b">
        <v>1</v>
      </c>
      <c r="AP7">
        <v>99999</v>
      </c>
      <c r="AT7">
        <v>0</v>
      </c>
      <c r="AV7" t="s">
        <v>360</v>
      </c>
      <c r="BA7" t="s">
        <v>392</v>
      </c>
    </row>
    <row r="8" spans="1:53" x14ac:dyDescent="0.35">
      <c r="C8" t="s">
        <v>298</v>
      </c>
      <c r="D8" t="s">
        <v>60</v>
      </c>
      <c r="E8">
        <v>99999</v>
      </c>
      <c r="G8">
        <v>40000</v>
      </c>
      <c r="L8" t="s">
        <v>358</v>
      </c>
      <c r="M8" s="108"/>
      <c r="N8" t="s">
        <v>301</v>
      </c>
      <c r="O8" t="s">
        <v>375</v>
      </c>
      <c r="P8">
        <v>60</v>
      </c>
      <c r="S8">
        <v>409.70000000000005</v>
      </c>
      <c r="T8">
        <v>199.8</v>
      </c>
      <c r="U8">
        <v>0</v>
      </c>
      <c r="V8">
        <v>70</v>
      </c>
      <c r="Z8">
        <v>139.9</v>
      </c>
      <c r="AA8">
        <v>139.9</v>
      </c>
      <c r="AB8">
        <v>0</v>
      </c>
      <c r="AC8" t="s">
        <v>364</v>
      </c>
      <c r="AD8" s="114"/>
      <c r="AG8" t="s">
        <v>393</v>
      </c>
      <c r="AH8" t="s">
        <v>393</v>
      </c>
      <c r="AI8" t="s">
        <v>304</v>
      </c>
      <c r="AJ8">
        <v>99999</v>
      </c>
      <c r="AK8">
        <v>99999</v>
      </c>
      <c r="AL8">
        <v>0</v>
      </c>
      <c r="AM8" t="b">
        <v>1</v>
      </c>
      <c r="AN8" t="b">
        <v>1</v>
      </c>
      <c r="AP8">
        <v>99999</v>
      </c>
      <c r="AT8">
        <v>0</v>
      </c>
      <c r="AV8" t="s">
        <v>360</v>
      </c>
      <c r="BA8" t="s">
        <v>394</v>
      </c>
    </row>
  </sheetData>
  <autoFilter ref="A4:BA15" xr:uid="{E743DC6E-F8DF-49FE-94AC-437EF15D1C96}"/>
  <sortState xmlns:xlrd2="http://schemas.microsoft.com/office/spreadsheetml/2017/richdata2" ref="A5:AY7">
    <sortCondition ref="Q5:Q7"/>
  </sortState>
  <dataConsolidate/>
  <dataValidations disablePrompts="1" count="1">
    <dataValidation type="list" showInputMessage="1" error="Please select a valid value" promptTitle="select a value" sqref="R3:R4" xr:uid="{00000000-0002-0000-02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CE41-37AA-4A20-841C-E0E697112EA7}">
  <sheetPr codeName="Sheet4"/>
  <dimension ref="A2:BA508"/>
  <sheetViews>
    <sheetView workbookViewId="0">
      <selection activeCell="D13" sqref="D13"/>
    </sheetView>
  </sheetViews>
  <sheetFormatPr defaultRowHeight="14.5" x14ac:dyDescent="0.35"/>
  <cols>
    <col min="1" max="1" width="11" bestFit="1" customWidth="1"/>
    <col min="2" max="2" width="16.81640625" bestFit="1" customWidth="1"/>
    <col min="3" max="3" width="17.36328125" customWidth="1"/>
    <col min="4" max="4" width="27.1796875" style="111" bestFit="1" customWidth="1"/>
    <col min="5" max="5" width="27.54296875" bestFit="1" customWidth="1"/>
    <col min="6" max="6" width="12.54296875" style="111" bestFit="1" customWidth="1"/>
    <col min="7" max="7" width="19" bestFit="1" customWidth="1"/>
    <col min="8" max="8" width="17.179687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34.453125" bestFit="1" customWidth="1"/>
    <col min="13" max="13" width="27.6328125" bestFit="1" customWidth="1"/>
    <col min="14" max="14" width="26.453125" bestFit="1" customWidth="1"/>
    <col min="15" max="15" width="38.81640625" style="114" bestFit="1" customWidth="1"/>
    <col min="16" max="16" width="38.08984375" bestFit="1" customWidth="1"/>
    <col min="17" max="17" width="28.90625" bestFit="1" customWidth="1"/>
    <col min="18" max="18" width="24.453125" bestFit="1" customWidth="1"/>
    <col min="19" max="19" width="31.1796875" bestFit="1" customWidth="1"/>
    <col min="20" max="20" width="26.54296875" bestFit="1" customWidth="1"/>
    <col min="21" max="21" width="34.81640625" bestFit="1" customWidth="1"/>
    <col min="22" max="23" width="23.453125" bestFit="1" customWidth="1"/>
    <col min="24" max="24" width="23.81640625" bestFit="1" customWidth="1"/>
    <col min="25" max="25" width="22" bestFit="1" customWidth="1"/>
    <col min="26" max="26" width="32.54296875" bestFit="1" customWidth="1"/>
    <col min="27" max="27" width="32.81640625" bestFit="1" customWidth="1"/>
    <col min="28" max="28" width="23.453125" bestFit="1" customWidth="1"/>
    <col min="29" max="29" width="30" bestFit="1" customWidth="1"/>
    <col min="30" max="30" width="28.54296875" bestFit="1" customWidth="1"/>
    <col min="31" max="31" width="32.54296875" bestFit="1" customWidth="1"/>
    <col min="32" max="32" width="43.81640625" bestFit="1" customWidth="1"/>
    <col min="33" max="34" width="54.1796875" bestFit="1" customWidth="1"/>
    <col min="35" max="35" width="40.1796875" bestFit="1" customWidth="1"/>
    <col min="36" max="38" width="44.453125" bestFit="1" customWidth="1"/>
    <col min="39" max="39" width="36.36328125" bestFit="1" customWidth="1"/>
    <col min="40" max="40" width="14.54296875" style="111" customWidth="1"/>
    <col min="41" max="41" width="17.1796875" style="111" bestFit="1" customWidth="1"/>
    <col min="42" max="42" width="20.81640625" style="111" bestFit="1" customWidth="1"/>
    <col min="43" max="43" width="12.81640625" bestFit="1" customWidth="1"/>
    <col min="44" max="44" width="18" bestFit="1" customWidth="1"/>
    <col min="45" max="45" width="16.81640625" bestFit="1" customWidth="1"/>
    <col min="46" max="46" width="14" style="114" bestFit="1" customWidth="1"/>
    <col min="47" max="47" width="20.1796875" bestFit="1" customWidth="1"/>
    <col min="48" max="48" width="16.7265625" customWidth="1"/>
    <col min="49" max="49" width="13.6328125" customWidth="1"/>
    <col min="50" max="50" width="12.90625" bestFit="1" customWidth="1"/>
    <col min="51" max="51" width="17.90625" customWidth="1"/>
    <col min="53" max="53" width="41.1796875" hidden="1" customWidth="1"/>
  </cols>
  <sheetData>
    <row r="2" spans="1:53" s="114" customFormat="1" x14ac:dyDescent="0.35">
      <c r="A2" s="114">
        <v>1</v>
      </c>
      <c r="B2" s="114">
        <v>2</v>
      </c>
      <c r="C2" s="114">
        <v>3</v>
      </c>
      <c r="D2" s="114">
        <v>4</v>
      </c>
      <c r="E2" s="114">
        <v>5</v>
      </c>
      <c r="F2" s="114">
        <v>6</v>
      </c>
      <c r="G2" s="114">
        <v>7</v>
      </c>
      <c r="H2" s="114">
        <v>8</v>
      </c>
      <c r="I2" s="114">
        <v>9</v>
      </c>
      <c r="J2" s="114">
        <v>10</v>
      </c>
      <c r="K2" s="114">
        <v>11</v>
      </c>
      <c r="L2" s="114">
        <v>12</v>
      </c>
      <c r="M2" s="114">
        <v>13</v>
      </c>
      <c r="N2" s="114">
        <v>14</v>
      </c>
      <c r="O2" s="114">
        <v>15</v>
      </c>
      <c r="P2" s="114">
        <v>16</v>
      </c>
      <c r="Q2" s="114">
        <v>17</v>
      </c>
      <c r="R2" s="114">
        <v>18</v>
      </c>
      <c r="S2" s="114">
        <v>19</v>
      </c>
      <c r="T2" s="114">
        <v>20</v>
      </c>
      <c r="U2" s="114">
        <v>21</v>
      </c>
      <c r="V2" s="114">
        <v>22</v>
      </c>
      <c r="W2" s="114">
        <v>23</v>
      </c>
      <c r="X2" s="114">
        <v>24</v>
      </c>
      <c r="Y2" s="114">
        <v>25</v>
      </c>
      <c r="Z2" s="114">
        <v>26</v>
      </c>
      <c r="AA2" s="114">
        <v>27</v>
      </c>
      <c r="AB2" s="114">
        <v>28</v>
      </c>
      <c r="AC2" s="114">
        <v>29</v>
      </c>
      <c r="AD2" s="114">
        <v>30</v>
      </c>
      <c r="AE2" s="114">
        <v>31</v>
      </c>
      <c r="AF2" s="114">
        <v>32</v>
      </c>
      <c r="AG2" s="114">
        <v>33</v>
      </c>
      <c r="AH2" s="114">
        <v>34</v>
      </c>
      <c r="AI2" s="114">
        <v>35</v>
      </c>
      <c r="AJ2" s="114">
        <v>36</v>
      </c>
      <c r="AK2" s="114">
        <v>37</v>
      </c>
      <c r="AL2" s="114">
        <v>38</v>
      </c>
      <c r="AM2" s="114">
        <v>39</v>
      </c>
      <c r="AN2" s="114">
        <v>40</v>
      </c>
      <c r="AO2" s="114">
        <v>41</v>
      </c>
      <c r="AP2" s="114">
        <v>42</v>
      </c>
      <c r="AQ2" s="114">
        <v>43</v>
      </c>
      <c r="AR2" s="114">
        <v>44</v>
      </c>
      <c r="AS2" s="114">
        <v>45</v>
      </c>
      <c r="AT2" s="114">
        <v>46</v>
      </c>
      <c r="AU2" s="114">
        <v>47</v>
      </c>
      <c r="AV2" s="114">
        <v>48</v>
      </c>
    </row>
    <row r="3" spans="1:53" x14ac:dyDescent="0.35">
      <c r="A3" s="1" t="s">
        <v>0</v>
      </c>
      <c r="B3" s="2" t="s">
        <v>337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13</v>
      </c>
      <c r="O3" s="3" t="s">
        <v>14</v>
      </c>
      <c r="P3" s="3" t="s">
        <v>296</v>
      </c>
      <c r="Q3" s="4" t="s">
        <v>15</v>
      </c>
      <c r="R3" s="5" t="s">
        <v>338</v>
      </c>
      <c r="S3" s="5" t="s">
        <v>339</v>
      </c>
      <c r="T3" s="5" t="s">
        <v>340</v>
      </c>
      <c r="U3" s="5" t="s">
        <v>341</v>
      </c>
      <c r="V3" s="5" t="s">
        <v>342</v>
      </c>
      <c r="W3" s="5" t="s">
        <v>343</v>
      </c>
      <c r="X3" s="5" t="s">
        <v>344</v>
      </c>
      <c r="Y3" s="5" t="s">
        <v>345</v>
      </c>
      <c r="Z3" s="5" t="s">
        <v>346</v>
      </c>
      <c r="AA3" s="5" t="s">
        <v>347</v>
      </c>
      <c r="AB3" s="5" t="s">
        <v>348</v>
      </c>
      <c r="AC3" s="5" t="s">
        <v>12</v>
      </c>
      <c r="AD3" s="5" t="s">
        <v>16</v>
      </c>
      <c r="AE3" s="5" t="s">
        <v>17</v>
      </c>
      <c r="AF3" s="5" t="s">
        <v>18</v>
      </c>
      <c r="AG3" s="5" t="s">
        <v>349</v>
      </c>
      <c r="AH3" s="5" t="s">
        <v>350</v>
      </c>
      <c r="AI3" s="5" t="s">
        <v>19</v>
      </c>
      <c r="AJ3" s="5" t="s">
        <v>20</v>
      </c>
      <c r="AK3" s="5" t="s">
        <v>21</v>
      </c>
      <c r="AL3" s="5" t="s">
        <v>22</v>
      </c>
      <c r="AM3" s="5" t="s">
        <v>23</v>
      </c>
      <c r="AN3" s="5" t="s">
        <v>24</v>
      </c>
      <c r="AO3" s="5" t="s">
        <v>25</v>
      </c>
      <c r="AP3" s="5" t="s">
        <v>26</v>
      </c>
      <c r="AQ3" s="5" t="s">
        <v>27</v>
      </c>
      <c r="AR3" s="5" t="s">
        <v>57</v>
      </c>
      <c r="AS3" s="5" t="s">
        <v>351</v>
      </c>
      <c r="AT3" s="5" t="s">
        <v>28</v>
      </c>
      <c r="AU3" s="5" t="s">
        <v>58</v>
      </c>
      <c r="AV3" s="5" t="s">
        <v>352</v>
      </c>
    </row>
    <row r="4" spans="1:53" x14ac:dyDescent="0.35">
      <c r="A4" s="6" t="s">
        <v>29</v>
      </c>
      <c r="B4" s="7" t="s">
        <v>353</v>
      </c>
      <c r="C4" s="8" t="s">
        <v>1</v>
      </c>
      <c r="D4" s="8" t="s">
        <v>30</v>
      </c>
      <c r="E4" s="8" t="s">
        <v>31</v>
      </c>
      <c r="F4" s="8" t="s">
        <v>32</v>
      </c>
      <c r="G4" s="8" t="s">
        <v>33</v>
      </c>
      <c r="H4" s="8" t="s">
        <v>34</v>
      </c>
      <c r="I4" s="8" t="s">
        <v>7</v>
      </c>
      <c r="J4" s="8" t="s">
        <v>8</v>
      </c>
      <c r="K4" s="8" t="s">
        <v>35</v>
      </c>
      <c r="L4" s="8" t="s">
        <v>36</v>
      </c>
      <c r="M4" s="8" t="s">
        <v>37</v>
      </c>
      <c r="N4" s="8" t="s">
        <v>38</v>
      </c>
      <c r="O4" s="8" t="s">
        <v>39</v>
      </c>
      <c r="P4" s="9" t="s">
        <v>297</v>
      </c>
      <c r="Q4" s="10"/>
      <c r="R4" s="5" t="s">
        <v>354</v>
      </c>
      <c r="S4" s="5" t="s">
        <v>40</v>
      </c>
      <c r="T4" s="5" t="s">
        <v>41</v>
      </c>
      <c r="U4" s="5" t="s">
        <v>42</v>
      </c>
      <c r="V4" s="5" t="s">
        <v>43</v>
      </c>
      <c r="W4" s="5" t="s">
        <v>44</v>
      </c>
      <c r="X4" s="5" t="s">
        <v>45</v>
      </c>
      <c r="Y4" s="5" t="s">
        <v>46</v>
      </c>
      <c r="Z4" s="5" t="s">
        <v>47</v>
      </c>
      <c r="AA4" s="5" t="s">
        <v>48</v>
      </c>
      <c r="AB4" s="5" t="s">
        <v>49</v>
      </c>
      <c r="AC4" s="5" t="s">
        <v>12</v>
      </c>
      <c r="AD4" s="5" t="s">
        <v>50</v>
      </c>
      <c r="AE4" s="5" t="s">
        <v>51</v>
      </c>
      <c r="AF4" s="5" t="s">
        <v>18</v>
      </c>
      <c r="AG4" s="5" t="s">
        <v>355</v>
      </c>
      <c r="AH4" s="5" t="s">
        <v>356</v>
      </c>
      <c r="AI4" s="5" t="s">
        <v>19</v>
      </c>
      <c r="AJ4" s="5" t="s">
        <v>52</v>
      </c>
      <c r="AK4" s="5" t="s">
        <v>53</v>
      </c>
      <c r="AL4" s="5" t="s">
        <v>54</v>
      </c>
      <c r="AM4" s="5" t="s">
        <v>23</v>
      </c>
      <c r="AN4" s="5" t="s">
        <v>24</v>
      </c>
      <c r="AO4" s="5" t="s">
        <v>25</v>
      </c>
      <c r="AP4" s="5" t="s">
        <v>26</v>
      </c>
      <c r="AQ4" s="5" t="s">
        <v>55</v>
      </c>
      <c r="AR4" s="5" t="s">
        <v>59</v>
      </c>
      <c r="AS4" s="5" t="s">
        <v>56</v>
      </c>
      <c r="AT4" s="5" t="s">
        <v>28</v>
      </c>
      <c r="AU4" s="5" t="s">
        <v>58</v>
      </c>
      <c r="AV4" s="5" t="s">
        <v>357</v>
      </c>
    </row>
    <row r="5" spans="1:53" x14ac:dyDescent="0.35">
      <c r="A5" t="s">
        <v>371</v>
      </c>
      <c r="C5" t="s">
        <v>298</v>
      </c>
      <c r="D5" t="s">
        <v>60</v>
      </c>
      <c r="E5">
        <v>99999</v>
      </c>
      <c r="F5"/>
      <c r="G5">
        <v>20000</v>
      </c>
      <c r="L5" t="s">
        <v>358</v>
      </c>
      <c r="N5" t="s">
        <v>301</v>
      </c>
      <c r="O5" t="s">
        <v>372</v>
      </c>
      <c r="P5">
        <v>30</v>
      </c>
      <c r="Q5" s="109"/>
      <c r="S5">
        <v>218.9</v>
      </c>
      <c r="T5">
        <v>99.9</v>
      </c>
      <c r="U5">
        <v>0</v>
      </c>
      <c r="V5">
        <v>24.1</v>
      </c>
      <c r="Z5">
        <v>94.9</v>
      </c>
      <c r="AA5">
        <v>94.9</v>
      </c>
      <c r="AB5">
        <v>0</v>
      </c>
      <c r="AC5" t="s">
        <v>302</v>
      </c>
      <c r="AG5" t="s">
        <v>362</v>
      </c>
      <c r="AH5" t="s">
        <v>362</v>
      </c>
      <c r="AI5" t="s">
        <v>336</v>
      </c>
      <c r="AJ5">
        <v>99999</v>
      </c>
      <c r="AK5">
        <v>99999</v>
      </c>
      <c r="AL5">
        <v>1200</v>
      </c>
      <c r="AM5" t="b">
        <v>1</v>
      </c>
      <c r="AN5" s="111" t="b">
        <v>1</v>
      </c>
      <c r="AP5" s="111">
        <v>99999</v>
      </c>
      <c r="AT5" s="114">
        <v>12</v>
      </c>
      <c r="AV5" t="s">
        <v>360</v>
      </c>
      <c r="BA5" t="s">
        <v>363</v>
      </c>
    </row>
    <row r="6" spans="1:53" x14ac:dyDescent="0.35">
      <c r="A6" t="s">
        <v>371</v>
      </c>
      <c r="C6" t="s">
        <v>298</v>
      </c>
      <c r="D6" t="s">
        <v>60</v>
      </c>
      <c r="E6">
        <v>99999</v>
      </c>
      <c r="F6"/>
      <c r="G6">
        <v>40000</v>
      </c>
      <c r="L6" t="s">
        <v>358</v>
      </c>
      <c r="N6" t="s">
        <v>301</v>
      </c>
      <c r="O6" t="s">
        <v>372</v>
      </c>
      <c r="P6">
        <v>30</v>
      </c>
      <c r="Q6" s="109"/>
      <c r="S6">
        <v>218.9</v>
      </c>
      <c r="T6">
        <v>99.9</v>
      </c>
      <c r="U6">
        <v>0</v>
      </c>
      <c r="V6">
        <v>24.1</v>
      </c>
      <c r="Z6">
        <v>94.9</v>
      </c>
      <c r="AA6">
        <v>94.9</v>
      </c>
      <c r="AB6">
        <v>0</v>
      </c>
      <c r="AC6" t="s">
        <v>302</v>
      </c>
      <c r="AG6" t="s">
        <v>368</v>
      </c>
      <c r="AH6" t="s">
        <v>368</v>
      </c>
      <c r="AI6" t="s">
        <v>304</v>
      </c>
      <c r="AJ6">
        <v>99999</v>
      </c>
      <c r="AK6">
        <v>99999</v>
      </c>
      <c r="AL6">
        <v>1200</v>
      </c>
      <c r="AM6" t="b">
        <v>1</v>
      </c>
      <c r="AN6" s="111" t="b">
        <v>1</v>
      </c>
      <c r="AP6" s="111">
        <v>99999</v>
      </c>
      <c r="AT6" s="114">
        <v>12</v>
      </c>
      <c r="AV6" t="s">
        <v>360</v>
      </c>
      <c r="BA6" t="s">
        <v>369</v>
      </c>
    </row>
    <row r="7" spans="1:53" x14ac:dyDescent="0.35">
      <c r="A7" t="s">
        <v>371</v>
      </c>
      <c r="C7" t="s">
        <v>298</v>
      </c>
      <c r="D7" t="s">
        <v>60</v>
      </c>
      <c r="E7">
        <v>99999</v>
      </c>
      <c r="F7"/>
      <c r="G7">
        <v>40000</v>
      </c>
      <c r="L7" t="s">
        <v>358</v>
      </c>
      <c r="N7" t="s">
        <v>301</v>
      </c>
      <c r="O7" t="s">
        <v>372</v>
      </c>
      <c r="P7">
        <v>30</v>
      </c>
      <c r="Q7" s="109"/>
      <c r="S7">
        <v>258.90000000000003</v>
      </c>
      <c r="T7">
        <v>99.9</v>
      </c>
      <c r="U7">
        <v>0</v>
      </c>
      <c r="V7">
        <v>24.1</v>
      </c>
      <c r="Z7">
        <v>134.9</v>
      </c>
      <c r="AA7">
        <v>134.9</v>
      </c>
      <c r="AB7">
        <v>0</v>
      </c>
      <c r="AC7" t="s">
        <v>364</v>
      </c>
      <c r="AG7" t="s">
        <v>365</v>
      </c>
      <c r="AH7" t="s">
        <v>365</v>
      </c>
      <c r="AI7" t="s">
        <v>304</v>
      </c>
      <c r="AJ7">
        <v>99999</v>
      </c>
      <c r="AK7">
        <v>99999</v>
      </c>
      <c r="AL7">
        <v>1200</v>
      </c>
      <c r="AM7" t="b">
        <v>1</v>
      </c>
      <c r="AN7" s="111" t="b">
        <v>1</v>
      </c>
      <c r="AP7" s="111">
        <v>99999</v>
      </c>
      <c r="AT7" s="114">
        <v>12</v>
      </c>
      <c r="AV7" t="s">
        <v>360</v>
      </c>
      <c r="BA7" t="s">
        <v>373</v>
      </c>
    </row>
    <row r="8" spans="1:53" x14ac:dyDescent="0.35">
      <c r="A8" t="s">
        <v>371</v>
      </c>
      <c r="B8" s="110"/>
      <c r="C8" t="s">
        <v>298</v>
      </c>
      <c r="D8" t="s">
        <v>60</v>
      </c>
      <c r="E8">
        <v>99999</v>
      </c>
      <c r="F8"/>
      <c r="G8">
        <v>40000</v>
      </c>
      <c r="L8" t="s">
        <v>358</v>
      </c>
      <c r="N8" t="s">
        <v>301</v>
      </c>
      <c r="O8" t="s">
        <v>372</v>
      </c>
      <c r="P8">
        <v>30</v>
      </c>
      <c r="Q8" s="109"/>
      <c r="S8">
        <v>258.90000000000003</v>
      </c>
      <c r="T8">
        <v>99.9</v>
      </c>
      <c r="U8">
        <v>0</v>
      </c>
      <c r="V8">
        <v>24.1</v>
      </c>
      <c r="Z8">
        <v>134.9</v>
      </c>
      <c r="AA8">
        <v>134.9</v>
      </c>
      <c r="AB8">
        <v>0</v>
      </c>
      <c r="AC8" t="s">
        <v>364</v>
      </c>
      <c r="AG8" t="s">
        <v>370</v>
      </c>
      <c r="AH8" t="s">
        <v>370</v>
      </c>
      <c r="AI8" t="s">
        <v>304</v>
      </c>
      <c r="AJ8">
        <v>99999</v>
      </c>
      <c r="AK8">
        <v>99999</v>
      </c>
      <c r="AL8">
        <v>1200</v>
      </c>
      <c r="AM8" t="b">
        <v>1</v>
      </c>
      <c r="AN8" s="111" t="b">
        <v>1</v>
      </c>
      <c r="AP8" s="111">
        <v>99999</v>
      </c>
      <c r="AT8" s="114">
        <v>12</v>
      </c>
      <c r="AV8" t="s">
        <v>360</v>
      </c>
      <c r="BA8" t="s">
        <v>374</v>
      </c>
    </row>
    <row r="9" spans="1:53" x14ac:dyDescent="0.35">
      <c r="A9" t="s">
        <v>371</v>
      </c>
      <c r="C9" t="s">
        <v>298</v>
      </c>
      <c r="D9" t="s">
        <v>60</v>
      </c>
      <c r="E9">
        <v>99999</v>
      </c>
      <c r="F9"/>
      <c r="G9">
        <v>7000</v>
      </c>
      <c r="L9" t="s">
        <v>358</v>
      </c>
      <c r="N9" t="s">
        <v>301</v>
      </c>
      <c r="O9" t="s">
        <v>372</v>
      </c>
      <c r="P9">
        <v>30</v>
      </c>
      <c r="Q9" s="109"/>
      <c r="S9">
        <v>188.9</v>
      </c>
      <c r="T9">
        <v>69.900000000000006</v>
      </c>
      <c r="U9">
        <v>0</v>
      </c>
      <c r="V9">
        <v>24.1</v>
      </c>
      <c r="Z9">
        <v>94.9</v>
      </c>
      <c r="AA9">
        <v>94.9</v>
      </c>
      <c r="AB9">
        <v>0</v>
      </c>
      <c r="AC9" t="s">
        <v>302</v>
      </c>
      <c r="AG9" t="s">
        <v>366</v>
      </c>
      <c r="AH9" t="s">
        <v>366</v>
      </c>
      <c r="AI9" t="s">
        <v>305</v>
      </c>
      <c r="AJ9">
        <v>99999</v>
      </c>
      <c r="AK9">
        <v>99999</v>
      </c>
      <c r="AL9">
        <v>1200</v>
      </c>
      <c r="AM9" t="b">
        <v>1</v>
      </c>
      <c r="AN9" s="111" t="b">
        <v>1</v>
      </c>
      <c r="AP9" s="111">
        <v>99999</v>
      </c>
      <c r="AT9" s="114">
        <v>12</v>
      </c>
      <c r="AV9" t="s">
        <v>360</v>
      </c>
      <c r="BA9" t="s">
        <v>367</v>
      </c>
    </row>
    <row r="10" spans="1:53" x14ac:dyDescent="0.35">
      <c r="A10" t="s">
        <v>371</v>
      </c>
      <c r="B10" s="110"/>
      <c r="C10" t="s">
        <v>298</v>
      </c>
      <c r="D10" t="s">
        <v>60</v>
      </c>
      <c r="E10">
        <v>99999</v>
      </c>
      <c r="F10"/>
      <c r="G10">
        <v>7000</v>
      </c>
      <c r="L10" t="s">
        <v>358</v>
      </c>
      <c r="N10" t="s">
        <v>301</v>
      </c>
      <c r="O10" s="114" t="s">
        <v>372</v>
      </c>
      <c r="P10">
        <v>30</v>
      </c>
      <c r="Q10" s="109"/>
      <c r="S10">
        <v>188.9</v>
      </c>
      <c r="T10">
        <v>69.900000000000006</v>
      </c>
      <c r="U10">
        <v>0</v>
      </c>
      <c r="V10">
        <v>24.1</v>
      </c>
      <c r="Z10">
        <v>94.9</v>
      </c>
      <c r="AA10">
        <v>94.9</v>
      </c>
      <c r="AB10">
        <v>0</v>
      </c>
      <c r="AC10" t="s">
        <v>302</v>
      </c>
      <c r="AG10" t="s">
        <v>359</v>
      </c>
      <c r="AH10" t="s">
        <v>359</v>
      </c>
      <c r="AI10" t="s">
        <v>305</v>
      </c>
      <c r="AJ10">
        <v>99999</v>
      </c>
      <c r="AK10">
        <v>99999</v>
      </c>
      <c r="AL10">
        <v>1200</v>
      </c>
      <c r="AM10" t="b">
        <v>1</v>
      </c>
      <c r="AN10" s="111" t="b">
        <v>1</v>
      </c>
      <c r="AP10" s="111">
        <v>99999</v>
      </c>
      <c r="AT10" s="114">
        <v>12</v>
      </c>
      <c r="AV10" t="s">
        <v>360</v>
      </c>
      <c r="BA10" t="s">
        <v>361</v>
      </c>
    </row>
    <row r="11" spans="1:53" x14ac:dyDescent="0.35">
      <c r="A11" t="s">
        <v>303</v>
      </c>
      <c r="D11"/>
      <c r="F11"/>
      <c r="O11"/>
      <c r="Q11" s="109"/>
    </row>
    <row r="12" spans="1:53" x14ac:dyDescent="0.35">
      <c r="D12"/>
      <c r="F12"/>
      <c r="O12"/>
      <c r="Q12" s="109"/>
    </row>
    <row r="13" spans="1:53" x14ac:dyDescent="0.35">
      <c r="D13"/>
      <c r="F13"/>
      <c r="O13"/>
      <c r="Q13" s="109"/>
    </row>
    <row r="14" spans="1:53" x14ac:dyDescent="0.35">
      <c r="D14"/>
      <c r="F14"/>
      <c r="O14"/>
      <c r="Q14" s="109"/>
    </row>
    <row r="15" spans="1:53" x14ac:dyDescent="0.35">
      <c r="D15"/>
      <c r="F15"/>
      <c r="O15"/>
      <c r="Q15" s="109"/>
    </row>
    <row r="16" spans="1:53" x14ac:dyDescent="0.35">
      <c r="D16"/>
      <c r="F16"/>
      <c r="O16"/>
      <c r="Q16" s="109"/>
    </row>
    <row r="17" spans="2:46" x14ac:dyDescent="0.35">
      <c r="D17"/>
      <c r="F17"/>
      <c r="O17"/>
      <c r="Q17" s="109"/>
    </row>
    <row r="18" spans="2:46" x14ac:dyDescent="0.35">
      <c r="D18"/>
      <c r="F18"/>
      <c r="O18"/>
      <c r="Q18" s="109"/>
    </row>
    <row r="19" spans="2:46" x14ac:dyDescent="0.35">
      <c r="B19" s="110"/>
      <c r="D19"/>
      <c r="F19"/>
      <c r="O19"/>
      <c r="Q19" s="109"/>
    </row>
    <row r="20" spans="2:46" x14ac:dyDescent="0.35">
      <c r="D20"/>
      <c r="F20"/>
      <c r="Q20" s="109"/>
    </row>
    <row r="21" spans="2:46" x14ac:dyDescent="0.35">
      <c r="D21"/>
      <c r="F21"/>
      <c r="O21"/>
      <c r="Q21" s="109"/>
    </row>
    <row r="22" spans="2:46" x14ac:dyDescent="0.35">
      <c r="D22"/>
      <c r="F22"/>
      <c r="O22"/>
      <c r="Q22" s="109"/>
    </row>
    <row r="23" spans="2:46" x14ac:dyDescent="0.35">
      <c r="D23"/>
      <c r="F23"/>
      <c r="O23"/>
      <c r="AT23"/>
    </row>
    <row r="24" spans="2:46" x14ac:dyDescent="0.35">
      <c r="D24"/>
      <c r="F24"/>
      <c r="O24"/>
      <c r="AT24"/>
    </row>
    <row r="25" spans="2:46" x14ac:dyDescent="0.35">
      <c r="D25"/>
      <c r="F25"/>
      <c r="O25"/>
      <c r="AT25"/>
    </row>
    <row r="26" spans="2:46" x14ac:dyDescent="0.35">
      <c r="D26"/>
      <c r="F26"/>
      <c r="O26"/>
      <c r="AT26"/>
    </row>
    <row r="27" spans="2:46" x14ac:dyDescent="0.35">
      <c r="D27"/>
      <c r="F27"/>
      <c r="O27"/>
      <c r="AT27"/>
    </row>
    <row r="28" spans="2:46" x14ac:dyDescent="0.35">
      <c r="D28"/>
      <c r="F28"/>
      <c r="O28"/>
      <c r="AT28"/>
    </row>
    <row r="29" spans="2:46" x14ac:dyDescent="0.35">
      <c r="D29"/>
      <c r="F29"/>
      <c r="O29"/>
      <c r="AT29"/>
    </row>
    <row r="30" spans="2:46" x14ac:dyDescent="0.35">
      <c r="D30"/>
      <c r="F30"/>
      <c r="O30"/>
      <c r="AT30"/>
    </row>
    <row r="31" spans="2:46" x14ac:dyDescent="0.35">
      <c r="D31"/>
      <c r="F31"/>
      <c r="O31"/>
      <c r="AT31"/>
    </row>
    <row r="32" spans="2:46" x14ac:dyDescent="0.35">
      <c r="D32"/>
      <c r="F32"/>
      <c r="O32"/>
      <c r="AT32"/>
    </row>
    <row r="33" spans="4:46" x14ac:dyDescent="0.35">
      <c r="D33"/>
      <c r="F33"/>
      <c r="O33"/>
      <c r="AT33"/>
    </row>
    <row r="34" spans="4:46" x14ac:dyDescent="0.35">
      <c r="D34"/>
      <c r="F34"/>
      <c r="O34"/>
      <c r="AT34"/>
    </row>
    <row r="35" spans="4:46" x14ac:dyDescent="0.35">
      <c r="D35"/>
      <c r="F35"/>
      <c r="O35"/>
      <c r="AT35"/>
    </row>
    <row r="36" spans="4:46" x14ac:dyDescent="0.35">
      <c r="D36"/>
      <c r="F36"/>
      <c r="O36"/>
      <c r="AT36"/>
    </row>
    <row r="37" spans="4:46" x14ac:dyDescent="0.35">
      <c r="D37"/>
      <c r="F37"/>
      <c r="O37"/>
      <c r="AT37"/>
    </row>
    <row r="38" spans="4:46" x14ac:dyDescent="0.35">
      <c r="D38"/>
      <c r="F38"/>
      <c r="O38"/>
      <c r="AT38"/>
    </row>
    <row r="39" spans="4:46" x14ac:dyDescent="0.35">
      <c r="D39"/>
      <c r="F39"/>
      <c r="O39"/>
      <c r="AT39"/>
    </row>
    <row r="40" spans="4:46" x14ac:dyDescent="0.35">
      <c r="D40"/>
      <c r="F40"/>
      <c r="O40"/>
      <c r="AT40"/>
    </row>
    <row r="43" spans="4:46" x14ac:dyDescent="0.35">
      <c r="D43"/>
      <c r="F43"/>
    </row>
    <row r="44" spans="4:46" x14ac:dyDescent="0.35">
      <c r="D44"/>
      <c r="F44"/>
    </row>
    <row r="45" spans="4:46" x14ac:dyDescent="0.35">
      <c r="D45"/>
      <c r="F45"/>
    </row>
    <row r="46" spans="4:46" x14ac:dyDescent="0.35">
      <c r="D46"/>
      <c r="F46"/>
    </row>
    <row r="47" spans="4:46" x14ac:dyDescent="0.35">
      <c r="D47"/>
      <c r="F47"/>
      <c r="O47"/>
    </row>
    <row r="48" spans="4:46" x14ac:dyDescent="0.35">
      <c r="D48"/>
      <c r="F48"/>
      <c r="O48"/>
    </row>
    <row r="49" spans="4:15" x14ac:dyDescent="0.35">
      <c r="D49"/>
      <c r="F49"/>
      <c r="O49"/>
    </row>
    <row r="50" spans="4:15" x14ac:dyDescent="0.35">
      <c r="D50"/>
      <c r="F50"/>
      <c r="O50"/>
    </row>
    <row r="51" spans="4:15" x14ac:dyDescent="0.35">
      <c r="D51"/>
      <c r="F51"/>
      <c r="O51"/>
    </row>
    <row r="52" spans="4:15" x14ac:dyDescent="0.35">
      <c r="D52"/>
      <c r="F52"/>
      <c r="O52"/>
    </row>
    <row r="53" spans="4:15" x14ac:dyDescent="0.35">
      <c r="D53"/>
      <c r="F53"/>
      <c r="O53"/>
    </row>
    <row r="54" spans="4:15" x14ac:dyDescent="0.35">
      <c r="D54"/>
      <c r="F54"/>
      <c r="O54"/>
    </row>
    <row r="55" spans="4:15" x14ac:dyDescent="0.35">
      <c r="D55"/>
      <c r="F55"/>
      <c r="O55"/>
    </row>
    <row r="56" spans="4:15" x14ac:dyDescent="0.35">
      <c r="D56"/>
      <c r="F56"/>
      <c r="O56"/>
    </row>
    <row r="57" spans="4:15" x14ac:dyDescent="0.35">
      <c r="D57"/>
      <c r="F57"/>
      <c r="O57"/>
    </row>
    <row r="58" spans="4:15" x14ac:dyDescent="0.35">
      <c r="D58"/>
      <c r="F58"/>
      <c r="O58"/>
    </row>
    <row r="59" spans="4:15" x14ac:dyDescent="0.35">
      <c r="D59"/>
      <c r="F59"/>
      <c r="O59"/>
    </row>
    <row r="60" spans="4:15" x14ac:dyDescent="0.35">
      <c r="D60"/>
      <c r="F60"/>
      <c r="O60"/>
    </row>
    <row r="61" spans="4:15" x14ac:dyDescent="0.35">
      <c r="D61"/>
      <c r="F61"/>
      <c r="O61"/>
    </row>
    <row r="62" spans="4:15" x14ac:dyDescent="0.35">
      <c r="D62"/>
      <c r="F62"/>
      <c r="O62"/>
    </row>
    <row r="63" spans="4:15" x14ac:dyDescent="0.35">
      <c r="D63"/>
      <c r="F63"/>
      <c r="O63"/>
    </row>
    <row r="64" spans="4:15" x14ac:dyDescent="0.35">
      <c r="D64"/>
      <c r="F64"/>
      <c r="O64"/>
    </row>
    <row r="65" spans="4:15" x14ac:dyDescent="0.35">
      <c r="D65"/>
      <c r="F65"/>
    </row>
    <row r="66" spans="4:15" x14ac:dyDescent="0.35">
      <c r="D66"/>
      <c r="F66"/>
    </row>
    <row r="67" spans="4:15" x14ac:dyDescent="0.35">
      <c r="D67"/>
      <c r="F67"/>
    </row>
    <row r="68" spans="4:15" x14ac:dyDescent="0.35">
      <c r="F68"/>
    </row>
    <row r="69" spans="4:15" x14ac:dyDescent="0.35">
      <c r="D69"/>
      <c r="F69"/>
    </row>
    <row r="70" spans="4:15" x14ac:dyDescent="0.35">
      <c r="D70"/>
      <c r="F70"/>
    </row>
    <row r="71" spans="4:15" x14ac:dyDescent="0.35">
      <c r="D71"/>
      <c r="F71"/>
      <c r="O71"/>
    </row>
    <row r="72" spans="4:15" x14ac:dyDescent="0.35">
      <c r="D72"/>
      <c r="F72"/>
      <c r="O72"/>
    </row>
    <row r="73" spans="4:15" x14ac:dyDescent="0.35">
      <c r="D73"/>
      <c r="F73"/>
      <c r="O73"/>
    </row>
    <row r="74" spans="4:15" x14ac:dyDescent="0.35">
      <c r="D74"/>
      <c r="F74"/>
      <c r="O74"/>
    </row>
    <row r="75" spans="4:15" x14ac:dyDescent="0.35">
      <c r="D75"/>
      <c r="F75"/>
      <c r="O75"/>
    </row>
    <row r="76" spans="4:15" x14ac:dyDescent="0.35">
      <c r="D76"/>
      <c r="F76"/>
      <c r="O76"/>
    </row>
    <row r="77" spans="4:15" x14ac:dyDescent="0.35">
      <c r="D77"/>
      <c r="F77"/>
      <c r="O77"/>
    </row>
    <row r="78" spans="4:15" x14ac:dyDescent="0.35">
      <c r="D78"/>
      <c r="F78"/>
      <c r="O78"/>
    </row>
    <row r="79" spans="4:15" x14ac:dyDescent="0.35">
      <c r="D79"/>
      <c r="F79"/>
      <c r="O79"/>
    </row>
    <row r="80" spans="4:15" x14ac:dyDescent="0.35">
      <c r="D80"/>
      <c r="F80"/>
      <c r="O80"/>
    </row>
    <row r="81" spans="2:17" x14ac:dyDescent="0.35">
      <c r="D81"/>
      <c r="F81"/>
      <c r="O81"/>
    </row>
    <row r="82" spans="2:17" x14ac:dyDescent="0.35">
      <c r="D82"/>
      <c r="F82"/>
      <c r="O82"/>
    </row>
    <row r="83" spans="2:17" x14ac:dyDescent="0.35">
      <c r="D83"/>
      <c r="F83"/>
      <c r="O83"/>
    </row>
    <row r="84" spans="2:17" x14ac:dyDescent="0.35">
      <c r="D84"/>
      <c r="F84"/>
      <c r="O84"/>
    </row>
    <row r="85" spans="2:17" x14ac:dyDescent="0.35">
      <c r="D85"/>
      <c r="F85"/>
      <c r="O85"/>
    </row>
    <row r="86" spans="2:17" x14ac:dyDescent="0.35">
      <c r="D86"/>
      <c r="F86"/>
      <c r="O86"/>
    </row>
    <row r="87" spans="2:17" x14ac:dyDescent="0.35">
      <c r="D87"/>
      <c r="F87"/>
      <c r="O87"/>
    </row>
    <row r="88" spans="2:17" x14ac:dyDescent="0.35">
      <c r="D88"/>
      <c r="F88"/>
      <c r="O88"/>
    </row>
    <row r="89" spans="2:17" x14ac:dyDescent="0.35">
      <c r="B89" s="110"/>
      <c r="D89"/>
      <c r="F89"/>
      <c r="Q89" s="110"/>
    </row>
    <row r="90" spans="2:17" x14ac:dyDescent="0.35">
      <c r="D90"/>
      <c r="F90"/>
    </row>
    <row r="91" spans="2:17" x14ac:dyDescent="0.35">
      <c r="D91"/>
      <c r="F91"/>
    </row>
    <row r="92" spans="2:17" x14ac:dyDescent="0.35">
      <c r="D92"/>
      <c r="F92"/>
    </row>
    <row r="93" spans="2:17" x14ac:dyDescent="0.35">
      <c r="D93"/>
      <c r="F93"/>
    </row>
    <row r="95" spans="2:17" x14ac:dyDescent="0.35">
      <c r="D95"/>
      <c r="F95"/>
      <c r="O95"/>
    </row>
    <row r="96" spans="2:17" x14ac:dyDescent="0.35">
      <c r="D96"/>
      <c r="F96"/>
      <c r="O96"/>
    </row>
    <row r="97" spans="4:15" x14ac:dyDescent="0.35">
      <c r="D97"/>
      <c r="F97"/>
      <c r="O97"/>
    </row>
    <row r="98" spans="4:15" x14ac:dyDescent="0.35">
      <c r="D98"/>
      <c r="F98"/>
      <c r="O98"/>
    </row>
    <row r="99" spans="4:15" x14ac:dyDescent="0.35">
      <c r="D99"/>
      <c r="F99"/>
      <c r="O99"/>
    </row>
    <row r="100" spans="4:15" x14ac:dyDescent="0.35">
      <c r="D100"/>
      <c r="F100"/>
      <c r="O100"/>
    </row>
    <row r="101" spans="4:15" x14ac:dyDescent="0.35">
      <c r="D101"/>
      <c r="F101"/>
      <c r="O101"/>
    </row>
    <row r="102" spans="4:15" x14ac:dyDescent="0.35">
      <c r="D102"/>
      <c r="F102"/>
      <c r="O102"/>
    </row>
    <row r="103" spans="4:15" x14ac:dyDescent="0.35">
      <c r="D103"/>
      <c r="F103"/>
      <c r="O103"/>
    </row>
    <row r="104" spans="4:15" x14ac:dyDescent="0.35">
      <c r="D104"/>
      <c r="F104"/>
      <c r="O104"/>
    </row>
    <row r="105" spans="4:15" x14ac:dyDescent="0.35">
      <c r="D105"/>
      <c r="F105"/>
      <c r="O105"/>
    </row>
    <row r="106" spans="4:15" x14ac:dyDescent="0.35">
      <c r="D106"/>
      <c r="F106"/>
      <c r="O106"/>
    </row>
    <row r="107" spans="4:15" x14ac:dyDescent="0.35">
      <c r="D107"/>
      <c r="F107"/>
      <c r="O107"/>
    </row>
    <row r="108" spans="4:15" x14ac:dyDescent="0.35">
      <c r="D108"/>
      <c r="F108"/>
      <c r="O108"/>
    </row>
    <row r="109" spans="4:15" x14ac:dyDescent="0.35">
      <c r="D109"/>
      <c r="F109"/>
      <c r="O109"/>
    </row>
    <row r="110" spans="4:15" x14ac:dyDescent="0.35">
      <c r="D110"/>
      <c r="F110"/>
      <c r="O110"/>
    </row>
    <row r="111" spans="4:15" x14ac:dyDescent="0.35">
      <c r="D111"/>
      <c r="F111"/>
      <c r="O111"/>
    </row>
    <row r="112" spans="4:15" x14ac:dyDescent="0.35">
      <c r="D112"/>
      <c r="F112"/>
      <c r="O112"/>
    </row>
    <row r="113" spans="4:15" x14ac:dyDescent="0.35">
      <c r="D113"/>
      <c r="F113"/>
      <c r="O113"/>
    </row>
    <row r="114" spans="4:15" x14ac:dyDescent="0.35">
      <c r="D114"/>
      <c r="F114"/>
      <c r="O114"/>
    </row>
    <row r="115" spans="4:15" x14ac:dyDescent="0.35">
      <c r="D115"/>
      <c r="F115"/>
      <c r="O115"/>
    </row>
    <row r="116" spans="4:15" x14ac:dyDescent="0.35">
      <c r="D116"/>
      <c r="F116"/>
      <c r="O116"/>
    </row>
    <row r="117" spans="4:15" x14ac:dyDescent="0.35">
      <c r="D117"/>
      <c r="F117"/>
      <c r="O117"/>
    </row>
    <row r="118" spans="4:15" x14ac:dyDescent="0.35">
      <c r="D118"/>
      <c r="F118"/>
      <c r="O118"/>
    </row>
    <row r="119" spans="4:15" x14ac:dyDescent="0.35">
      <c r="D119"/>
      <c r="F119"/>
      <c r="O119"/>
    </row>
    <row r="120" spans="4:15" x14ac:dyDescent="0.35">
      <c r="D120"/>
      <c r="F120"/>
      <c r="O120"/>
    </row>
    <row r="121" spans="4:15" x14ac:dyDescent="0.35">
      <c r="D121"/>
      <c r="F121"/>
      <c r="O121"/>
    </row>
    <row r="122" spans="4:15" x14ac:dyDescent="0.35">
      <c r="D122"/>
      <c r="F122"/>
      <c r="O122"/>
    </row>
    <row r="123" spans="4:15" x14ac:dyDescent="0.35">
      <c r="D123"/>
      <c r="F123"/>
      <c r="O123"/>
    </row>
    <row r="124" spans="4:15" x14ac:dyDescent="0.35">
      <c r="D124"/>
      <c r="F124"/>
      <c r="O124"/>
    </row>
    <row r="125" spans="4:15" x14ac:dyDescent="0.35">
      <c r="D125"/>
      <c r="F125"/>
      <c r="O125"/>
    </row>
    <row r="126" spans="4:15" x14ac:dyDescent="0.35">
      <c r="D126"/>
      <c r="F126"/>
      <c r="O126"/>
    </row>
    <row r="127" spans="4:15" x14ac:dyDescent="0.35">
      <c r="D127"/>
      <c r="F127"/>
      <c r="O127"/>
    </row>
    <row r="128" spans="4:15" x14ac:dyDescent="0.35">
      <c r="D128"/>
      <c r="F128"/>
      <c r="O128"/>
    </row>
    <row r="129" spans="4:15" x14ac:dyDescent="0.35">
      <c r="D129"/>
      <c r="F129"/>
      <c r="O129"/>
    </row>
    <row r="130" spans="4:15" x14ac:dyDescent="0.35">
      <c r="D130"/>
      <c r="F130"/>
      <c r="O130"/>
    </row>
    <row r="131" spans="4:15" x14ac:dyDescent="0.35">
      <c r="D131"/>
      <c r="F131"/>
      <c r="O131"/>
    </row>
    <row r="132" spans="4:15" x14ac:dyDescent="0.35">
      <c r="D132"/>
      <c r="F132"/>
      <c r="O132"/>
    </row>
    <row r="133" spans="4:15" x14ac:dyDescent="0.35">
      <c r="D133"/>
      <c r="F133"/>
      <c r="O133"/>
    </row>
    <row r="134" spans="4:15" x14ac:dyDescent="0.35">
      <c r="D134"/>
      <c r="F134"/>
      <c r="O134"/>
    </row>
    <row r="135" spans="4:15" x14ac:dyDescent="0.35">
      <c r="D135"/>
      <c r="F135"/>
      <c r="O135"/>
    </row>
    <row r="136" spans="4:15" x14ac:dyDescent="0.35">
      <c r="D136"/>
      <c r="F136"/>
      <c r="O136"/>
    </row>
    <row r="137" spans="4:15" x14ac:dyDescent="0.35">
      <c r="D137"/>
      <c r="F137"/>
      <c r="O137"/>
    </row>
    <row r="138" spans="4:15" x14ac:dyDescent="0.35">
      <c r="D138"/>
      <c r="F138"/>
      <c r="O138"/>
    </row>
    <row r="139" spans="4:15" x14ac:dyDescent="0.35">
      <c r="D139"/>
      <c r="F139"/>
      <c r="O139"/>
    </row>
    <row r="140" spans="4:15" x14ac:dyDescent="0.35">
      <c r="D140"/>
      <c r="F140"/>
      <c r="O140"/>
    </row>
    <row r="141" spans="4:15" x14ac:dyDescent="0.35">
      <c r="D141"/>
      <c r="F141"/>
      <c r="O141"/>
    </row>
    <row r="142" spans="4:15" x14ac:dyDescent="0.35">
      <c r="D142"/>
      <c r="F142"/>
      <c r="O142"/>
    </row>
    <row r="143" spans="4:15" x14ac:dyDescent="0.35">
      <c r="D143"/>
      <c r="F143"/>
      <c r="O143"/>
    </row>
    <row r="144" spans="4:15" x14ac:dyDescent="0.35">
      <c r="D144"/>
      <c r="F144"/>
      <c r="O144"/>
    </row>
    <row r="145" spans="4:15" x14ac:dyDescent="0.35">
      <c r="D145"/>
      <c r="F145"/>
      <c r="O145"/>
    </row>
    <row r="146" spans="4:15" x14ac:dyDescent="0.35">
      <c r="D146"/>
      <c r="F146"/>
      <c r="O146"/>
    </row>
    <row r="147" spans="4:15" x14ac:dyDescent="0.35">
      <c r="D147"/>
      <c r="F147"/>
      <c r="O147"/>
    </row>
    <row r="148" spans="4:15" x14ac:dyDescent="0.35">
      <c r="D148"/>
      <c r="F148"/>
      <c r="O148"/>
    </row>
    <row r="149" spans="4:15" x14ac:dyDescent="0.35">
      <c r="D149"/>
      <c r="F149"/>
      <c r="O149"/>
    </row>
    <row r="150" spans="4:15" x14ac:dyDescent="0.35">
      <c r="D150"/>
      <c r="F150"/>
      <c r="O150"/>
    </row>
    <row r="151" spans="4:15" x14ac:dyDescent="0.35">
      <c r="D151"/>
      <c r="F151"/>
      <c r="O151"/>
    </row>
    <row r="152" spans="4:15" x14ac:dyDescent="0.35">
      <c r="D152"/>
      <c r="F152"/>
      <c r="O152"/>
    </row>
    <row r="153" spans="4:15" x14ac:dyDescent="0.35">
      <c r="D153"/>
      <c r="F153"/>
      <c r="O153"/>
    </row>
    <row r="154" spans="4:15" x14ac:dyDescent="0.35">
      <c r="D154"/>
      <c r="F154"/>
      <c r="O154"/>
    </row>
    <row r="155" spans="4:15" x14ac:dyDescent="0.35">
      <c r="D155"/>
      <c r="F155"/>
      <c r="O155"/>
    </row>
    <row r="156" spans="4:15" x14ac:dyDescent="0.35">
      <c r="D156"/>
      <c r="F156"/>
      <c r="O156"/>
    </row>
    <row r="157" spans="4:15" x14ac:dyDescent="0.35">
      <c r="D157"/>
      <c r="F157"/>
      <c r="O157"/>
    </row>
    <row r="158" spans="4:15" x14ac:dyDescent="0.35">
      <c r="D158"/>
      <c r="F158"/>
      <c r="O158"/>
    </row>
    <row r="159" spans="4:15" x14ac:dyDescent="0.35">
      <c r="D159"/>
      <c r="F159"/>
      <c r="O159"/>
    </row>
    <row r="160" spans="4:15" x14ac:dyDescent="0.35">
      <c r="D160"/>
      <c r="F160"/>
      <c r="O160"/>
    </row>
    <row r="161" spans="4:15" x14ac:dyDescent="0.35">
      <c r="D161"/>
      <c r="F161"/>
      <c r="O161"/>
    </row>
    <row r="162" spans="4:15" x14ac:dyDescent="0.35">
      <c r="D162"/>
      <c r="F162"/>
      <c r="O162"/>
    </row>
    <row r="163" spans="4:15" x14ac:dyDescent="0.35">
      <c r="D163"/>
      <c r="F163"/>
      <c r="O163"/>
    </row>
    <row r="164" spans="4:15" x14ac:dyDescent="0.35">
      <c r="D164"/>
      <c r="F164"/>
      <c r="O164"/>
    </row>
    <row r="165" spans="4:15" x14ac:dyDescent="0.35">
      <c r="D165"/>
      <c r="F165"/>
      <c r="O165"/>
    </row>
    <row r="166" spans="4:15" x14ac:dyDescent="0.35">
      <c r="D166"/>
      <c r="F166"/>
      <c r="O166"/>
    </row>
    <row r="167" spans="4:15" x14ac:dyDescent="0.35">
      <c r="D167"/>
      <c r="F167"/>
      <c r="O167"/>
    </row>
    <row r="168" spans="4:15" x14ac:dyDescent="0.35">
      <c r="D168"/>
      <c r="F168"/>
      <c r="O168"/>
    </row>
    <row r="169" spans="4:15" x14ac:dyDescent="0.35">
      <c r="D169"/>
      <c r="F169"/>
      <c r="O169"/>
    </row>
    <row r="170" spans="4:15" x14ac:dyDescent="0.35">
      <c r="D170"/>
      <c r="F170"/>
      <c r="O170"/>
    </row>
    <row r="171" spans="4:15" x14ac:dyDescent="0.35">
      <c r="D171"/>
      <c r="F171"/>
      <c r="O171"/>
    </row>
    <row r="172" spans="4:15" x14ac:dyDescent="0.35">
      <c r="D172"/>
      <c r="F172"/>
      <c r="O172"/>
    </row>
    <row r="173" spans="4:15" x14ac:dyDescent="0.35">
      <c r="D173"/>
      <c r="F173"/>
      <c r="O173"/>
    </row>
    <row r="174" spans="4:15" x14ac:dyDescent="0.35">
      <c r="D174"/>
      <c r="F174"/>
      <c r="O174"/>
    </row>
    <row r="175" spans="4:15" x14ac:dyDescent="0.35">
      <c r="D175"/>
      <c r="F175"/>
      <c r="O175"/>
    </row>
    <row r="176" spans="4:15" x14ac:dyDescent="0.35">
      <c r="D176"/>
      <c r="F176"/>
      <c r="O176"/>
    </row>
    <row r="177" spans="4:15" x14ac:dyDescent="0.35">
      <c r="D177"/>
      <c r="F177"/>
      <c r="O177"/>
    </row>
    <row r="178" spans="4:15" x14ac:dyDescent="0.35">
      <c r="D178"/>
      <c r="F178"/>
      <c r="O178"/>
    </row>
    <row r="179" spans="4:15" x14ac:dyDescent="0.35">
      <c r="D179"/>
      <c r="F179"/>
      <c r="O179"/>
    </row>
    <row r="180" spans="4:15" x14ac:dyDescent="0.35">
      <c r="D180"/>
      <c r="F180"/>
      <c r="O180"/>
    </row>
    <row r="181" spans="4:15" x14ac:dyDescent="0.35">
      <c r="D181"/>
      <c r="F181"/>
      <c r="O181"/>
    </row>
    <row r="182" spans="4:15" x14ac:dyDescent="0.35">
      <c r="D182"/>
      <c r="F182"/>
      <c r="O182"/>
    </row>
    <row r="183" spans="4:15" x14ac:dyDescent="0.35">
      <c r="D183"/>
      <c r="F183"/>
      <c r="O183"/>
    </row>
    <row r="184" spans="4:15" x14ac:dyDescent="0.35">
      <c r="D184"/>
      <c r="F184"/>
      <c r="O184"/>
    </row>
    <row r="185" spans="4:15" x14ac:dyDescent="0.35">
      <c r="D185"/>
      <c r="F185"/>
      <c r="O185"/>
    </row>
    <row r="186" spans="4:15" x14ac:dyDescent="0.35">
      <c r="D186"/>
      <c r="F186"/>
      <c r="O186"/>
    </row>
    <row r="187" spans="4:15" x14ac:dyDescent="0.35">
      <c r="D187"/>
      <c r="F187"/>
      <c r="O187"/>
    </row>
    <row r="188" spans="4:15" x14ac:dyDescent="0.35">
      <c r="D188"/>
      <c r="F188"/>
      <c r="O188"/>
    </row>
    <row r="189" spans="4:15" x14ac:dyDescent="0.35">
      <c r="D189"/>
      <c r="F189"/>
      <c r="O189"/>
    </row>
    <row r="190" spans="4:15" x14ac:dyDescent="0.35">
      <c r="D190"/>
      <c r="F190"/>
      <c r="O190"/>
    </row>
    <row r="191" spans="4:15" x14ac:dyDescent="0.35">
      <c r="D191"/>
      <c r="F191"/>
      <c r="O191"/>
    </row>
    <row r="192" spans="4:15" x14ac:dyDescent="0.35">
      <c r="D192"/>
      <c r="F192"/>
      <c r="O192"/>
    </row>
    <row r="193" spans="4:15" x14ac:dyDescent="0.35">
      <c r="D193"/>
      <c r="F193"/>
      <c r="O193"/>
    </row>
    <row r="194" spans="4:15" x14ac:dyDescent="0.35">
      <c r="D194"/>
      <c r="F194"/>
      <c r="O194"/>
    </row>
    <row r="195" spans="4:15" x14ac:dyDescent="0.35">
      <c r="D195"/>
      <c r="F195"/>
      <c r="O195"/>
    </row>
    <row r="196" spans="4:15" x14ac:dyDescent="0.35">
      <c r="D196"/>
      <c r="F196"/>
      <c r="O196"/>
    </row>
    <row r="197" spans="4:15" x14ac:dyDescent="0.35">
      <c r="D197"/>
      <c r="F197"/>
      <c r="O197"/>
    </row>
    <row r="198" spans="4:15" x14ac:dyDescent="0.35">
      <c r="D198"/>
      <c r="F198"/>
      <c r="O198"/>
    </row>
    <row r="199" spans="4:15" x14ac:dyDescent="0.35">
      <c r="D199"/>
      <c r="F199"/>
      <c r="O199"/>
    </row>
    <row r="200" spans="4:15" x14ac:dyDescent="0.35">
      <c r="D200"/>
      <c r="F200"/>
      <c r="O200"/>
    </row>
    <row r="201" spans="4:15" x14ac:dyDescent="0.35">
      <c r="D201"/>
      <c r="F201"/>
      <c r="O201"/>
    </row>
    <row r="202" spans="4:15" x14ac:dyDescent="0.35">
      <c r="D202"/>
      <c r="F202"/>
      <c r="O202"/>
    </row>
    <row r="203" spans="4:15" x14ac:dyDescent="0.35">
      <c r="D203"/>
      <c r="F203"/>
      <c r="O203"/>
    </row>
    <row r="204" spans="4:15" x14ac:dyDescent="0.35">
      <c r="D204"/>
      <c r="F204"/>
      <c r="O204"/>
    </row>
    <row r="205" spans="4:15" x14ac:dyDescent="0.35">
      <c r="D205"/>
      <c r="F205"/>
      <c r="O205"/>
    </row>
    <row r="206" spans="4:15" x14ac:dyDescent="0.35">
      <c r="D206"/>
      <c r="F206"/>
      <c r="O206"/>
    </row>
    <row r="207" spans="4:15" x14ac:dyDescent="0.35">
      <c r="D207"/>
      <c r="F207"/>
      <c r="O207"/>
    </row>
    <row r="208" spans="4:15" x14ac:dyDescent="0.35">
      <c r="D208"/>
      <c r="F208"/>
      <c r="O208"/>
    </row>
    <row r="209" spans="4:15" x14ac:dyDescent="0.35">
      <c r="D209"/>
      <c r="F209"/>
      <c r="O209"/>
    </row>
    <row r="210" spans="4:15" x14ac:dyDescent="0.35">
      <c r="D210"/>
      <c r="F210"/>
      <c r="O210"/>
    </row>
    <row r="211" spans="4:15" x14ac:dyDescent="0.35">
      <c r="D211"/>
      <c r="F211"/>
      <c r="O211"/>
    </row>
    <row r="212" spans="4:15" x14ac:dyDescent="0.35">
      <c r="D212"/>
      <c r="F212"/>
      <c r="O212"/>
    </row>
    <row r="213" spans="4:15" x14ac:dyDescent="0.35">
      <c r="D213"/>
      <c r="F213"/>
      <c r="O213"/>
    </row>
    <row r="214" spans="4:15" x14ac:dyDescent="0.35">
      <c r="D214"/>
      <c r="F214"/>
      <c r="O214"/>
    </row>
    <row r="215" spans="4:15" x14ac:dyDescent="0.35">
      <c r="D215"/>
      <c r="F215"/>
      <c r="O215"/>
    </row>
    <row r="216" spans="4:15" x14ac:dyDescent="0.35">
      <c r="D216"/>
      <c r="F216"/>
      <c r="O216"/>
    </row>
    <row r="217" spans="4:15" x14ac:dyDescent="0.35">
      <c r="D217"/>
      <c r="F217"/>
      <c r="O217"/>
    </row>
    <row r="218" spans="4:15" x14ac:dyDescent="0.35">
      <c r="D218"/>
      <c r="F218"/>
      <c r="O218"/>
    </row>
    <row r="219" spans="4:15" x14ac:dyDescent="0.35">
      <c r="D219"/>
      <c r="F219"/>
      <c r="O219"/>
    </row>
    <row r="220" spans="4:15" x14ac:dyDescent="0.35">
      <c r="D220"/>
      <c r="F220"/>
      <c r="O220"/>
    </row>
    <row r="221" spans="4:15" x14ac:dyDescent="0.35">
      <c r="D221"/>
      <c r="F221"/>
      <c r="O221"/>
    </row>
    <row r="222" spans="4:15" x14ac:dyDescent="0.35">
      <c r="D222"/>
      <c r="F222"/>
      <c r="O222"/>
    </row>
    <row r="223" spans="4:15" x14ac:dyDescent="0.35">
      <c r="D223"/>
      <c r="F223"/>
      <c r="O223"/>
    </row>
    <row r="224" spans="4:15" x14ac:dyDescent="0.35">
      <c r="D224"/>
      <c r="F224"/>
      <c r="O224"/>
    </row>
    <row r="225" spans="4:15" x14ac:dyDescent="0.35">
      <c r="D225"/>
      <c r="F225"/>
      <c r="O225"/>
    </row>
    <row r="226" spans="4:15" x14ac:dyDescent="0.35">
      <c r="D226"/>
      <c r="F226"/>
      <c r="O226"/>
    </row>
    <row r="227" spans="4:15" x14ac:dyDescent="0.35">
      <c r="D227"/>
      <c r="F227"/>
      <c r="O227"/>
    </row>
    <row r="228" spans="4:15" x14ac:dyDescent="0.35">
      <c r="D228"/>
      <c r="F228"/>
      <c r="O228"/>
    </row>
    <row r="229" spans="4:15" x14ac:dyDescent="0.35">
      <c r="D229"/>
      <c r="F229"/>
      <c r="O229"/>
    </row>
    <row r="230" spans="4:15" x14ac:dyDescent="0.35">
      <c r="D230"/>
      <c r="F230"/>
      <c r="O230"/>
    </row>
    <row r="231" spans="4:15" x14ac:dyDescent="0.35">
      <c r="D231"/>
      <c r="F231"/>
      <c r="O231"/>
    </row>
    <row r="232" spans="4:15" x14ac:dyDescent="0.35">
      <c r="D232"/>
      <c r="F232"/>
      <c r="O232"/>
    </row>
    <row r="233" spans="4:15" x14ac:dyDescent="0.35">
      <c r="D233"/>
      <c r="F233"/>
      <c r="O233"/>
    </row>
    <row r="234" spans="4:15" x14ac:dyDescent="0.35">
      <c r="D234"/>
      <c r="F234"/>
      <c r="O234"/>
    </row>
    <row r="235" spans="4:15" x14ac:dyDescent="0.35">
      <c r="D235"/>
      <c r="F235"/>
      <c r="O235"/>
    </row>
    <row r="236" spans="4:15" x14ac:dyDescent="0.35">
      <c r="D236"/>
      <c r="F236"/>
      <c r="O236"/>
    </row>
    <row r="237" spans="4:15" x14ac:dyDescent="0.35">
      <c r="D237"/>
      <c r="F237"/>
      <c r="O237"/>
    </row>
    <row r="238" spans="4:15" x14ac:dyDescent="0.35">
      <c r="D238"/>
      <c r="F238"/>
      <c r="O238"/>
    </row>
    <row r="239" spans="4:15" x14ac:dyDescent="0.35">
      <c r="D239"/>
      <c r="F239"/>
      <c r="O239"/>
    </row>
    <row r="240" spans="4:15" x14ac:dyDescent="0.35">
      <c r="D240"/>
      <c r="F240"/>
      <c r="O240"/>
    </row>
    <row r="241" spans="4:15" x14ac:dyDescent="0.35">
      <c r="D241"/>
      <c r="F241"/>
      <c r="O241"/>
    </row>
    <row r="242" spans="4:15" x14ac:dyDescent="0.35">
      <c r="D242"/>
      <c r="F242"/>
      <c r="O242"/>
    </row>
    <row r="243" spans="4:15" x14ac:dyDescent="0.35">
      <c r="D243"/>
      <c r="F243"/>
      <c r="O243"/>
    </row>
    <row r="244" spans="4:15" x14ac:dyDescent="0.35">
      <c r="D244"/>
      <c r="F244"/>
      <c r="O244"/>
    </row>
    <row r="245" spans="4:15" x14ac:dyDescent="0.35">
      <c r="D245"/>
      <c r="F245"/>
      <c r="O245"/>
    </row>
    <row r="246" spans="4:15" x14ac:dyDescent="0.35">
      <c r="D246"/>
      <c r="F246"/>
      <c r="O246"/>
    </row>
    <row r="247" spans="4:15" x14ac:dyDescent="0.35">
      <c r="D247"/>
      <c r="F247"/>
      <c r="O247"/>
    </row>
    <row r="248" spans="4:15" x14ac:dyDescent="0.35">
      <c r="D248"/>
      <c r="F248"/>
      <c r="O248"/>
    </row>
    <row r="249" spans="4:15" x14ac:dyDescent="0.35">
      <c r="D249"/>
      <c r="F249"/>
      <c r="O249"/>
    </row>
    <row r="250" spans="4:15" x14ac:dyDescent="0.35">
      <c r="D250"/>
      <c r="F250"/>
      <c r="O250"/>
    </row>
    <row r="251" spans="4:15" x14ac:dyDescent="0.35">
      <c r="D251"/>
      <c r="F251"/>
      <c r="O251"/>
    </row>
    <row r="252" spans="4:15" x14ac:dyDescent="0.35">
      <c r="D252"/>
      <c r="F252"/>
      <c r="O252"/>
    </row>
    <row r="253" spans="4:15" x14ac:dyDescent="0.35">
      <c r="D253"/>
      <c r="F253"/>
      <c r="O253"/>
    </row>
    <row r="254" spans="4:15" x14ac:dyDescent="0.35">
      <c r="D254"/>
      <c r="F254"/>
      <c r="O254"/>
    </row>
    <row r="255" spans="4:15" x14ac:dyDescent="0.35">
      <c r="D255"/>
      <c r="F255"/>
      <c r="O255"/>
    </row>
    <row r="256" spans="4:15" x14ac:dyDescent="0.35">
      <c r="D256"/>
      <c r="F256"/>
      <c r="O256"/>
    </row>
    <row r="257" spans="4:15" x14ac:dyDescent="0.35">
      <c r="D257"/>
      <c r="F257"/>
      <c r="O257"/>
    </row>
    <row r="258" spans="4:15" x14ac:dyDescent="0.35">
      <c r="D258"/>
      <c r="F258"/>
      <c r="O258"/>
    </row>
    <row r="259" spans="4:15" x14ac:dyDescent="0.35">
      <c r="D259"/>
      <c r="F259"/>
      <c r="O259"/>
    </row>
    <row r="260" spans="4:15" x14ac:dyDescent="0.35">
      <c r="D260"/>
      <c r="F260"/>
      <c r="O260"/>
    </row>
    <row r="261" spans="4:15" x14ac:dyDescent="0.35">
      <c r="D261"/>
      <c r="F261"/>
      <c r="O261"/>
    </row>
    <row r="262" spans="4:15" x14ac:dyDescent="0.35">
      <c r="D262"/>
      <c r="F262"/>
      <c r="O262"/>
    </row>
    <row r="263" spans="4:15" x14ac:dyDescent="0.35">
      <c r="D263"/>
      <c r="F263"/>
    </row>
    <row r="264" spans="4:15" x14ac:dyDescent="0.35">
      <c r="D264"/>
      <c r="F264"/>
    </row>
    <row r="265" spans="4:15" x14ac:dyDescent="0.35">
      <c r="D265"/>
      <c r="F265"/>
    </row>
    <row r="266" spans="4:15" x14ac:dyDescent="0.35">
      <c r="D266"/>
      <c r="F266"/>
    </row>
    <row r="267" spans="4:15" x14ac:dyDescent="0.35">
      <c r="D267"/>
      <c r="F267"/>
    </row>
    <row r="268" spans="4:15" x14ac:dyDescent="0.35">
      <c r="D268"/>
      <c r="F268"/>
    </row>
    <row r="269" spans="4:15" x14ac:dyDescent="0.35">
      <c r="D269"/>
      <c r="F269"/>
    </row>
    <row r="270" spans="4:15" x14ac:dyDescent="0.35">
      <c r="D270"/>
      <c r="F270"/>
    </row>
    <row r="271" spans="4:15" x14ac:dyDescent="0.35">
      <c r="D271"/>
      <c r="F271"/>
    </row>
    <row r="272" spans="4:15" x14ac:dyDescent="0.35">
      <c r="D272"/>
      <c r="F272"/>
    </row>
    <row r="273" spans="4:6" x14ac:dyDescent="0.35">
      <c r="D273"/>
      <c r="F273"/>
    </row>
    <row r="274" spans="4:6" x14ac:dyDescent="0.35">
      <c r="D274"/>
      <c r="F274"/>
    </row>
    <row r="275" spans="4:6" x14ac:dyDescent="0.35">
      <c r="D275"/>
      <c r="F275"/>
    </row>
    <row r="276" spans="4:6" x14ac:dyDescent="0.35">
      <c r="D276"/>
      <c r="F276"/>
    </row>
    <row r="277" spans="4:6" x14ac:dyDescent="0.35">
      <c r="D277"/>
      <c r="F277"/>
    </row>
    <row r="278" spans="4:6" x14ac:dyDescent="0.35">
      <c r="D278"/>
      <c r="F278"/>
    </row>
    <row r="279" spans="4:6" x14ac:dyDescent="0.35">
      <c r="D279"/>
      <c r="F279"/>
    </row>
    <row r="280" spans="4:6" x14ac:dyDescent="0.35">
      <c r="D280"/>
      <c r="F280"/>
    </row>
    <row r="281" spans="4:6" x14ac:dyDescent="0.35">
      <c r="D281"/>
      <c r="F281"/>
    </row>
    <row r="282" spans="4:6" x14ac:dyDescent="0.35">
      <c r="D282"/>
      <c r="F282"/>
    </row>
    <row r="283" spans="4:6" x14ac:dyDescent="0.35">
      <c r="D283"/>
      <c r="F283"/>
    </row>
    <row r="284" spans="4:6" x14ac:dyDescent="0.35">
      <c r="D284"/>
      <c r="F284"/>
    </row>
    <row r="285" spans="4:6" x14ac:dyDescent="0.35">
      <c r="D285"/>
      <c r="F285"/>
    </row>
    <row r="286" spans="4:6" x14ac:dyDescent="0.35">
      <c r="D286"/>
      <c r="F286"/>
    </row>
    <row r="287" spans="4:6" x14ac:dyDescent="0.35">
      <c r="D287"/>
      <c r="F287"/>
    </row>
    <row r="288" spans="4:6" x14ac:dyDescent="0.35">
      <c r="D288"/>
      <c r="F288"/>
    </row>
    <row r="289" spans="4:6" x14ac:dyDescent="0.35">
      <c r="D289"/>
      <c r="F289"/>
    </row>
    <row r="290" spans="4:6" x14ac:dyDescent="0.35">
      <c r="D290"/>
      <c r="F290"/>
    </row>
    <row r="291" spans="4:6" x14ac:dyDescent="0.35">
      <c r="D291"/>
      <c r="F291"/>
    </row>
    <row r="292" spans="4:6" x14ac:dyDescent="0.35">
      <c r="D292"/>
      <c r="F292"/>
    </row>
    <row r="293" spans="4:6" x14ac:dyDescent="0.35">
      <c r="D293"/>
      <c r="F293"/>
    </row>
    <row r="294" spans="4:6" x14ac:dyDescent="0.35">
      <c r="D294"/>
      <c r="F294"/>
    </row>
    <row r="295" spans="4:6" x14ac:dyDescent="0.35">
      <c r="D295"/>
      <c r="F295"/>
    </row>
    <row r="296" spans="4:6" x14ac:dyDescent="0.35">
      <c r="D296"/>
      <c r="F296"/>
    </row>
    <row r="297" spans="4:6" x14ac:dyDescent="0.35">
      <c r="D297"/>
      <c r="F297"/>
    </row>
    <row r="298" spans="4:6" x14ac:dyDescent="0.35">
      <c r="D298"/>
      <c r="F298"/>
    </row>
    <row r="299" spans="4:6" x14ac:dyDescent="0.35">
      <c r="D299"/>
      <c r="F299"/>
    </row>
    <row r="300" spans="4:6" x14ac:dyDescent="0.35">
      <c r="D300"/>
      <c r="F300"/>
    </row>
    <row r="301" spans="4:6" x14ac:dyDescent="0.35">
      <c r="D301"/>
      <c r="F301"/>
    </row>
    <row r="302" spans="4:6" x14ac:dyDescent="0.35">
      <c r="D302"/>
      <c r="F302"/>
    </row>
    <row r="303" spans="4:6" x14ac:dyDescent="0.35">
      <c r="D303"/>
      <c r="F303"/>
    </row>
    <row r="304" spans="4:6" x14ac:dyDescent="0.35">
      <c r="D304"/>
      <c r="F304"/>
    </row>
    <row r="305" spans="4:6" x14ac:dyDescent="0.35">
      <c r="D305"/>
      <c r="F305"/>
    </row>
    <row r="306" spans="4:6" x14ac:dyDescent="0.35">
      <c r="D306"/>
      <c r="F306"/>
    </row>
    <row r="307" spans="4:6" x14ac:dyDescent="0.35">
      <c r="D307"/>
      <c r="F307"/>
    </row>
    <row r="308" spans="4:6" x14ac:dyDescent="0.35">
      <c r="D308"/>
      <c r="F308"/>
    </row>
    <row r="309" spans="4:6" x14ac:dyDescent="0.35">
      <c r="D309"/>
      <c r="F309"/>
    </row>
    <row r="310" spans="4:6" x14ac:dyDescent="0.35">
      <c r="D310"/>
      <c r="F310"/>
    </row>
    <row r="311" spans="4:6" x14ac:dyDescent="0.35">
      <c r="D311"/>
      <c r="F311"/>
    </row>
    <row r="312" spans="4:6" x14ac:dyDescent="0.35">
      <c r="D312"/>
      <c r="F312"/>
    </row>
    <row r="313" spans="4:6" x14ac:dyDescent="0.35">
      <c r="D313"/>
      <c r="F313"/>
    </row>
    <row r="314" spans="4:6" x14ac:dyDescent="0.35">
      <c r="D314"/>
      <c r="F314"/>
    </row>
    <row r="315" spans="4:6" x14ac:dyDescent="0.35">
      <c r="D315"/>
      <c r="F315"/>
    </row>
    <row r="316" spans="4:6" x14ac:dyDescent="0.35">
      <c r="D316"/>
      <c r="F316"/>
    </row>
    <row r="317" spans="4:6" x14ac:dyDescent="0.35">
      <c r="D317"/>
      <c r="F317"/>
    </row>
    <row r="318" spans="4:6" x14ac:dyDescent="0.35">
      <c r="D318"/>
      <c r="F318"/>
    </row>
    <row r="319" spans="4:6" x14ac:dyDescent="0.35">
      <c r="D319"/>
      <c r="F319"/>
    </row>
    <row r="320" spans="4:6" x14ac:dyDescent="0.35">
      <c r="D320"/>
      <c r="F320"/>
    </row>
    <row r="321" spans="4:6" x14ac:dyDescent="0.35">
      <c r="D321"/>
      <c r="F321"/>
    </row>
    <row r="322" spans="4:6" x14ac:dyDescent="0.35">
      <c r="D322"/>
      <c r="F322"/>
    </row>
    <row r="323" spans="4:6" x14ac:dyDescent="0.35">
      <c r="D323"/>
      <c r="F323"/>
    </row>
    <row r="324" spans="4:6" x14ac:dyDescent="0.35">
      <c r="D324"/>
      <c r="F324"/>
    </row>
    <row r="325" spans="4:6" x14ac:dyDescent="0.35">
      <c r="D325"/>
      <c r="F325"/>
    </row>
    <row r="326" spans="4:6" x14ac:dyDescent="0.35">
      <c r="D326"/>
      <c r="F326"/>
    </row>
    <row r="327" spans="4:6" x14ac:dyDescent="0.35">
      <c r="D327"/>
      <c r="F327"/>
    </row>
    <row r="328" spans="4:6" x14ac:dyDescent="0.35">
      <c r="D328"/>
      <c r="F328"/>
    </row>
    <row r="329" spans="4:6" x14ac:dyDescent="0.35">
      <c r="D329"/>
      <c r="F329"/>
    </row>
    <row r="330" spans="4:6" x14ac:dyDescent="0.35">
      <c r="D330"/>
      <c r="F330"/>
    </row>
    <row r="331" spans="4:6" x14ac:dyDescent="0.35">
      <c r="D331"/>
      <c r="F331"/>
    </row>
    <row r="332" spans="4:6" x14ac:dyDescent="0.35">
      <c r="D332"/>
      <c r="F332"/>
    </row>
    <row r="333" spans="4:6" x14ac:dyDescent="0.35">
      <c r="D333"/>
      <c r="F333"/>
    </row>
    <row r="334" spans="4:6" x14ac:dyDescent="0.35">
      <c r="D334"/>
      <c r="F334"/>
    </row>
    <row r="335" spans="4:6" x14ac:dyDescent="0.35">
      <c r="D335"/>
      <c r="F335"/>
    </row>
    <row r="336" spans="4:6" x14ac:dyDescent="0.35">
      <c r="D336"/>
      <c r="F336"/>
    </row>
    <row r="337" spans="4:6" x14ac:dyDescent="0.35">
      <c r="D337"/>
      <c r="F337"/>
    </row>
    <row r="338" spans="4:6" x14ac:dyDescent="0.35">
      <c r="D338"/>
      <c r="F338"/>
    </row>
    <row r="339" spans="4:6" x14ac:dyDescent="0.35">
      <c r="D339"/>
      <c r="F339"/>
    </row>
    <row r="340" spans="4:6" x14ac:dyDescent="0.35">
      <c r="D340"/>
      <c r="F340"/>
    </row>
    <row r="341" spans="4:6" x14ac:dyDescent="0.35">
      <c r="D341"/>
      <c r="F341"/>
    </row>
    <row r="342" spans="4:6" x14ac:dyDescent="0.35">
      <c r="D342"/>
      <c r="F342"/>
    </row>
    <row r="343" spans="4:6" x14ac:dyDescent="0.35">
      <c r="D343"/>
      <c r="F343"/>
    </row>
    <row r="344" spans="4:6" x14ac:dyDescent="0.35">
      <c r="D344"/>
      <c r="F344"/>
    </row>
    <row r="345" spans="4:6" x14ac:dyDescent="0.35">
      <c r="D345"/>
      <c r="F345"/>
    </row>
    <row r="346" spans="4:6" x14ac:dyDescent="0.35">
      <c r="D346"/>
      <c r="F346"/>
    </row>
    <row r="347" spans="4:6" x14ac:dyDescent="0.35">
      <c r="D347"/>
      <c r="F347"/>
    </row>
    <row r="348" spans="4:6" x14ac:dyDescent="0.35">
      <c r="D348"/>
      <c r="F348"/>
    </row>
    <row r="349" spans="4:6" x14ac:dyDescent="0.35">
      <c r="D349"/>
      <c r="F349"/>
    </row>
    <row r="350" spans="4:6" x14ac:dyDescent="0.35">
      <c r="D350"/>
      <c r="F350"/>
    </row>
    <row r="351" spans="4:6" x14ac:dyDescent="0.35">
      <c r="D351"/>
      <c r="F351"/>
    </row>
    <row r="352" spans="4:6" x14ac:dyDescent="0.35">
      <c r="D352"/>
      <c r="F352"/>
    </row>
    <row r="353" spans="4:6" x14ac:dyDescent="0.35">
      <c r="D353"/>
      <c r="F353"/>
    </row>
    <row r="354" spans="4:6" x14ac:dyDescent="0.35">
      <c r="D354"/>
      <c r="F354"/>
    </row>
    <row r="355" spans="4:6" x14ac:dyDescent="0.35">
      <c r="D355"/>
      <c r="F355"/>
    </row>
    <row r="356" spans="4:6" x14ac:dyDescent="0.35">
      <c r="D356"/>
      <c r="F356"/>
    </row>
    <row r="357" spans="4:6" x14ac:dyDescent="0.35">
      <c r="D357"/>
      <c r="F357"/>
    </row>
    <row r="358" spans="4:6" x14ac:dyDescent="0.35">
      <c r="D358"/>
      <c r="F358"/>
    </row>
    <row r="359" spans="4:6" x14ac:dyDescent="0.35">
      <c r="D359"/>
      <c r="F359"/>
    </row>
    <row r="360" spans="4:6" x14ac:dyDescent="0.35">
      <c r="D360"/>
      <c r="F360"/>
    </row>
    <row r="361" spans="4:6" x14ac:dyDescent="0.35">
      <c r="D361"/>
      <c r="F361"/>
    </row>
    <row r="362" spans="4:6" x14ac:dyDescent="0.35">
      <c r="D362"/>
      <c r="F362"/>
    </row>
    <row r="363" spans="4:6" x14ac:dyDescent="0.35">
      <c r="D363"/>
      <c r="F363"/>
    </row>
    <row r="364" spans="4:6" x14ac:dyDescent="0.35">
      <c r="D364"/>
      <c r="F364"/>
    </row>
    <row r="365" spans="4:6" x14ac:dyDescent="0.35">
      <c r="D365"/>
      <c r="F365"/>
    </row>
    <row r="366" spans="4:6" x14ac:dyDescent="0.35">
      <c r="D366"/>
      <c r="F366"/>
    </row>
    <row r="367" spans="4:6" x14ac:dyDescent="0.35">
      <c r="D367"/>
      <c r="F367"/>
    </row>
    <row r="368" spans="4:6" x14ac:dyDescent="0.35">
      <c r="D368"/>
      <c r="F368"/>
    </row>
    <row r="369" spans="4:6" x14ac:dyDescent="0.35">
      <c r="D369"/>
      <c r="F369"/>
    </row>
    <row r="370" spans="4:6" x14ac:dyDescent="0.35">
      <c r="D370"/>
      <c r="F370"/>
    </row>
    <row r="371" spans="4:6" x14ac:dyDescent="0.35">
      <c r="D371"/>
      <c r="F371"/>
    </row>
    <row r="372" spans="4:6" x14ac:dyDescent="0.35">
      <c r="D372"/>
      <c r="F372"/>
    </row>
    <row r="373" spans="4:6" x14ac:dyDescent="0.35">
      <c r="D373"/>
      <c r="F373"/>
    </row>
    <row r="374" spans="4:6" x14ac:dyDescent="0.35">
      <c r="D374"/>
      <c r="F374"/>
    </row>
    <row r="375" spans="4:6" x14ac:dyDescent="0.35">
      <c r="D375"/>
      <c r="F375"/>
    </row>
    <row r="376" spans="4:6" x14ac:dyDescent="0.35">
      <c r="D376"/>
      <c r="F376"/>
    </row>
    <row r="377" spans="4:6" x14ac:dyDescent="0.35">
      <c r="D377"/>
      <c r="F377"/>
    </row>
    <row r="378" spans="4:6" x14ac:dyDescent="0.35">
      <c r="D378"/>
      <c r="F378"/>
    </row>
    <row r="379" spans="4:6" x14ac:dyDescent="0.35">
      <c r="D379"/>
      <c r="F379"/>
    </row>
    <row r="380" spans="4:6" x14ac:dyDescent="0.35">
      <c r="D380"/>
      <c r="F380"/>
    </row>
    <row r="381" spans="4:6" x14ac:dyDescent="0.35">
      <c r="D381"/>
      <c r="F381"/>
    </row>
    <row r="382" spans="4:6" x14ac:dyDescent="0.35">
      <c r="D382"/>
      <c r="F382"/>
    </row>
    <row r="383" spans="4:6" x14ac:dyDescent="0.35">
      <c r="D383"/>
      <c r="F383"/>
    </row>
    <row r="384" spans="4:6" x14ac:dyDescent="0.35">
      <c r="D384"/>
      <c r="F384"/>
    </row>
    <row r="385" spans="4:6" x14ac:dyDescent="0.35">
      <c r="D385"/>
      <c r="F385"/>
    </row>
    <row r="386" spans="4:6" x14ac:dyDescent="0.35">
      <c r="D386"/>
      <c r="F386"/>
    </row>
    <row r="387" spans="4:6" x14ac:dyDescent="0.35">
      <c r="D387"/>
      <c r="F387"/>
    </row>
    <row r="388" spans="4:6" x14ac:dyDescent="0.35">
      <c r="D388"/>
      <c r="F388"/>
    </row>
    <row r="389" spans="4:6" x14ac:dyDescent="0.35">
      <c r="D389"/>
      <c r="F389"/>
    </row>
    <row r="390" spans="4:6" x14ac:dyDescent="0.35">
      <c r="D390"/>
      <c r="F390"/>
    </row>
    <row r="391" spans="4:6" x14ac:dyDescent="0.35">
      <c r="D391"/>
      <c r="F391"/>
    </row>
    <row r="392" spans="4:6" x14ac:dyDescent="0.35">
      <c r="D392"/>
      <c r="F392"/>
    </row>
    <row r="393" spans="4:6" x14ac:dyDescent="0.35">
      <c r="D393"/>
      <c r="F393"/>
    </row>
    <row r="394" spans="4:6" x14ac:dyDescent="0.35">
      <c r="D394"/>
      <c r="F394"/>
    </row>
    <row r="395" spans="4:6" x14ac:dyDescent="0.35">
      <c r="D395"/>
      <c r="F395"/>
    </row>
    <row r="396" spans="4:6" x14ac:dyDescent="0.35">
      <c r="D396"/>
      <c r="F396"/>
    </row>
    <row r="397" spans="4:6" x14ac:dyDescent="0.35">
      <c r="D397"/>
      <c r="F397"/>
    </row>
    <row r="398" spans="4:6" x14ac:dyDescent="0.35">
      <c r="D398"/>
      <c r="F398"/>
    </row>
    <row r="399" spans="4:6" x14ac:dyDescent="0.35">
      <c r="D399"/>
      <c r="F399"/>
    </row>
    <row r="400" spans="4:6" x14ac:dyDescent="0.35">
      <c r="D400"/>
      <c r="F400"/>
    </row>
    <row r="401" spans="4:6" x14ac:dyDescent="0.35">
      <c r="D401"/>
      <c r="F401"/>
    </row>
    <row r="402" spans="4:6" x14ac:dyDescent="0.35">
      <c r="D402"/>
      <c r="F402"/>
    </row>
    <row r="403" spans="4:6" x14ac:dyDescent="0.35">
      <c r="D403"/>
      <c r="F403"/>
    </row>
    <row r="404" spans="4:6" x14ac:dyDescent="0.35">
      <c r="D404"/>
      <c r="F404"/>
    </row>
    <row r="405" spans="4:6" x14ac:dyDescent="0.35">
      <c r="D405"/>
      <c r="F405"/>
    </row>
    <row r="406" spans="4:6" x14ac:dyDescent="0.35">
      <c r="D406"/>
      <c r="F406"/>
    </row>
    <row r="407" spans="4:6" x14ac:dyDescent="0.35">
      <c r="D407"/>
      <c r="F407"/>
    </row>
    <row r="408" spans="4:6" x14ac:dyDescent="0.35">
      <c r="D408"/>
      <c r="F408"/>
    </row>
    <row r="409" spans="4:6" x14ac:dyDescent="0.35">
      <c r="D409"/>
      <c r="F409"/>
    </row>
    <row r="410" spans="4:6" x14ac:dyDescent="0.35">
      <c r="D410"/>
      <c r="F410"/>
    </row>
    <row r="411" spans="4:6" x14ac:dyDescent="0.35">
      <c r="D411"/>
      <c r="F411"/>
    </row>
    <row r="412" spans="4:6" x14ac:dyDescent="0.35">
      <c r="D412"/>
      <c r="F412"/>
    </row>
    <row r="413" spans="4:6" x14ac:dyDescent="0.35">
      <c r="D413"/>
      <c r="F413"/>
    </row>
    <row r="414" spans="4:6" x14ac:dyDescent="0.35">
      <c r="D414"/>
      <c r="F414"/>
    </row>
    <row r="415" spans="4:6" x14ac:dyDescent="0.35">
      <c r="D415"/>
      <c r="F415"/>
    </row>
    <row r="416" spans="4:6" x14ac:dyDescent="0.35">
      <c r="D416"/>
      <c r="F416"/>
    </row>
    <row r="417" spans="4:6" x14ac:dyDescent="0.35">
      <c r="D417"/>
      <c r="F417"/>
    </row>
    <row r="418" spans="4:6" x14ac:dyDescent="0.35">
      <c r="D418"/>
      <c r="F418"/>
    </row>
    <row r="419" spans="4:6" x14ac:dyDescent="0.35">
      <c r="D419"/>
      <c r="F419"/>
    </row>
    <row r="420" spans="4:6" x14ac:dyDescent="0.35">
      <c r="D420"/>
      <c r="F420"/>
    </row>
    <row r="421" spans="4:6" x14ac:dyDescent="0.35">
      <c r="D421"/>
      <c r="F421"/>
    </row>
    <row r="422" spans="4:6" x14ac:dyDescent="0.35">
      <c r="D422"/>
      <c r="F422"/>
    </row>
    <row r="423" spans="4:6" x14ac:dyDescent="0.35">
      <c r="D423"/>
      <c r="F423"/>
    </row>
    <row r="424" spans="4:6" x14ac:dyDescent="0.35">
      <c r="D424"/>
      <c r="F424"/>
    </row>
    <row r="425" spans="4:6" x14ac:dyDescent="0.35">
      <c r="D425"/>
      <c r="F425"/>
    </row>
    <row r="426" spans="4:6" x14ac:dyDescent="0.35">
      <c r="D426"/>
      <c r="F426"/>
    </row>
    <row r="427" spans="4:6" x14ac:dyDescent="0.35">
      <c r="D427"/>
      <c r="F427"/>
    </row>
    <row r="428" spans="4:6" x14ac:dyDescent="0.35">
      <c r="D428"/>
      <c r="F428"/>
    </row>
    <row r="429" spans="4:6" x14ac:dyDescent="0.35">
      <c r="D429"/>
      <c r="F429"/>
    </row>
    <row r="430" spans="4:6" x14ac:dyDescent="0.35">
      <c r="D430"/>
      <c r="F430"/>
    </row>
    <row r="431" spans="4:6" x14ac:dyDescent="0.35">
      <c r="D431"/>
      <c r="F431"/>
    </row>
    <row r="432" spans="4:6" x14ac:dyDescent="0.35">
      <c r="D432"/>
      <c r="F432"/>
    </row>
    <row r="433" spans="4:6" x14ac:dyDescent="0.35">
      <c r="D433"/>
      <c r="F433"/>
    </row>
    <row r="434" spans="4:6" x14ac:dyDescent="0.35">
      <c r="D434"/>
      <c r="F434"/>
    </row>
    <row r="435" spans="4:6" x14ac:dyDescent="0.35">
      <c r="D435"/>
      <c r="F435"/>
    </row>
    <row r="436" spans="4:6" x14ac:dyDescent="0.35">
      <c r="D436"/>
      <c r="F436"/>
    </row>
    <row r="437" spans="4:6" x14ac:dyDescent="0.35">
      <c r="D437"/>
      <c r="F437"/>
    </row>
    <row r="438" spans="4:6" x14ac:dyDescent="0.35">
      <c r="D438"/>
      <c r="F438"/>
    </row>
    <row r="439" spans="4:6" x14ac:dyDescent="0.35">
      <c r="D439"/>
      <c r="F439"/>
    </row>
    <row r="440" spans="4:6" x14ac:dyDescent="0.35">
      <c r="D440"/>
      <c r="F440"/>
    </row>
    <row r="441" spans="4:6" x14ac:dyDescent="0.35">
      <c r="D441"/>
      <c r="F441"/>
    </row>
    <row r="442" spans="4:6" x14ac:dyDescent="0.35">
      <c r="D442"/>
      <c r="F442"/>
    </row>
    <row r="443" spans="4:6" x14ac:dyDescent="0.35">
      <c r="D443"/>
      <c r="F443"/>
    </row>
    <row r="444" spans="4:6" x14ac:dyDescent="0.35">
      <c r="D444"/>
      <c r="F444"/>
    </row>
    <row r="445" spans="4:6" x14ac:dyDescent="0.35">
      <c r="D445"/>
      <c r="F445"/>
    </row>
    <row r="446" spans="4:6" x14ac:dyDescent="0.35">
      <c r="D446"/>
      <c r="F446"/>
    </row>
    <row r="447" spans="4:6" x14ac:dyDescent="0.35">
      <c r="D447"/>
      <c r="F447"/>
    </row>
    <row r="448" spans="4:6" x14ac:dyDescent="0.35">
      <c r="D448"/>
      <c r="F448"/>
    </row>
    <row r="449" spans="4:6" x14ac:dyDescent="0.35">
      <c r="D449"/>
      <c r="F449"/>
    </row>
    <row r="450" spans="4:6" x14ac:dyDescent="0.35">
      <c r="D450"/>
      <c r="F450"/>
    </row>
    <row r="451" spans="4:6" x14ac:dyDescent="0.35">
      <c r="D451"/>
      <c r="F451"/>
    </row>
    <row r="452" spans="4:6" x14ac:dyDescent="0.35">
      <c r="D452"/>
      <c r="F452"/>
    </row>
    <row r="453" spans="4:6" x14ac:dyDescent="0.35">
      <c r="D453"/>
      <c r="F453"/>
    </row>
    <row r="454" spans="4:6" x14ac:dyDescent="0.35">
      <c r="D454"/>
      <c r="F454"/>
    </row>
    <row r="455" spans="4:6" x14ac:dyDescent="0.35">
      <c r="D455"/>
      <c r="F455"/>
    </row>
    <row r="456" spans="4:6" x14ac:dyDescent="0.35">
      <c r="D456"/>
      <c r="F456"/>
    </row>
    <row r="457" spans="4:6" x14ac:dyDescent="0.35">
      <c r="D457"/>
      <c r="F457"/>
    </row>
    <row r="458" spans="4:6" x14ac:dyDescent="0.35">
      <c r="D458"/>
      <c r="F458"/>
    </row>
    <row r="459" spans="4:6" x14ac:dyDescent="0.35">
      <c r="D459"/>
      <c r="F459"/>
    </row>
    <row r="460" spans="4:6" x14ac:dyDescent="0.35">
      <c r="D460"/>
      <c r="F460"/>
    </row>
    <row r="461" spans="4:6" x14ac:dyDescent="0.35">
      <c r="D461"/>
      <c r="F461"/>
    </row>
    <row r="462" spans="4:6" x14ac:dyDescent="0.35">
      <c r="D462"/>
      <c r="F462"/>
    </row>
    <row r="463" spans="4:6" x14ac:dyDescent="0.35">
      <c r="D463"/>
      <c r="F463"/>
    </row>
    <row r="464" spans="4:6" x14ac:dyDescent="0.35">
      <c r="D464"/>
      <c r="F464"/>
    </row>
    <row r="465" spans="4:6" x14ac:dyDescent="0.35">
      <c r="D465"/>
      <c r="F465"/>
    </row>
    <row r="466" spans="4:6" x14ac:dyDescent="0.35">
      <c r="D466"/>
      <c r="F466"/>
    </row>
    <row r="467" spans="4:6" x14ac:dyDescent="0.35">
      <c r="D467"/>
      <c r="F467"/>
    </row>
    <row r="468" spans="4:6" x14ac:dyDescent="0.35">
      <c r="D468"/>
      <c r="F468"/>
    </row>
    <row r="469" spans="4:6" x14ac:dyDescent="0.35">
      <c r="D469"/>
      <c r="F469"/>
    </row>
    <row r="470" spans="4:6" x14ac:dyDescent="0.35">
      <c r="D470"/>
      <c r="F470"/>
    </row>
    <row r="471" spans="4:6" x14ac:dyDescent="0.35">
      <c r="D471"/>
      <c r="F471"/>
    </row>
    <row r="472" spans="4:6" x14ac:dyDescent="0.35">
      <c r="D472"/>
      <c r="F472"/>
    </row>
    <row r="473" spans="4:6" x14ac:dyDescent="0.35">
      <c r="D473"/>
      <c r="F473"/>
    </row>
    <row r="474" spans="4:6" x14ac:dyDescent="0.35">
      <c r="D474"/>
      <c r="F474"/>
    </row>
    <row r="475" spans="4:6" x14ac:dyDescent="0.35">
      <c r="D475"/>
      <c r="F475"/>
    </row>
    <row r="476" spans="4:6" x14ac:dyDescent="0.35">
      <c r="D476"/>
      <c r="F476"/>
    </row>
    <row r="477" spans="4:6" x14ac:dyDescent="0.35">
      <c r="D477"/>
      <c r="F477"/>
    </row>
    <row r="478" spans="4:6" x14ac:dyDescent="0.35">
      <c r="D478"/>
      <c r="F478"/>
    </row>
    <row r="479" spans="4:6" x14ac:dyDescent="0.35">
      <c r="D479"/>
      <c r="F479"/>
    </row>
    <row r="480" spans="4:6" x14ac:dyDescent="0.35">
      <c r="D480"/>
      <c r="F480"/>
    </row>
    <row r="481" spans="4:6" x14ac:dyDescent="0.35">
      <c r="D481"/>
      <c r="F481"/>
    </row>
    <row r="482" spans="4:6" x14ac:dyDescent="0.35">
      <c r="D482"/>
      <c r="F482"/>
    </row>
    <row r="483" spans="4:6" x14ac:dyDescent="0.35">
      <c r="D483"/>
      <c r="F483"/>
    </row>
    <row r="484" spans="4:6" x14ac:dyDescent="0.35">
      <c r="D484"/>
      <c r="F484"/>
    </row>
    <row r="485" spans="4:6" x14ac:dyDescent="0.35">
      <c r="D485"/>
      <c r="F485"/>
    </row>
    <row r="486" spans="4:6" x14ac:dyDescent="0.35">
      <c r="D486"/>
      <c r="F486"/>
    </row>
    <row r="487" spans="4:6" x14ac:dyDescent="0.35">
      <c r="D487"/>
      <c r="F487"/>
    </row>
    <row r="488" spans="4:6" x14ac:dyDescent="0.35">
      <c r="D488"/>
      <c r="F488"/>
    </row>
    <row r="489" spans="4:6" x14ac:dyDescent="0.35">
      <c r="D489"/>
      <c r="F489"/>
    </row>
    <row r="490" spans="4:6" x14ac:dyDescent="0.35">
      <c r="D490"/>
      <c r="F490"/>
    </row>
    <row r="491" spans="4:6" x14ac:dyDescent="0.35">
      <c r="D491"/>
      <c r="F491"/>
    </row>
    <row r="492" spans="4:6" x14ac:dyDescent="0.35">
      <c r="D492"/>
      <c r="F492"/>
    </row>
    <row r="493" spans="4:6" x14ac:dyDescent="0.35">
      <c r="D493"/>
      <c r="F493"/>
    </row>
    <row r="494" spans="4:6" x14ac:dyDescent="0.35">
      <c r="D494"/>
      <c r="F494"/>
    </row>
    <row r="495" spans="4:6" x14ac:dyDescent="0.35">
      <c r="D495"/>
      <c r="F495"/>
    </row>
    <row r="496" spans="4:6" x14ac:dyDescent="0.35">
      <c r="D496"/>
      <c r="F496"/>
    </row>
    <row r="497" spans="4:6" x14ac:dyDescent="0.35">
      <c r="D497"/>
      <c r="F497"/>
    </row>
    <row r="498" spans="4:6" x14ac:dyDescent="0.35">
      <c r="D498"/>
      <c r="F498"/>
    </row>
    <row r="499" spans="4:6" x14ac:dyDescent="0.35">
      <c r="D499"/>
      <c r="F499"/>
    </row>
    <row r="500" spans="4:6" x14ac:dyDescent="0.35">
      <c r="D500"/>
      <c r="F500"/>
    </row>
    <row r="501" spans="4:6" x14ac:dyDescent="0.35">
      <c r="D501"/>
      <c r="F501"/>
    </row>
    <row r="502" spans="4:6" x14ac:dyDescent="0.35">
      <c r="D502"/>
      <c r="F502"/>
    </row>
    <row r="503" spans="4:6" x14ac:dyDescent="0.35">
      <c r="D503"/>
      <c r="F503"/>
    </row>
    <row r="504" spans="4:6" x14ac:dyDescent="0.35">
      <c r="D504"/>
      <c r="F504"/>
    </row>
    <row r="505" spans="4:6" x14ac:dyDescent="0.35">
      <c r="D505"/>
      <c r="F505"/>
    </row>
    <row r="506" spans="4:6" x14ac:dyDescent="0.35">
      <c r="D506"/>
      <c r="F506"/>
    </row>
    <row r="507" spans="4:6" x14ac:dyDescent="0.35">
      <c r="D507"/>
      <c r="F507"/>
    </row>
    <row r="508" spans="4:6" x14ac:dyDescent="0.35">
      <c r="D508"/>
      <c r="F508"/>
    </row>
  </sheetData>
  <autoFilter ref="A4:AY233" xr:uid="{00000000-0009-0000-0000-000000000000}"/>
  <dataConsolidate/>
  <dataValidations count="2">
    <dataValidation type="list" showInputMessage="1" error="Please select a valid value" promptTitle="select a value" sqref="Q5:Q22" xr:uid="{5F479E93-721A-4004-B60C-C12FC83FA097}">
      <formula1>sssss</formula1>
    </dataValidation>
    <dataValidation type="list" showInputMessage="1" error="Please select a valid value" promptTitle="select a value" sqref="Q3:Q4" xr:uid="{A93888A8-4F55-40D2-A919-D6F0D2955E02}">
      <formula1>ffff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 Fidelidade</vt:lpstr>
      <vt:lpstr>Erro</vt:lpstr>
      <vt:lpstr>Sem Fidelidade</vt:lpstr>
      <vt:lpstr>Com Fidelidade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2019-11-18T21:27:08Z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iteId">
    <vt:lpwstr>e0793d39-0939-496d-b129-198edd916feb</vt:lpwstr>
  </property>
  <property fmtid="{D5CDD505-2E9C-101B-9397-08002B2CF9AE}" pid="5" name="MSIP_Label_1bc0f418-96a4-4caf-9d7c-ccc5ec7f9d91_Owner">
    <vt:lpwstr>victor.motta.d.lucas@accenture.com</vt:lpwstr>
  </property>
  <property fmtid="{D5CDD505-2E9C-101B-9397-08002B2CF9AE}" pid="6" name="MSIP_Label_1bc0f418-96a4-4caf-9d7c-ccc5ec7f9d91_SetDate">
    <vt:lpwstr>2018-07-24T19:19:27.0968880Z</vt:lpwstr>
  </property>
  <property fmtid="{D5CDD505-2E9C-101B-9397-08002B2CF9AE}" pid="7" name="MSIP_Label_1bc0f418-96a4-4caf-9d7c-ccc5ec7f9d91_Name">
    <vt:lpwstr>Unrestricted</vt:lpwstr>
  </property>
  <property fmtid="{D5CDD505-2E9C-101B-9397-08002B2CF9AE}" pid="8" name="MSIP_Label_1bc0f418-96a4-4caf-9d7c-ccc5ec7f9d91_Application">
    <vt:lpwstr>Microsoft Azure Information Protection</vt:lpwstr>
  </property>
  <property fmtid="{D5CDD505-2E9C-101B-9397-08002B2CF9AE}" pid="9" name="MSIP_Label_1bc0f418-96a4-4caf-9d7c-ccc5ec7f9d91_Extended_MSFT_Method">
    <vt:lpwstr>Manual</vt:lpwstr>
  </property>
  <property fmtid="{D5CDD505-2E9C-101B-9397-08002B2CF9AE}" pid="10" name="Sensitivity">
    <vt:lpwstr>Unrestricted</vt:lpwstr>
  </property>
</Properties>
</file>